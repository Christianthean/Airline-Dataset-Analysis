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pivotTables/pivotTable2.xml" ContentType="application/vnd.openxmlformats-officedocument.spreadsheetml.pivotTable+xml"/>
  <Override PartName="/xl/drawings/drawing1.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C:\Users\HP 15\Downloads\"/>
    </mc:Choice>
  </mc:AlternateContent>
  <xr:revisionPtr revIDLastSave="0" documentId="13_ncr:1_{E025A0AE-8B91-472D-9727-83CFA006E2C4}" xr6:coauthVersionLast="47" xr6:coauthVersionMax="47" xr10:uidLastSave="{00000000-0000-0000-0000-000000000000}"/>
  <bookViews>
    <workbookView xWindow="-120" yWindow="-120" windowWidth="20730" windowHeight="11040" tabRatio="479" firstSheet="6" activeTab="10" xr2:uid="{00000000-000D-0000-FFFF-FFFF00000000}"/>
  </bookViews>
  <sheets>
    <sheet name="✈ Flights" sheetId="1" state="hidden" r:id="rId1"/>
    <sheet name="✈ Flights (2)" sheetId="6" r:id="rId2"/>
    <sheet name="🏢 Airports" sheetId="2" r:id="rId3"/>
    <sheet name="💰 Revenue" sheetId="3" state="hidden" r:id="rId4"/>
    <sheet name="💰 Revenue (2)" sheetId="12" r:id="rId5"/>
    <sheet name="📖 Data Dictionary" sheetId="4" r:id="rId6"/>
    <sheet name="📝 Tasks" sheetId="5" r:id="rId7"/>
    <sheet name="Stat Analysis" sheetId="7" r:id="rId8"/>
    <sheet name="Pivot Tables" sheetId="13" r:id="rId9"/>
    <sheet name="Visulization" sheetId="14" r:id="rId10"/>
    <sheet name="Dashboard" sheetId="15" r:id="rId11"/>
  </sheets>
  <externalReferences>
    <externalReference r:id="rId12"/>
  </externalReferences>
  <definedNames>
    <definedName name="_xlnm._FilterDatabase" localSheetId="1" hidden="1">'✈ Flights (2)'!$A$1:$T$501</definedName>
    <definedName name="_xlnm._FilterDatabase" localSheetId="3" hidden="1">'💰 Revenue'!$A$1:$L$301</definedName>
    <definedName name="_xlnm._FilterDatabase" localSheetId="4" hidden="1">'💰 Revenue (2)'!$A$1:$M$501</definedName>
  </definedNames>
  <calcPr calcId="191029"/>
  <pivotCaches>
    <pivotCache cacheId="0" r:id="rId13"/>
    <pivotCache cacheId="1" r:id="rId14"/>
    <pivotCache cacheId="2" r:id="rId1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7" i="15" l="1"/>
  <c r="K7" i="15"/>
  <c r="G7" i="15"/>
  <c r="D7" i="15"/>
  <c r="E99" i="7"/>
  <c r="D99" i="7"/>
  <c r="E98" i="7"/>
  <c r="D98" i="7"/>
  <c r="E97" i="7"/>
  <c r="D97" i="7"/>
  <c r="E96" i="7"/>
  <c r="D96" i="7"/>
  <c r="E95" i="7"/>
  <c r="D95" i="7"/>
  <c r="E94" i="7"/>
  <c r="D94" i="7"/>
  <c r="E93" i="7"/>
  <c r="D93" i="7"/>
  <c r="E92" i="7"/>
  <c r="D92" i="7"/>
  <c r="E91" i="7"/>
  <c r="D91" i="7"/>
  <c r="E90" i="7"/>
  <c r="D90" i="7"/>
  <c r="E89" i="7"/>
  <c r="D89" i="7"/>
  <c r="E88" i="7"/>
  <c r="D88" i="7"/>
  <c r="E87" i="7"/>
  <c r="D87" i="7"/>
  <c r="E86" i="7"/>
  <c r="D86" i="7"/>
  <c r="E85" i="7"/>
  <c r="D85" i="7"/>
  <c r="E84" i="7"/>
  <c r="D84" i="7"/>
  <c r="E83" i="7"/>
  <c r="D83" i="7"/>
  <c r="E82" i="7"/>
  <c r="D82" i="7"/>
  <c r="E81" i="7"/>
  <c r="D81" i="7"/>
  <c r="E80" i="7"/>
  <c r="D80" i="7"/>
  <c r="C74" i="7"/>
  <c r="C73" i="7"/>
  <c r="C72" i="7"/>
  <c r="C71" i="7"/>
  <c r="C70" i="7"/>
  <c r="C69" i="7"/>
  <c r="C68" i="7"/>
  <c r="C67" i="7"/>
  <c r="C62" i="7"/>
  <c r="C61" i="7"/>
  <c r="C60" i="7"/>
  <c r="C59" i="7"/>
  <c r="C58" i="7"/>
  <c r="C57" i="7"/>
  <c r="C56" i="7"/>
  <c r="C40" i="7"/>
  <c r="C39" i="7"/>
  <c r="C38" i="7"/>
  <c r="D32" i="7"/>
  <c r="C32" i="7"/>
  <c r="D31" i="7"/>
  <c r="C31" i="7"/>
  <c r="D30" i="7"/>
  <c r="C30" i="7"/>
  <c r="D29" i="7"/>
  <c r="C29" i="7"/>
  <c r="G28" i="7"/>
  <c r="D28" i="7"/>
  <c r="C28" i="7"/>
  <c r="D27" i="7"/>
  <c r="C27" i="7"/>
  <c r="D26" i="7"/>
  <c r="C26" i="7"/>
  <c r="D25" i="7"/>
  <c r="C25" i="7"/>
  <c r="J16" i="7"/>
  <c r="C16" i="7"/>
  <c r="J15" i="7"/>
  <c r="J14" i="7"/>
  <c r="J13" i="7"/>
  <c r="C13" i="7"/>
  <c r="J12" i="7"/>
  <c r="C12" i="7"/>
  <c r="J11" i="7"/>
  <c r="G11" i="7"/>
  <c r="C11" i="7"/>
  <c r="J10" i="7"/>
  <c r="G10" i="7"/>
  <c r="C10" i="7"/>
  <c r="J9" i="7"/>
  <c r="G9" i="7"/>
  <c r="C9" i="7"/>
  <c r="O501" i="12"/>
  <c r="N501" i="12"/>
  <c r="M501" i="12"/>
  <c r="L501" i="12"/>
  <c r="F501" i="12"/>
  <c r="D501" i="12"/>
  <c r="O500" i="12"/>
  <c r="N500" i="12"/>
  <c r="M500" i="12"/>
  <c r="L500" i="12"/>
  <c r="F500" i="12"/>
  <c r="D500" i="12"/>
  <c r="O499" i="12"/>
  <c r="N499" i="12"/>
  <c r="M499" i="12"/>
  <c r="L499" i="12"/>
  <c r="F499" i="12"/>
  <c r="D499" i="12"/>
  <c r="O498" i="12"/>
  <c r="N498" i="12"/>
  <c r="M498" i="12"/>
  <c r="L498" i="12"/>
  <c r="F498" i="12"/>
  <c r="D498" i="12"/>
  <c r="O497" i="12"/>
  <c r="N497" i="12"/>
  <c r="M497" i="12"/>
  <c r="L497" i="12"/>
  <c r="F497" i="12"/>
  <c r="D497" i="12"/>
  <c r="O496" i="12"/>
  <c r="N496" i="12"/>
  <c r="M496" i="12"/>
  <c r="L496" i="12"/>
  <c r="F496" i="12"/>
  <c r="D496" i="12"/>
  <c r="O495" i="12"/>
  <c r="N495" i="12"/>
  <c r="M495" i="12"/>
  <c r="L495" i="12"/>
  <c r="F495" i="12"/>
  <c r="D495" i="12"/>
  <c r="O494" i="12"/>
  <c r="N494" i="12"/>
  <c r="M494" i="12"/>
  <c r="L494" i="12"/>
  <c r="F494" i="12"/>
  <c r="D494" i="12"/>
  <c r="O493" i="12"/>
  <c r="N493" i="12"/>
  <c r="M493" i="12"/>
  <c r="L493" i="12"/>
  <c r="F493" i="12"/>
  <c r="D493" i="12"/>
  <c r="O492" i="12"/>
  <c r="N492" i="12"/>
  <c r="M492" i="12"/>
  <c r="L492" i="12"/>
  <c r="F492" i="12"/>
  <c r="D492" i="12"/>
  <c r="O491" i="12"/>
  <c r="N491" i="12"/>
  <c r="M491" i="12"/>
  <c r="L491" i="12"/>
  <c r="F491" i="12"/>
  <c r="D491" i="12"/>
  <c r="O490" i="12"/>
  <c r="N490" i="12"/>
  <c r="M490" i="12"/>
  <c r="L490" i="12"/>
  <c r="F490" i="12"/>
  <c r="D490" i="12"/>
  <c r="O489" i="12"/>
  <c r="N489" i="12"/>
  <c r="M489" i="12"/>
  <c r="L489" i="12"/>
  <c r="F489" i="12"/>
  <c r="D489" i="12"/>
  <c r="O488" i="12"/>
  <c r="N488" i="12"/>
  <c r="M488" i="12"/>
  <c r="L488" i="12"/>
  <c r="F488" i="12"/>
  <c r="D488" i="12"/>
  <c r="O487" i="12"/>
  <c r="N487" i="12"/>
  <c r="M487" i="12"/>
  <c r="L487" i="12"/>
  <c r="F487" i="12"/>
  <c r="D487" i="12"/>
  <c r="O486" i="12"/>
  <c r="N486" i="12"/>
  <c r="M486" i="12"/>
  <c r="L486" i="12"/>
  <c r="F486" i="12"/>
  <c r="D486" i="12"/>
  <c r="O485" i="12"/>
  <c r="N485" i="12"/>
  <c r="M485" i="12"/>
  <c r="L485" i="12"/>
  <c r="F485" i="12"/>
  <c r="D485" i="12"/>
  <c r="O484" i="12"/>
  <c r="N484" i="12"/>
  <c r="M484" i="12"/>
  <c r="L484" i="12"/>
  <c r="F484" i="12"/>
  <c r="D484" i="12"/>
  <c r="O483" i="12"/>
  <c r="N483" i="12"/>
  <c r="M483" i="12"/>
  <c r="L483" i="12"/>
  <c r="F483" i="12"/>
  <c r="D483" i="12"/>
  <c r="O482" i="12"/>
  <c r="N482" i="12"/>
  <c r="M482" i="12"/>
  <c r="L482" i="12"/>
  <c r="F482" i="12"/>
  <c r="D482" i="12"/>
  <c r="O481" i="12"/>
  <c r="N481" i="12"/>
  <c r="M481" i="12"/>
  <c r="L481" i="12"/>
  <c r="F481" i="12"/>
  <c r="D481" i="12"/>
  <c r="O480" i="12"/>
  <c r="N480" i="12"/>
  <c r="M480" i="12"/>
  <c r="L480" i="12"/>
  <c r="F480" i="12"/>
  <c r="D480" i="12"/>
  <c r="O479" i="12"/>
  <c r="N479" i="12"/>
  <c r="M479" i="12"/>
  <c r="L479" i="12"/>
  <c r="F479" i="12"/>
  <c r="D479" i="12"/>
  <c r="O478" i="12"/>
  <c r="N478" i="12"/>
  <c r="M478" i="12"/>
  <c r="L478" i="12"/>
  <c r="F478" i="12"/>
  <c r="D478" i="12"/>
  <c r="O477" i="12"/>
  <c r="N477" i="12"/>
  <c r="M477" i="12"/>
  <c r="L477" i="12"/>
  <c r="F477" i="12"/>
  <c r="D477" i="12"/>
  <c r="O476" i="12"/>
  <c r="N476" i="12"/>
  <c r="M476" i="12"/>
  <c r="L476" i="12"/>
  <c r="F476" i="12"/>
  <c r="D476" i="12"/>
  <c r="O475" i="12"/>
  <c r="N475" i="12"/>
  <c r="M475" i="12"/>
  <c r="L475" i="12"/>
  <c r="F475" i="12"/>
  <c r="D475" i="12"/>
  <c r="O474" i="12"/>
  <c r="N474" i="12"/>
  <c r="M474" i="12"/>
  <c r="L474" i="12"/>
  <c r="F474" i="12"/>
  <c r="D474" i="12"/>
  <c r="O473" i="12"/>
  <c r="N473" i="12"/>
  <c r="M473" i="12"/>
  <c r="L473" i="12"/>
  <c r="F473" i="12"/>
  <c r="D473" i="12"/>
  <c r="O472" i="12"/>
  <c r="N472" i="12"/>
  <c r="M472" i="12"/>
  <c r="L472" i="12"/>
  <c r="F472" i="12"/>
  <c r="D472" i="12"/>
  <c r="O471" i="12"/>
  <c r="N471" i="12"/>
  <c r="M471" i="12"/>
  <c r="L471" i="12"/>
  <c r="F471" i="12"/>
  <c r="D471" i="12"/>
  <c r="O470" i="12"/>
  <c r="N470" i="12"/>
  <c r="M470" i="12"/>
  <c r="L470" i="12"/>
  <c r="F470" i="12"/>
  <c r="D470" i="12"/>
  <c r="O469" i="12"/>
  <c r="N469" i="12"/>
  <c r="M469" i="12"/>
  <c r="L469" i="12"/>
  <c r="F469" i="12"/>
  <c r="D469" i="12"/>
  <c r="O468" i="12"/>
  <c r="N468" i="12"/>
  <c r="M468" i="12"/>
  <c r="L468" i="12"/>
  <c r="F468" i="12"/>
  <c r="D468" i="12"/>
  <c r="O467" i="12"/>
  <c r="N467" i="12"/>
  <c r="M467" i="12"/>
  <c r="L467" i="12"/>
  <c r="F467" i="12"/>
  <c r="D467" i="12"/>
  <c r="O466" i="12"/>
  <c r="N466" i="12"/>
  <c r="M466" i="12"/>
  <c r="L466" i="12"/>
  <c r="F466" i="12"/>
  <c r="D466" i="12"/>
  <c r="O465" i="12"/>
  <c r="N465" i="12"/>
  <c r="M465" i="12"/>
  <c r="L465" i="12"/>
  <c r="F465" i="12"/>
  <c r="D465" i="12"/>
  <c r="O464" i="12"/>
  <c r="N464" i="12"/>
  <c r="M464" i="12"/>
  <c r="L464" i="12"/>
  <c r="F464" i="12"/>
  <c r="D464" i="12"/>
  <c r="O463" i="12"/>
  <c r="N463" i="12"/>
  <c r="M463" i="12"/>
  <c r="L463" i="12"/>
  <c r="F463" i="12"/>
  <c r="D463" i="12"/>
  <c r="O462" i="12"/>
  <c r="N462" i="12"/>
  <c r="M462" i="12"/>
  <c r="L462" i="12"/>
  <c r="F462" i="12"/>
  <c r="D462" i="12"/>
  <c r="O461" i="12"/>
  <c r="N461" i="12"/>
  <c r="M461" i="12"/>
  <c r="L461" i="12"/>
  <c r="F461" i="12"/>
  <c r="D461" i="12"/>
  <c r="O460" i="12"/>
  <c r="N460" i="12"/>
  <c r="M460" i="12"/>
  <c r="L460" i="12"/>
  <c r="F460" i="12"/>
  <c r="D460" i="12"/>
  <c r="O459" i="12"/>
  <c r="N459" i="12"/>
  <c r="M459" i="12"/>
  <c r="L459" i="12"/>
  <c r="F459" i="12"/>
  <c r="D459" i="12"/>
  <c r="O458" i="12"/>
  <c r="N458" i="12"/>
  <c r="M458" i="12"/>
  <c r="L458" i="12"/>
  <c r="F458" i="12"/>
  <c r="D458" i="12"/>
  <c r="O457" i="12"/>
  <c r="N457" i="12"/>
  <c r="M457" i="12"/>
  <c r="L457" i="12"/>
  <c r="F457" i="12"/>
  <c r="D457" i="12"/>
  <c r="O456" i="12"/>
  <c r="N456" i="12"/>
  <c r="M456" i="12"/>
  <c r="L456" i="12"/>
  <c r="F456" i="12"/>
  <c r="D456" i="12"/>
  <c r="O455" i="12"/>
  <c r="N455" i="12"/>
  <c r="M455" i="12"/>
  <c r="L455" i="12"/>
  <c r="F455" i="12"/>
  <c r="D455" i="12"/>
  <c r="O454" i="12"/>
  <c r="N454" i="12"/>
  <c r="M454" i="12"/>
  <c r="L454" i="12"/>
  <c r="F454" i="12"/>
  <c r="D454" i="12"/>
  <c r="O453" i="12"/>
  <c r="N453" i="12"/>
  <c r="M453" i="12"/>
  <c r="L453" i="12"/>
  <c r="F453" i="12"/>
  <c r="D453" i="12"/>
  <c r="O452" i="12"/>
  <c r="N452" i="12"/>
  <c r="M452" i="12"/>
  <c r="L452" i="12"/>
  <c r="F452" i="12"/>
  <c r="D452" i="12"/>
  <c r="O451" i="12"/>
  <c r="N451" i="12"/>
  <c r="M451" i="12"/>
  <c r="L451" i="12"/>
  <c r="F451" i="12"/>
  <c r="D451" i="12"/>
  <c r="O450" i="12"/>
  <c r="N450" i="12"/>
  <c r="M450" i="12"/>
  <c r="L450" i="12"/>
  <c r="F450" i="12"/>
  <c r="D450" i="12"/>
  <c r="O449" i="12"/>
  <c r="N449" i="12"/>
  <c r="M449" i="12"/>
  <c r="L449" i="12"/>
  <c r="F449" i="12"/>
  <c r="D449" i="12"/>
  <c r="O448" i="12"/>
  <c r="N448" i="12"/>
  <c r="M448" i="12"/>
  <c r="L448" i="12"/>
  <c r="F448" i="12"/>
  <c r="D448" i="12"/>
  <c r="O447" i="12"/>
  <c r="N447" i="12"/>
  <c r="M447" i="12"/>
  <c r="L447" i="12"/>
  <c r="F447" i="12"/>
  <c r="D447" i="12"/>
  <c r="O446" i="12"/>
  <c r="N446" i="12"/>
  <c r="M446" i="12"/>
  <c r="L446" i="12"/>
  <c r="F446" i="12"/>
  <c r="D446" i="12"/>
  <c r="O445" i="12"/>
  <c r="N445" i="12"/>
  <c r="M445" i="12"/>
  <c r="L445" i="12"/>
  <c r="F445" i="12"/>
  <c r="D445" i="12"/>
  <c r="O444" i="12"/>
  <c r="N444" i="12"/>
  <c r="M444" i="12"/>
  <c r="L444" i="12"/>
  <c r="F444" i="12"/>
  <c r="D444" i="12"/>
  <c r="O443" i="12"/>
  <c r="N443" i="12"/>
  <c r="M443" i="12"/>
  <c r="L443" i="12"/>
  <c r="F443" i="12"/>
  <c r="D443" i="12"/>
  <c r="O442" i="12"/>
  <c r="N442" i="12"/>
  <c r="M442" i="12"/>
  <c r="L442" i="12"/>
  <c r="F442" i="12"/>
  <c r="D442" i="12"/>
  <c r="O441" i="12"/>
  <c r="N441" i="12"/>
  <c r="M441" i="12"/>
  <c r="L441" i="12"/>
  <c r="F441" i="12"/>
  <c r="D441" i="12"/>
  <c r="O440" i="12"/>
  <c r="N440" i="12"/>
  <c r="M440" i="12"/>
  <c r="L440" i="12"/>
  <c r="F440" i="12"/>
  <c r="D440" i="12"/>
  <c r="O439" i="12"/>
  <c r="N439" i="12"/>
  <c r="M439" i="12"/>
  <c r="L439" i="12"/>
  <c r="F439" i="12"/>
  <c r="D439" i="12"/>
  <c r="O438" i="12"/>
  <c r="N438" i="12"/>
  <c r="M438" i="12"/>
  <c r="L438" i="12"/>
  <c r="F438" i="12"/>
  <c r="D438" i="12"/>
  <c r="O437" i="12"/>
  <c r="N437" i="12"/>
  <c r="M437" i="12"/>
  <c r="L437" i="12"/>
  <c r="F437" i="12"/>
  <c r="D437" i="12"/>
  <c r="O436" i="12"/>
  <c r="N436" i="12"/>
  <c r="M436" i="12"/>
  <c r="L436" i="12"/>
  <c r="F436" i="12"/>
  <c r="D436" i="12"/>
  <c r="O435" i="12"/>
  <c r="N435" i="12"/>
  <c r="M435" i="12"/>
  <c r="L435" i="12"/>
  <c r="F435" i="12"/>
  <c r="D435" i="12"/>
  <c r="O434" i="12"/>
  <c r="N434" i="12"/>
  <c r="M434" i="12"/>
  <c r="L434" i="12"/>
  <c r="F434" i="12"/>
  <c r="D434" i="12"/>
  <c r="O433" i="12"/>
  <c r="N433" i="12"/>
  <c r="M433" i="12"/>
  <c r="L433" i="12"/>
  <c r="F433" i="12"/>
  <c r="D433" i="12"/>
  <c r="O432" i="12"/>
  <c r="N432" i="12"/>
  <c r="M432" i="12"/>
  <c r="L432" i="12"/>
  <c r="F432" i="12"/>
  <c r="D432" i="12"/>
  <c r="O431" i="12"/>
  <c r="N431" i="12"/>
  <c r="M431" i="12"/>
  <c r="L431" i="12"/>
  <c r="F431" i="12"/>
  <c r="D431" i="12"/>
  <c r="O430" i="12"/>
  <c r="N430" i="12"/>
  <c r="M430" i="12"/>
  <c r="L430" i="12"/>
  <c r="F430" i="12"/>
  <c r="D430" i="12"/>
  <c r="O429" i="12"/>
  <c r="N429" i="12"/>
  <c r="M429" i="12"/>
  <c r="L429" i="12"/>
  <c r="F429" i="12"/>
  <c r="D429" i="12"/>
  <c r="O428" i="12"/>
  <c r="N428" i="12"/>
  <c r="M428" i="12"/>
  <c r="L428" i="12"/>
  <c r="F428" i="12"/>
  <c r="D428" i="12"/>
  <c r="O427" i="12"/>
  <c r="N427" i="12"/>
  <c r="M427" i="12"/>
  <c r="L427" i="12"/>
  <c r="F427" i="12"/>
  <c r="D427" i="12"/>
  <c r="O426" i="12"/>
  <c r="N426" i="12"/>
  <c r="M426" i="12"/>
  <c r="L426" i="12"/>
  <c r="F426" i="12"/>
  <c r="D426" i="12"/>
  <c r="O425" i="12"/>
  <c r="N425" i="12"/>
  <c r="M425" i="12"/>
  <c r="L425" i="12"/>
  <c r="F425" i="12"/>
  <c r="D425" i="12"/>
  <c r="O424" i="12"/>
  <c r="N424" i="12"/>
  <c r="M424" i="12"/>
  <c r="L424" i="12"/>
  <c r="F424" i="12"/>
  <c r="D424" i="12"/>
  <c r="O423" i="12"/>
  <c r="N423" i="12"/>
  <c r="M423" i="12"/>
  <c r="L423" i="12"/>
  <c r="F423" i="12"/>
  <c r="D423" i="12"/>
  <c r="O422" i="12"/>
  <c r="N422" i="12"/>
  <c r="M422" i="12"/>
  <c r="L422" i="12"/>
  <c r="F422" i="12"/>
  <c r="D422" i="12"/>
  <c r="O421" i="12"/>
  <c r="N421" i="12"/>
  <c r="M421" i="12"/>
  <c r="L421" i="12"/>
  <c r="F421" i="12"/>
  <c r="D421" i="12"/>
  <c r="O420" i="12"/>
  <c r="N420" i="12"/>
  <c r="M420" i="12"/>
  <c r="L420" i="12"/>
  <c r="F420" i="12"/>
  <c r="D420" i="12"/>
  <c r="O419" i="12"/>
  <c r="N419" i="12"/>
  <c r="M419" i="12"/>
  <c r="L419" i="12"/>
  <c r="F419" i="12"/>
  <c r="D419" i="12"/>
  <c r="O418" i="12"/>
  <c r="N418" i="12"/>
  <c r="M418" i="12"/>
  <c r="L418" i="12"/>
  <c r="F418" i="12"/>
  <c r="D418" i="12"/>
  <c r="O417" i="12"/>
  <c r="N417" i="12"/>
  <c r="M417" i="12"/>
  <c r="L417" i="12"/>
  <c r="F417" i="12"/>
  <c r="D417" i="12"/>
  <c r="O416" i="12"/>
  <c r="N416" i="12"/>
  <c r="M416" i="12"/>
  <c r="L416" i="12"/>
  <c r="F416" i="12"/>
  <c r="D416" i="12"/>
  <c r="O415" i="12"/>
  <c r="N415" i="12"/>
  <c r="M415" i="12"/>
  <c r="L415" i="12"/>
  <c r="F415" i="12"/>
  <c r="D415" i="12"/>
  <c r="O414" i="12"/>
  <c r="N414" i="12"/>
  <c r="M414" i="12"/>
  <c r="L414" i="12"/>
  <c r="F414" i="12"/>
  <c r="D414" i="12"/>
  <c r="O413" i="12"/>
  <c r="N413" i="12"/>
  <c r="M413" i="12"/>
  <c r="L413" i="12"/>
  <c r="F413" i="12"/>
  <c r="D413" i="12"/>
  <c r="O412" i="12"/>
  <c r="N412" i="12"/>
  <c r="M412" i="12"/>
  <c r="L412" i="12"/>
  <c r="F412" i="12"/>
  <c r="D412" i="12"/>
  <c r="O411" i="12"/>
  <c r="N411" i="12"/>
  <c r="M411" i="12"/>
  <c r="L411" i="12"/>
  <c r="F411" i="12"/>
  <c r="D411" i="12"/>
  <c r="O410" i="12"/>
  <c r="N410" i="12"/>
  <c r="M410" i="12"/>
  <c r="L410" i="12"/>
  <c r="F410" i="12"/>
  <c r="D410" i="12"/>
  <c r="O409" i="12"/>
  <c r="N409" i="12"/>
  <c r="M409" i="12"/>
  <c r="L409" i="12"/>
  <c r="F409" i="12"/>
  <c r="D409" i="12"/>
  <c r="O408" i="12"/>
  <c r="N408" i="12"/>
  <c r="M408" i="12"/>
  <c r="L408" i="12"/>
  <c r="F408" i="12"/>
  <c r="D408" i="12"/>
  <c r="O407" i="12"/>
  <c r="N407" i="12"/>
  <c r="M407" i="12"/>
  <c r="L407" i="12"/>
  <c r="F407" i="12"/>
  <c r="D407" i="12"/>
  <c r="O406" i="12"/>
  <c r="N406" i="12"/>
  <c r="M406" i="12"/>
  <c r="L406" i="12"/>
  <c r="F406" i="12"/>
  <c r="D406" i="12"/>
  <c r="O405" i="12"/>
  <c r="N405" i="12"/>
  <c r="M405" i="12"/>
  <c r="L405" i="12"/>
  <c r="F405" i="12"/>
  <c r="D405" i="12"/>
  <c r="O404" i="12"/>
  <c r="N404" i="12"/>
  <c r="M404" i="12"/>
  <c r="L404" i="12"/>
  <c r="F404" i="12"/>
  <c r="D404" i="12"/>
  <c r="O403" i="12"/>
  <c r="N403" i="12"/>
  <c r="M403" i="12"/>
  <c r="L403" i="12"/>
  <c r="F403" i="12"/>
  <c r="D403" i="12"/>
  <c r="O402" i="12"/>
  <c r="N402" i="12"/>
  <c r="M402" i="12"/>
  <c r="L402" i="12"/>
  <c r="F402" i="12"/>
  <c r="D402" i="12"/>
  <c r="O401" i="12"/>
  <c r="N401" i="12"/>
  <c r="M401" i="12"/>
  <c r="L401" i="12"/>
  <c r="F401" i="12"/>
  <c r="D401" i="12"/>
  <c r="O400" i="12"/>
  <c r="N400" i="12"/>
  <c r="M400" i="12"/>
  <c r="L400" i="12"/>
  <c r="F400" i="12"/>
  <c r="D400" i="12"/>
  <c r="O399" i="12"/>
  <c r="N399" i="12"/>
  <c r="M399" i="12"/>
  <c r="L399" i="12"/>
  <c r="F399" i="12"/>
  <c r="D399" i="12"/>
  <c r="O398" i="12"/>
  <c r="N398" i="12"/>
  <c r="M398" i="12"/>
  <c r="L398" i="12"/>
  <c r="F398" i="12"/>
  <c r="D398" i="12"/>
  <c r="O397" i="12"/>
  <c r="N397" i="12"/>
  <c r="M397" i="12"/>
  <c r="L397" i="12"/>
  <c r="F397" i="12"/>
  <c r="D397" i="12"/>
  <c r="O396" i="12"/>
  <c r="N396" i="12"/>
  <c r="M396" i="12"/>
  <c r="L396" i="12"/>
  <c r="F396" i="12"/>
  <c r="D396" i="12"/>
  <c r="O395" i="12"/>
  <c r="N395" i="12"/>
  <c r="M395" i="12"/>
  <c r="L395" i="12"/>
  <c r="F395" i="12"/>
  <c r="D395" i="12"/>
  <c r="O394" i="12"/>
  <c r="N394" i="12"/>
  <c r="M394" i="12"/>
  <c r="L394" i="12"/>
  <c r="F394" i="12"/>
  <c r="D394" i="12"/>
  <c r="O393" i="12"/>
  <c r="N393" i="12"/>
  <c r="M393" i="12"/>
  <c r="L393" i="12"/>
  <c r="F393" i="12"/>
  <c r="D393" i="12"/>
  <c r="O392" i="12"/>
  <c r="N392" i="12"/>
  <c r="M392" i="12"/>
  <c r="L392" i="12"/>
  <c r="F392" i="12"/>
  <c r="D392" i="12"/>
  <c r="O391" i="12"/>
  <c r="N391" i="12"/>
  <c r="M391" i="12"/>
  <c r="L391" i="12"/>
  <c r="F391" i="12"/>
  <c r="D391" i="12"/>
  <c r="O390" i="12"/>
  <c r="N390" i="12"/>
  <c r="M390" i="12"/>
  <c r="L390" i="12"/>
  <c r="F390" i="12"/>
  <c r="D390" i="12"/>
  <c r="O389" i="12"/>
  <c r="N389" i="12"/>
  <c r="M389" i="12"/>
  <c r="L389" i="12"/>
  <c r="F389" i="12"/>
  <c r="D389" i="12"/>
  <c r="O388" i="12"/>
  <c r="N388" i="12"/>
  <c r="M388" i="12"/>
  <c r="L388" i="12"/>
  <c r="F388" i="12"/>
  <c r="D388" i="12"/>
  <c r="O387" i="12"/>
  <c r="N387" i="12"/>
  <c r="M387" i="12"/>
  <c r="L387" i="12"/>
  <c r="F387" i="12"/>
  <c r="D387" i="12"/>
  <c r="O386" i="12"/>
  <c r="N386" i="12"/>
  <c r="M386" i="12"/>
  <c r="L386" i="12"/>
  <c r="F386" i="12"/>
  <c r="D386" i="12"/>
  <c r="O385" i="12"/>
  <c r="N385" i="12"/>
  <c r="M385" i="12"/>
  <c r="L385" i="12"/>
  <c r="F385" i="12"/>
  <c r="D385" i="12"/>
  <c r="O384" i="12"/>
  <c r="N384" i="12"/>
  <c r="M384" i="12"/>
  <c r="L384" i="12"/>
  <c r="F384" i="12"/>
  <c r="D384" i="12"/>
  <c r="O383" i="12"/>
  <c r="N383" i="12"/>
  <c r="M383" i="12"/>
  <c r="L383" i="12"/>
  <c r="F383" i="12"/>
  <c r="D383" i="12"/>
  <c r="O382" i="12"/>
  <c r="N382" i="12"/>
  <c r="M382" i="12"/>
  <c r="L382" i="12"/>
  <c r="F382" i="12"/>
  <c r="D382" i="12"/>
  <c r="O381" i="12"/>
  <c r="N381" i="12"/>
  <c r="M381" i="12"/>
  <c r="L381" i="12"/>
  <c r="F381" i="12"/>
  <c r="D381" i="12"/>
  <c r="O380" i="12"/>
  <c r="N380" i="12"/>
  <c r="M380" i="12"/>
  <c r="L380" i="12"/>
  <c r="F380" i="12"/>
  <c r="D380" i="12"/>
  <c r="O379" i="12"/>
  <c r="N379" i="12"/>
  <c r="M379" i="12"/>
  <c r="L379" i="12"/>
  <c r="F379" i="12"/>
  <c r="D379" i="12"/>
  <c r="O378" i="12"/>
  <c r="N378" i="12"/>
  <c r="M378" i="12"/>
  <c r="L378" i="12"/>
  <c r="F378" i="12"/>
  <c r="D378" i="12"/>
  <c r="O377" i="12"/>
  <c r="N377" i="12"/>
  <c r="M377" i="12"/>
  <c r="L377" i="12"/>
  <c r="F377" i="12"/>
  <c r="D377" i="12"/>
  <c r="O376" i="12"/>
  <c r="N376" i="12"/>
  <c r="M376" i="12"/>
  <c r="L376" i="12"/>
  <c r="F376" i="12"/>
  <c r="D376" i="12"/>
  <c r="O375" i="12"/>
  <c r="N375" i="12"/>
  <c r="M375" i="12"/>
  <c r="L375" i="12"/>
  <c r="F375" i="12"/>
  <c r="D375" i="12"/>
  <c r="O374" i="12"/>
  <c r="N374" i="12"/>
  <c r="M374" i="12"/>
  <c r="L374" i="12"/>
  <c r="F374" i="12"/>
  <c r="D374" i="12"/>
  <c r="O373" i="12"/>
  <c r="N373" i="12"/>
  <c r="M373" i="12"/>
  <c r="L373" i="12"/>
  <c r="F373" i="12"/>
  <c r="D373" i="12"/>
  <c r="O372" i="12"/>
  <c r="N372" i="12"/>
  <c r="M372" i="12"/>
  <c r="L372" i="12"/>
  <c r="F372" i="12"/>
  <c r="D372" i="12"/>
  <c r="O371" i="12"/>
  <c r="N371" i="12"/>
  <c r="M371" i="12"/>
  <c r="L371" i="12"/>
  <c r="F371" i="12"/>
  <c r="D371" i="12"/>
  <c r="O370" i="12"/>
  <c r="N370" i="12"/>
  <c r="M370" i="12"/>
  <c r="L370" i="12"/>
  <c r="F370" i="12"/>
  <c r="D370" i="12"/>
  <c r="O369" i="12"/>
  <c r="N369" i="12"/>
  <c r="M369" i="12"/>
  <c r="L369" i="12"/>
  <c r="F369" i="12"/>
  <c r="D369" i="12"/>
  <c r="O368" i="12"/>
  <c r="N368" i="12"/>
  <c r="M368" i="12"/>
  <c r="L368" i="12"/>
  <c r="F368" i="12"/>
  <c r="D368" i="12"/>
  <c r="O367" i="12"/>
  <c r="N367" i="12"/>
  <c r="M367" i="12"/>
  <c r="L367" i="12"/>
  <c r="F367" i="12"/>
  <c r="D367" i="12"/>
  <c r="O366" i="12"/>
  <c r="N366" i="12"/>
  <c r="M366" i="12"/>
  <c r="L366" i="12"/>
  <c r="F366" i="12"/>
  <c r="D366" i="12"/>
  <c r="O365" i="12"/>
  <c r="N365" i="12"/>
  <c r="M365" i="12"/>
  <c r="L365" i="12"/>
  <c r="F365" i="12"/>
  <c r="D365" i="12"/>
  <c r="O364" i="12"/>
  <c r="N364" i="12"/>
  <c r="M364" i="12"/>
  <c r="L364" i="12"/>
  <c r="F364" i="12"/>
  <c r="D364" i="12"/>
  <c r="O363" i="12"/>
  <c r="N363" i="12"/>
  <c r="M363" i="12"/>
  <c r="L363" i="12"/>
  <c r="F363" i="12"/>
  <c r="D363" i="12"/>
  <c r="O362" i="12"/>
  <c r="N362" i="12"/>
  <c r="M362" i="12"/>
  <c r="L362" i="12"/>
  <c r="F362" i="12"/>
  <c r="D362" i="12"/>
  <c r="O361" i="12"/>
  <c r="N361" i="12"/>
  <c r="M361" i="12"/>
  <c r="L361" i="12"/>
  <c r="F361" i="12"/>
  <c r="D361" i="12"/>
  <c r="O360" i="12"/>
  <c r="N360" i="12"/>
  <c r="M360" i="12"/>
  <c r="L360" i="12"/>
  <c r="F360" i="12"/>
  <c r="D360" i="12"/>
  <c r="O359" i="12"/>
  <c r="N359" i="12"/>
  <c r="M359" i="12"/>
  <c r="L359" i="12"/>
  <c r="F359" i="12"/>
  <c r="D359" i="12"/>
  <c r="O358" i="12"/>
  <c r="N358" i="12"/>
  <c r="M358" i="12"/>
  <c r="L358" i="12"/>
  <c r="F358" i="12"/>
  <c r="D358" i="12"/>
  <c r="O357" i="12"/>
  <c r="N357" i="12"/>
  <c r="M357" i="12"/>
  <c r="L357" i="12"/>
  <c r="F357" i="12"/>
  <c r="D357" i="12"/>
  <c r="O356" i="12"/>
  <c r="N356" i="12"/>
  <c r="M356" i="12"/>
  <c r="L356" i="12"/>
  <c r="F356" i="12"/>
  <c r="D356" i="12"/>
  <c r="O355" i="12"/>
  <c r="N355" i="12"/>
  <c r="M355" i="12"/>
  <c r="L355" i="12"/>
  <c r="F355" i="12"/>
  <c r="D355" i="12"/>
  <c r="O354" i="12"/>
  <c r="N354" i="12"/>
  <c r="M354" i="12"/>
  <c r="L354" i="12"/>
  <c r="F354" i="12"/>
  <c r="D354" i="12"/>
  <c r="O353" i="12"/>
  <c r="N353" i="12"/>
  <c r="M353" i="12"/>
  <c r="L353" i="12"/>
  <c r="F353" i="12"/>
  <c r="D353" i="12"/>
  <c r="O352" i="12"/>
  <c r="N352" i="12"/>
  <c r="M352" i="12"/>
  <c r="L352" i="12"/>
  <c r="F352" i="12"/>
  <c r="D352" i="12"/>
  <c r="O351" i="12"/>
  <c r="N351" i="12"/>
  <c r="M351" i="12"/>
  <c r="L351" i="12"/>
  <c r="F351" i="12"/>
  <c r="D351" i="12"/>
  <c r="O350" i="12"/>
  <c r="N350" i="12"/>
  <c r="M350" i="12"/>
  <c r="L350" i="12"/>
  <c r="F350" i="12"/>
  <c r="D350" i="12"/>
  <c r="O349" i="12"/>
  <c r="N349" i="12"/>
  <c r="M349" i="12"/>
  <c r="L349" i="12"/>
  <c r="F349" i="12"/>
  <c r="D349" i="12"/>
  <c r="O348" i="12"/>
  <c r="N348" i="12"/>
  <c r="M348" i="12"/>
  <c r="L348" i="12"/>
  <c r="F348" i="12"/>
  <c r="D348" i="12"/>
  <c r="O347" i="12"/>
  <c r="N347" i="12"/>
  <c r="M347" i="12"/>
  <c r="L347" i="12"/>
  <c r="F347" i="12"/>
  <c r="D347" i="12"/>
  <c r="O346" i="12"/>
  <c r="N346" i="12"/>
  <c r="M346" i="12"/>
  <c r="L346" i="12"/>
  <c r="F346" i="12"/>
  <c r="D346" i="12"/>
  <c r="O345" i="12"/>
  <c r="N345" i="12"/>
  <c r="M345" i="12"/>
  <c r="L345" i="12"/>
  <c r="F345" i="12"/>
  <c r="D345" i="12"/>
  <c r="O344" i="12"/>
  <c r="N344" i="12"/>
  <c r="M344" i="12"/>
  <c r="L344" i="12"/>
  <c r="F344" i="12"/>
  <c r="D344" i="12"/>
  <c r="O343" i="12"/>
  <c r="N343" i="12"/>
  <c r="M343" i="12"/>
  <c r="L343" i="12"/>
  <c r="F343" i="12"/>
  <c r="D343" i="12"/>
  <c r="O342" i="12"/>
  <c r="N342" i="12"/>
  <c r="M342" i="12"/>
  <c r="L342" i="12"/>
  <c r="F342" i="12"/>
  <c r="D342" i="12"/>
  <c r="O341" i="12"/>
  <c r="N341" i="12"/>
  <c r="M341" i="12"/>
  <c r="L341" i="12"/>
  <c r="F341" i="12"/>
  <c r="D341" i="12"/>
  <c r="O340" i="12"/>
  <c r="N340" i="12"/>
  <c r="M340" i="12"/>
  <c r="L340" i="12"/>
  <c r="F340" i="12"/>
  <c r="D340" i="12"/>
  <c r="O339" i="12"/>
  <c r="N339" i="12"/>
  <c r="M339" i="12"/>
  <c r="L339" i="12"/>
  <c r="F339" i="12"/>
  <c r="D339" i="12"/>
  <c r="O338" i="12"/>
  <c r="N338" i="12"/>
  <c r="M338" i="12"/>
  <c r="L338" i="12"/>
  <c r="F338" i="12"/>
  <c r="D338" i="12"/>
  <c r="O337" i="12"/>
  <c r="N337" i="12"/>
  <c r="M337" i="12"/>
  <c r="L337" i="12"/>
  <c r="F337" i="12"/>
  <c r="D337" i="12"/>
  <c r="O336" i="12"/>
  <c r="N336" i="12"/>
  <c r="M336" i="12"/>
  <c r="L336" i="12"/>
  <c r="F336" i="12"/>
  <c r="D336" i="12"/>
  <c r="O335" i="12"/>
  <c r="N335" i="12"/>
  <c r="M335" i="12"/>
  <c r="L335" i="12"/>
  <c r="F335" i="12"/>
  <c r="D335" i="12"/>
  <c r="O334" i="12"/>
  <c r="N334" i="12"/>
  <c r="M334" i="12"/>
  <c r="L334" i="12"/>
  <c r="F334" i="12"/>
  <c r="D334" i="12"/>
  <c r="O333" i="12"/>
  <c r="N333" i="12"/>
  <c r="M333" i="12"/>
  <c r="L333" i="12"/>
  <c r="F333" i="12"/>
  <c r="D333" i="12"/>
  <c r="O332" i="12"/>
  <c r="N332" i="12"/>
  <c r="M332" i="12"/>
  <c r="L332" i="12"/>
  <c r="F332" i="12"/>
  <c r="D332" i="12"/>
  <c r="O331" i="12"/>
  <c r="N331" i="12"/>
  <c r="M331" i="12"/>
  <c r="L331" i="12"/>
  <c r="F331" i="12"/>
  <c r="D331" i="12"/>
  <c r="O330" i="12"/>
  <c r="N330" i="12"/>
  <c r="M330" i="12"/>
  <c r="L330" i="12"/>
  <c r="F330" i="12"/>
  <c r="D330" i="12"/>
  <c r="O329" i="12"/>
  <c r="N329" i="12"/>
  <c r="M329" i="12"/>
  <c r="L329" i="12"/>
  <c r="F329" i="12"/>
  <c r="D329" i="12"/>
  <c r="O328" i="12"/>
  <c r="N328" i="12"/>
  <c r="M328" i="12"/>
  <c r="L328" i="12"/>
  <c r="F328" i="12"/>
  <c r="D328" i="12"/>
  <c r="O327" i="12"/>
  <c r="N327" i="12"/>
  <c r="M327" i="12"/>
  <c r="L327" i="12"/>
  <c r="F327" i="12"/>
  <c r="D327" i="12"/>
  <c r="O326" i="12"/>
  <c r="N326" i="12"/>
  <c r="M326" i="12"/>
  <c r="L326" i="12"/>
  <c r="F326" i="12"/>
  <c r="D326" i="12"/>
  <c r="O325" i="12"/>
  <c r="N325" i="12"/>
  <c r="M325" i="12"/>
  <c r="L325" i="12"/>
  <c r="F325" i="12"/>
  <c r="D325" i="12"/>
  <c r="O324" i="12"/>
  <c r="N324" i="12"/>
  <c r="M324" i="12"/>
  <c r="L324" i="12"/>
  <c r="F324" i="12"/>
  <c r="D324" i="12"/>
  <c r="O323" i="12"/>
  <c r="N323" i="12"/>
  <c r="M323" i="12"/>
  <c r="L323" i="12"/>
  <c r="F323" i="12"/>
  <c r="D323" i="12"/>
  <c r="O322" i="12"/>
  <c r="N322" i="12"/>
  <c r="M322" i="12"/>
  <c r="L322" i="12"/>
  <c r="F322" i="12"/>
  <c r="D322" i="12"/>
  <c r="O321" i="12"/>
  <c r="N321" i="12"/>
  <c r="M321" i="12"/>
  <c r="L321" i="12"/>
  <c r="F321" i="12"/>
  <c r="D321" i="12"/>
  <c r="O320" i="12"/>
  <c r="N320" i="12"/>
  <c r="M320" i="12"/>
  <c r="L320" i="12"/>
  <c r="F320" i="12"/>
  <c r="D320" i="12"/>
  <c r="O319" i="12"/>
  <c r="N319" i="12"/>
  <c r="M319" i="12"/>
  <c r="L319" i="12"/>
  <c r="F319" i="12"/>
  <c r="D319" i="12"/>
  <c r="O318" i="12"/>
  <c r="N318" i="12"/>
  <c r="M318" i="12"/>
  <c r="L318" i="12"/>
  <c r="F318" i="12"/>
  <c r="D318" i="12"/>
  <c r="O317" i="12"/>
  <c r="N317" i="12"/>
  <c r="M317" i="12"/>
  <c r="L317" i="12"/>
  <c r="F317" i="12"/>
  <c r="D317" i="12"/>
  <c r="O316" i="12"/>
  <c r="N316" i="12"/>
  <c r="M316" i="12"/>
  <c r="L316" i="12"/>
  <c r="F316" i="12"/>
  <c r="D316" i="12"/>
  <c r="O315" i="12"/>
  <c r="N315" i="12"/>
  <c r="M315" i="12"/>
  <c r="L315" i="12"/>
  <c r="F315" i="12"/>
  <c r="D315" i="12"/>
  <c r="O314" i="12"/>
  <c r="N314" i="12"/>
  <c r="M314" i="12"/>
  <c r="L314" i="12"/>
  <c r="F314" i="12"/>
  <c r="D314" i="12"/>
  <c r="O313" i="12"/>
  <c r="N313" i="12"/>
  <c r="M313" i="12"/>
  <c r="L313" i="12"/>
  <c r="F313" i="12"/>
  <c r="D313" i="12"/>
  <c r="O312" i="12"/>
  <c r="N312" i="12"/>
  <c r="M312" i="12"/>
  <c r="L312" i="12"/>
  <c r="F312" i="12"/>
  <c r="D312" i="12"/>
  <c r="O311" i="12"/>
  <c r="N311" i="12"/>
  <c r="M311" i="12"/>
  <c r="L311" i="12"/>
  <c r="F311" i="12"/>
  <c r="D311" i="12"/>
  <c r="O310" i="12"/>
  <c r="N310" i="12"/>
  <c r="M310" i="12"/>
  <c r="L310" i="12"/>
  <c r="F310" i="12"/>
  <c r="D310" i="12"/>
  <c r="O309" i="12"/>
  <c r="N309" i="12"/>
  <c r="M309" i="12"/>
  <c r="L309" i="12"/>
  <c r="F309" i="12"/>
  <c r="D309" i="12"/>
  <c r="O308" i="12"/>
  <c r="N308" i="12"/>
  <c r="M308" i="12"/>
  <c r="L308" i="12"/>
  <c r="F308" i="12"/>
  <c r="D308" i="12"/>
  <c r="O307" i="12"/>
  <c r="N307" i="12"/>
  <c r="M307" i="12"/>
  <c r="L307" i="12"/>
  <c r="F307" i="12"/>
  <c r="D307" i="12"/>
  <c r="O306" i="12"/>
  <c r="N306" i="12"/>
  <c r="M306" i="12"/>
  <c r="L306" i="12"/>
  <c r="F306" i="12"/>
  <c r="D306" i="12"/>
  <c r="O305" i="12"/>
  <c r="N305" i="12"/>
  <c r="M305" i="12"/>
  <c r="L305" i="12"/>
  <c r="F305" i="12"/>
  <c r="D305" i="12"/>
  <c r="O304" i="12"/>
  <c r="N304" i="12"/>
  <c r="M304" i="12"/>
  <c r="L304" i="12"/>
  <c r="F304" i="12"/>
  <c r="D304" i="12"/>
  <c r="O303" i="12"/>
  <c r="N303" i="12"/>
  <c r="M303" i="12"/>
  <c r="L303" i="12"/>
  <c r="F303" i="12"/>
  <c r="D303" i="12"/>
  <c r="O302" i="12"/>
  <c r="N302" i="12"/>
  <c r="M302" i="12"/>
  <c r="L302" i="12"/>
  <c r="F302" i="12"/>
  <c r="D302" i="12"/>
  <c r="O301" i="12"/>
  <c r="N301" i="12"/>
  <c r="M301" i="12"/>
  <c r="L301" i="12"/>
  <c r="F301" i="12"/>
  <c r="D301" i="12"/>
  <c r="O300" i="12"/>
  <c r="N300" i="12"/>
  <c r="M300" i="12"/>
  <c r="L300" i="12"/>
  <c r="F300" i="12"/>
  <c r="D300" i="12"/>
  <c r="O299" i="12"/>
  <c r="N299" i="12"/>
  <c r="M299" i="12"/>
  <c r="L299" i="12"/>
  <c r="F299" i="12"/>
  <c r="D299" i="12"/>
  <c r="O298" i="12"/>
  <c r="N298" i="12"/>
  <c r="M298" i="12"/>
  <c r="L298" i="12"/>
  <c r="F298" i="12"/>
  <c r="D298" i="12"/>
  <c r="O297" i="12"/>
  <c r="N297" i="12"/>
  <c r="M297" i="12"/>
  <c r="L297" i="12"/>
  <c r="F297" i="12"/>
  <c r="D297" i="12"/>
  <c r="O296" i="12"/>
  <c r="N296" i="12"/>
  <c r="M296" i="12"/>
  <c r="L296" i="12"/>
  <c r="F296" i="12"/>
  <c r="D296" i="12"/>
  <c r="O295" i="12"/>
  <c r="N295" i="12"/>
  <c r="M295" i="12"/>
  <c r="L295" i="12"/>
  <c r="F295" i="12"/>
  <c r="D295" i="12"/>
  <c r="O294" i="12"/>
  <c r="N294" i="12"/>
  <c r="M294" i="12"/>
  <c r="L294" i="12"/>
  <c r="F294" i="12"/>
  <c r="D294" i="12"/>
  <c r="O293" i="12"/>
  <c r="N293" i="12"/>
  <c r="M293" i="12"/>
  <c r="L293" i="12"/>
  <c r="F293" i="12"/>
  <c r="D293" i="12"/>
  <c r="O292" i="12"/>
  <c r="N292" i="12"/>
  <c r="M292" i="12"/>
  <c r="L292" i="12"/>
  <c r="F292" i="12"/>
  <c r="D292" i="12"/>
  <c r="O291" i="12"/>
  <c r="N291" i="12"/>
  <c r="M291" i="12"/>
  <c r="L291" i="12"/>
  <c r="F291" i="12"/>
  <c r="D291" i="12"/>
  <c r="O290" i="12"/>
  <c r="N290" i="12"/>
  <c r="M290" i="12"/>
  <c r="L290" i="12"/>
  <c r="F290" i="12"/>
  <c r="D290" i="12"/>
  <c r="O289" i="12"/>
  <c r="N289" i="12"/>
  <c r="M289" i="12"/>
  <c r="L289" i="12"/>
  <c r="F289" i="12"/>
  <c r="D289" i="12"/>
  <c r="O288" i="12"/>
  <c r="N288" i="12"/>
  <c r="M288" i="12"/>
  <c r="L288" i="12"/>
  <c r="F288" i="12"/>
  <c r="D288" i="12"/>
  <c r="O287" i="12"/>
  <c r="N287" i="12"/>
  <c r="M287" i="12"/>
  <c r="L287" i="12"/>
  <c r="F287" i="12"/>
  <c r="D287" i="12"/>
  <c r="O286" i="12"/>
  <c r="N286" i="12"/>
  <c r="M286" i="12"/>
  <c r="L286" i="12"/>
  <c r="F286" i="12"/>
  <c r="D286" i="12"/>
  <c r="O285" i="12"/>
  <c r="N285" i="12"/>
  <c r="M285" i="12"/>
  <c r="L285" i="12"/>
  <c r="F285" i="12"/>
  <c r="D285" i="12"/>
  <c r="O284" i="12"/>
  <c r="N284" i="12"/>
  <c r="M284" i="12"/>
  <c r="L284" i="12"/>
  <c r="F284" i="12"/>
  <c r="D284" i="12"/>
  <c r="O283" i="12"/>
  <c r="N283" i="12"/>
  <c r="M283" i="12"/>
  <c r="L283" i="12"/>
  <c r="F283" i="12"/>
  <c r="D283" i="12"/>
  <c r="O282" i="12"/>
  <c r="N282" i="12"/>
  <c r="M282" i="12"/>
  <c r="L282" i="12"/>
  <c r="F282" i="12"/>
  <c r="D282" i="12"/>
  <c r="O281" i="12"/>
  <c r="N281" i="12"/>
  <c r="M281" i="12"/>
  <c r="L281" i="12"/>
  <c r="F281" i="12"/>
  <c r="D281" i="12"/>
  <c r="O280" i="12"/>
  <c r="N280" i="12"/>
  <c r="M280" i="12"/>
  <c r="L280" i="12"/>
  <c r="F280" i="12"/>
  <c r="D280" i="12"/>
  <c r="O279" i="12"/>
  <c r="N279" i="12"/>
  <c r="M279" i="12"/>
  <c r="L279" i="12"/>
  <c r="F279" i="12"/>
  <c r="D279" i="12"/>
  <c r="O278" i="12"/>
  <c r="N278" i="12"/>
  <c r="M278" i="12"/>
  <c r="L278" i="12"/>
  <c r="F278" i="12"/>
  <c r="D278" i="12"/>
  <c r="O277" i="12"/>
  <c r="N277" i="12"/>
  <c r="M277" i="12"/>
  <c r="L277" i="12"/>
  <c r="F277" i="12"/>
  <c r="D277" i="12"/>
  <c r="O276" i="12"/>
  <c r="N276" i="12"/>
  <c r="M276" i="12"/>
  <c r="L276" i="12"/>
  <c r="F276" i="12"/>
  <c r="D276" i="12"/>
  <c r="O275" i="12"/>
  <c r="N275" i="12"/>
  <c r="M275" i="12"/>
  <c r="L275" i="12"/>
  <c r="F275" i="12"/>
  <c r="D275" i="12"/>
  <c r="O274" i="12"/>
  <c r="N274" i="12"/>
  <c r="M274" i="12"/>
  <c r="L274" i="12"/>
  <c r="F274" i="12"/>
  <c r="D274" i="12"/>
  <c r="O273" i="12"/>
  <c r="N273" i="12"/>
  <c r="M273" i="12"/>
  <c r="L273" i="12"/>
  <c r="F273" i="12"/>
  <c r="D273" i="12"/>
  <c r="O272" i="12"/>
  <c r="N272" i="12"/>
  <c r="M272" i="12"/>
  <c r="L272" i="12"/>
  <c r="F272" i="12"/>
  <c r="D272" i="12"/>
  <c r="O271" i="12"/>
  <c r="N271" i="12"/>
  <c r="M271" i="12"/>
  <c r="L271" i="12"/>
  <c r="F271" i="12"/>
  <c r="D271" i="12"/>
  <c r="O270" i="12"/>
  <c r="N270" i="12"/>
  <c r="M270" i="12"/>
  <c r="L270" i="12"/>
  <c r="F270" i="12"/>
  <c r="D270" i="12"/>
  <c r="O269" i="12"/>
  <c r="N269" i="12"/>
  <c r="M269" i="12"/>
  <c r="L269" i="12"/>
  <c r="F269" i="12"/>
  <c r="D269" i="12"/>
  <c r="O268" i="12"/>
  <c r="N268" i="12"/>
  <c r="M268" i="12"/>
  <c r="L268" i="12"/>
  <c r="F268" i="12"/>
  <c r="D268" i="12"/>
  <c r="O267" i="12"/>
  <c r="N267" i="12"/>
  <c r="M267" i="12"/>
  <c r="L267" i="12"/>
  <c r="F267" i="12"/>
  <c r="D267" i="12"/>
  <c r="O266" i="12"/>
  <c r="N266" i="12"/>
  <c r="M266" i="12"/>
  <c r="L266" i="12"/>
  <c r="F266" i="12"/>
  <c r="D266" i="12"/>
  <c r="O265" i="12"/>
  <c r="N265" i="12"/>
  <c r="M265" i="12"/>
  <c r="L265" i="12"/>
  <c r="F265" i="12"/>
  <c r="D265" i="12"/>
  <c r="O264" i="12"/>
  <c r="N264" i="12"/>
  <c r="M264" i="12"/>
  <c r="L264" i="12"/>
  <c r="F264" i="12"/>
  <c r="D264" i="12"/>
  <c r="O263" i="12"/>
  <c r="N263" i="12"/>
  <c r="M263" i="12"/>
  <c r="L263" i="12"/>
  <c r="F263" i="12"/>
  <c r="D263" i="12"/>
  <c r="O262" i="12"/>
  <c r="N262" i="12"/>
  <c r="M262" i="12"/>
  <c r="L262" i="12"/>
  <c r="F262" i="12"/>
  <c r="D262" i="12"/>
  <c r="O261" i="12"/>
  <c r="N261" i="12"/>
  <c r="M261" i="12"/>
  <c r="L261" i="12"/>
  <c r="F261" i="12"/>
  <c r="D261" i="12"/>
  <c r="O260" i="12"/>
  <c r="N260" i="12"/>
  <c r="M260" i="12"/>
  <c r="L260" i="12"/>
  <c r="F260" i="12"/>
  <c r="D260" i="12"/>
  <c r="O259" i="12"/>
  <c r="N259" i="12"/>
  <c r="M259" i="12"/>
  <c r="L259" i="12"/>
  <c r="F259" i="12"/>
  <c r="D259" i="12"/>
  <c r="O258" i="12"/>
  <c r="N258" i="12"/>
  <c r="M258" i="12"/>
  <c r="L258" i="12"/>
  <c r="F258" i="12"/>
  <c r="D258" i="12"/>
  <c r="O257" i="12"/>
  <c r="N257" i="12"/>
  <c r="M257" i="12"/>
  <c r="L257" i="12"/>
  <c r="F257" i="12"/>
  <c r="D257" i="12"/>
  <c r="O256" i="12"/>
  <c r="N256" i="12"/>
  <c r="M256" i="12"/>
  <c r="L256" i="12"/>
  <c r="F256" i="12"/>
  <c r="D256" i="12"/>
  <c r="O255" i="12"/>
  <c r="N255" i="12"/>
  <c r="M255" i="12"/>
  <c r="L255" i="12"/>
  <c r="F255" i="12"/>
  <c r="D255" i="12"/>
  <c r="O254" i="12"/>
  <c r="N254" i="12"/>
  <c r="M254" i="12"/>
  <c r="L254" i="12"/>
  <c r="F254" i="12"/>
  <c r="D254" i="12"/>
  <c r="O253" i="12"/>
  <c r="N253" i="12"/>
  <c r="M253" i="12"/>
  <c r="L253" i="12"/>
  <c r="F253" i="12"/>
  <c r="D253" i="12"/>
  <c r="O252" i="12"/>
  <c r="N252" i="12"/>
  <c r="M252" i="12"/>
  <c r="L252" i="12"/>
  <c r="F252" i="12"/>
  <c r="D252" i="12"/>
  <c r="O251" i="12"/>
  <c r="N251" i="12"/>
  <c r="M251" i="12"/>
  <c r="L251" i="12"/>
  <c r="F251" i="12"/>
  <c r="D251" i="12"/>
  <c r="O250" i="12"/>
  <c r="N250" i="12"/>
  <c r="M250" i="12"/>
  <c r="L250" i="12"/>
  <c r="F250" i="12"/>
  <c r="D250" i="12"/>
  <c r="O249" i="12"/>
  <c r="N249" i="12"/>
  <c r="M249" i="12"/>
  <c r="L249" i="12"/>
  <c r="F249" i="12"/>
  <c r="D249" i="12"/>
  <c r="O248" i="12"/>
  <c r="N248" i="12"/>
  <c r="M248" i="12"/>
  <c r="L248" i="12"/>
  <c r="F248" i="12"/>
  <c r="D248" i="12"/>
  <c r="O247" i="12"/>
  <c r="N247" i="12"/>
  <c r="M247" i="12"/>
  <c r="L247" i="12"/>
  <c r="F247" i="12"/>
  <c r="D247" i="12"/>
  <c r="O246" i="12"/>
  <c r="N246" i="12"/>
  <c r="M246" i="12"/>
  <c r="L246" i="12"/>
  <c r="F246" i="12"/>
  <c r="D246" i="12"/>
  <c r="O245" i="12"/>
  <c r="N245" i="12"/>
  <c r="M245" i="12"/>
  <c r="L245" i="12"/>
  <c r="F245" i="12"/>
  <c r="D245" i="12"/>
  <c r="O244" i="12"/>
  <c r="N244" i="12"/>
  <c r="M244" i="12"/>
  <c r="L244" i="12"/>
  <c r="F244" i="12"/>
  <c r="D244" i="12"/>
  <c r="O243" i="12"/>
  <c r="N243" i="12"/>
  <c r="M243" i="12"/>
  <c r="L243" i="12"/>
  <c r="F243" i="12"/>
  <c r="D243" i="12"/>
  <c r="O242" i="12"/>
  <c r="N242" i="12"/>
  <c r="M242" i="12"/>
  <c r="L242" i="12"/>
  <c r="F242" i="12"/>
  <c r="D242" i="12"/>
  <c r="O241" i="12"/>
  <c r="N241" i="12"/>
  <c r="M241" i="12"/>
  <c r="L241" i="12"/>
  <c r="F241" i="12"/>
  <c r="D241" i="12"/>
  <c r="O240" i="12"/>
  <c r="N240" i="12"/>
  <c r="M240" i="12"/>
  <c r="L240" i="12"/>
  <c r="F240" i="12"/>
  <c r="D240" i="12"/>
  <c r="O239" i="12"/>
  <c r="N239" i="12"/>
  <c r="M239" i="12"/>
  <c r="L239" i="12"/>
  <c r="F239" i="12"/>
  <c r="D239" i="12"/>
  <c r="O238" i="12"/>
  <c r="N238" i="12"/>
  <c r="M238" i="12"/>
  <c r="L238" i="12"/>
  <c r="F238" i="12"/>
  <c r="D238" i="12"/>
  <c r="O237" i="12"/>
  <c r="N237" i="12"/>
  <c r="M237" i="12"/>
  <c r="L237" i="12"/>
  <c r="F237" i="12"/>
  <c r="D237" i="12"/>
  <c r="O236" i="12"/>
  <c r="N236" i="12"/>
  <c r="M236" i="12"/>
  <c r="L236" i="12"/>
  <c r="F236" i="12"/>
  <c r="D236" i="12"/>
  <c r="O235" i="12"/>
  <c r="N235" i="12"/>
  <c r="M235" i="12"/>
  <c r="L235" i="12"/>
  <c r="F235" i="12"/>
  <c r="D235" i="12"/>
  <c r="O234" i="12"/>
  <c r="N234" i="12"/>
  <c r="M234" i="12"/>
  <c r="L234" i="12"/>
  <c r="F234" i="12"/>
  <c r="D234" i="12"/>
  <c r="O233" i="12"/>
  <c r="N233" i="12"/>
  <c r="M233" i="12"/>
  <c r="L233" i="12"/>
  <c r="F233" i="12"/>
  <c r="D233" i="12"/>
  <c r="O232" i="12"/>
  <c r="N232" i="12"/>
  <c r="M232" i="12"/>
  <c r="L232" i="12"/>
  <c r="F232" i="12"/>
  <c r="D232" i="12"/>
  <c r="O231" i="12"/>
  <c r="N231" i="12"/>
  <c r="M231" i="12"/>
  <c r="L231" i="12"/>
  <c r="F231" i="12"/>
  <c r="D231" i="12"/>
  <c r="O230" i="12"/>
  <c r="N230" i="12"/>
  <c r="M230" i="12"/>
  <c r="L230" i="12"/>
  <c r="F230" i="12"/>
  <c r="D230" i="12"/>
  <c r="O229" i="12"/>
  <c r="N229" i="12"/>
  <c r="M229" i="12"/>
  <c r="L229" i="12"/>
  <c r="F229" i="12"/>
  <c r="D229" i="12"/>
  <c r="O228" i="12"/>
  <c r="N228" i="12"/>
  <c r="M228" i="12"/>
  <c r="L228" i="12"/>
  <c r="F228" i="12"/>
  <c r="D228" i="12"/>
  <c r="O227" i="12"/>
  <c r="N227" i="12"/>
  <c r="M227" i="12"/>
  <c r="L227" i="12"/>
  <c r="F227" i="12"/>
  <c r="D227" i="12"/>
  <c r="O226" i="12"/>
  <c r="N226" i="12"/>
  <c r="M226" i="12"/>
  <c r="L226" i="12"/>
  <c r="F226" i="12"/>
  <c r="D226" i="12"/>
  <c r="O225" i="12"/>
  <c r="N225" i="12"/>
  <c r="M225" i="12"/>
  <c r="L225" i="12"/>
  <c r="F225" i="12"/>
  <c r="D225" i="12"/>
  <c r="O224" i="12"/>
  <c r="N224" i="12"/>
  <c r="M224" i="12"/>
  <c r="L224" i="12"/>
  <c r="F224" i="12"/>
  <c r="D224" i="12"/>
  <c r="O223" i="12"/>
  <c r="N223" i="12"/>
  <c r="M223" i="12"/>
  <c r="L223" i="12"/>
  <c r="F223" i="12"/>
  <c r="D223" i="12"/>
  <c r="O222" i="12"/>
  <c r="N222" i="12"/>
  <c r="M222" i="12"/>
  <c r="L222" i="12"/>
  <c r="F222" i="12"/>
  <c r="D222" i="12"/>
  <c r="O221" i="12"/>
  <c r="N221" i="12"/>
  <c r="M221" i="12"/>
  <c r="L221" i="12"/>
  <c r="F221" i="12"/>
  <c r="D221" i="12"/>
  <c r="O220" i="12"/>
  <c r="N220" i="12"/>
  <c r="M220" i="12"/>
  <c r="L220" i="12"/>
  <c r="F220" i="12"/>
  <c r="D220" i="12"/>
  <c r="O219" i="12"/>
  <c r="N219" i="12"/>
  <c r="M219" i="12"/>
  <c r="L219" i="12"/>
  <c r="F219" i="12"/>
  <c r="D219" i="12"/>
  <c r="O218" i="12"/>
  <c r="N218" i="12"/>
  <c r="M218" i="12"/>
  <c r="L218" i="12"/>
  <c r="F218" i="12"/>
  <c r="D218" i="12"/>
  <c r="O217" i="12"/>
  <c r="N217" i="12"/>
  <c r="M217" i="12"/>
  <c r="L217" i="12"/>
  <c r="F217" i="12"/>
  <c r="D217" i="12"/>
  <c r="O216" i="12"/>
  <c r="N216" i="12"/>
  <c r="M216" i="12"/>
  <c r="L216" i="12"/>
  <c r="F216" i="12"/>
  <c r="D216" i="12"/>
  <c r="O215" i="12"/>
  <c r="N215" i="12"/>
  <c r="M215" i="12"/>
  <c r="L215" i="12"/>
  <c r="F215" i="12"/>
  <c r="D215" i="12"/>
  <c r="O214" i="12"/>
  <c r="N214" i="12"/>
  <c r="M214" i="12"/>
  <c r="L214" i="12"/>
  <c r="F214" i="12"/>
  <c r="D214" i="12"/>
  <c r="O213" i="12"/>
  <c r="N213" i="12"/>
  <c r="M213" i="12"/>
  <c r="L213" i="12"/>
  <c r="F213" i="12"/>
  <c r="D213" i="12"/>
  <c r="O212" i="12"/>
  <c r="N212" i="12"/>
  <c r="M212" i="12"/>
  <c r="L212" i="12"/>
  <c r="F212" i="12"/>
  <c r="D212" i="12"/>
  <c r="O211" i="12"/>
  <c r="N211" i="12"/>
  <c r="M211" i="12"/>
  <c r="L211" i="12"/>
  <c r="F211" i="12"/>
  <c r="D211" i="12"/>
  <c r="O210" i="12"/>
  <c r="N210" i="12"/>
  <c r="M210" i="12"/>
  <c r="L210" i="12"/>
  <c r="F210" i="12"/>
  <c r="D210" i="12"/>
  <c r="O209" i="12"/>
  <c r="N209" i="12"/>
  <c r="M209" i="12"/>
  <c r="L209" i="12"/>
  <c r="F209" i="12"/>
  <c r="D209" i="12"/>
  <c r="O208" i="12"/>
  <c r="N208" i="12"/>
  <c r="M208" i="12"/>
  <c r="L208" i="12"/>
  <c r="F208" i="12"/>
  <c r="D208" i="12"/>
  <c r="O207" i="12"/>
  <c r="N207" i="12"/>
  <c r="M207" i="12"/>
  <c r="L207" i="12"/>
  <c r="F207" i="12"/>
  <c r="D207" i="12"/>
  <c r="O206" i="12"/>
  <c r="N206" i="12"/>
  <c r="M206" i="12"/>
  <c r="L206" i="12"/>
  <c r="F206" i="12"/>
  <c r="D206" i="12"/>
  <c r="O205" i="12"/>
  <c r="N205" i="12"/>
  <c r="M205" i="12"/>
  <c r="L205" i="12"/>
  <c r="F205" i="12"/>
  <c r="D205" i="12"/>
  <c r="O204" i="12"/>
  <c r="N204" i="12"/>
  <c r="M204" i="12"/>
  <c r="L204" i="12"/>
  <c r="F204" i="12"/>
  <c r="D204" i="12"/>
  <c r="O203" i="12"/>
  <c r="N203" i="12"/>
  <c r="M203" i="12"/>
  <c r="L203" i="12"/>
  <c r="F203" i="12"/>
  <c r="D203" i="12"/>
  <c r="O202" i="12"/>
  <c r="N202" i="12"/>
  <c r="M202" i="12"/>
  <c r="L202" i="12"/>
  <c r="F202" i="12"/>
  <c r="D202" i="12"/>
  <c r="O201" i="12"/>
  <c r="N201" i="12"/>
  <c r="M201" i="12"/>
  <c r="L201" i="12"/>
  <c r="F201" i="12"/>
  <c r="D201" i="12"/>
  <c r="O200" i="12"/>
  <c r="N200" i="12"/>
  <c r="M200" i="12"/>
  <c r="L200" i="12"/>
  <c r="F200" i="12"/>
  <c r="D200" i="12"/>
  <c r="O199" i="12"/>
  <c r="N199" i="12"/>
  <c r="M199" i="12"/>
  <c r="L199" i="12"/>
  <c r="F199" i="12"/>
  <c r="D199" i="12"/>
  <c r="O198" i="12"/>
  <c r="N198" i="12"/>
  <c r="M198" i="12"/>
  <c r="L198" i="12"/>
  <c r="F198" i="12"/>
  <c r="D198" i="12"/>
  <c r="O197" i="12"/>
  <c r="N197" i="12"/>
  <c r="M197" i="12"/>
  <c r="L197" i="12"/>
  <c r="F197" i="12"/>
  <c r="D197" i="12"/>
  <c r="O196" i="12"/>
  <c r="N196" i="12"/>
  <c r="M196" i="12"/>
  <c r="L196" i="12"/>
  <c r="F196" i="12"/>
  <c r="D196" i="12"/>
  <c r="O195" i="12"/>
  <c r="N195" i="12"/>
  <c r="M195" i="12"/>
  <c r="L195" i="12"/>
  <c r="F195" i="12"/>
  <c r="D195" i="12"/>
  <c r="O194" i="12"/>
  <c r="N194" i="12"/>
  <c r="M194" i="12"/>
  <c r="L194" i="12"/>
  <c r="F194" i="12"/>
  <c r="D194" i="12"/>
  <c r="O193" i="12"/>
  <c r="N193" i="12"/>
  <c r="M193" i="12"/>
  <c r="L193" i="12"/>
  <c r="F193" i="12"/>
  <c r="D193" i="12"/>
  <c r="O192" i="12"/>
  <c r="N192" i="12"/>
  <c r="M192" i="12"/>
  <c r="L192" i="12"/>
  <c r="F192" i="12"/>
  <c r="D192" i="12"/>
  <c r="O191" i="12"/>
  <c r="N191" i="12"/>
  <c r="M191" i="12"/>
  <c r="L191" i="12"/>
  <c r="F191" i="12"/>
  <c r="D191" i="12"/>
  <c r="O190" i="12"/>
  <c r="N190" i="12"/>
  <c r="M190" i="12"/>
  <c r="L190" i="12"/>
  <c r="F190" i="12"/>
  <c r="D190" i="12"/>
  <c r="O189" i="12"/>
  <c r="N189" i="12"/>
  <c r="M189" i="12"/>
  <c r="L189" i="12"/>
  <c r="F189" i="12"/>
  <c r="D189" i="12"/>
  <c r="O188" i="12"/>
  <c r="N188" i="12"/>
  <c r="M188" i="12"/>
  <c r="L188" i="12"/>
  <c r="F188" i="12"/>
  <c r="D188" i="12"/>
  <c r="O187" i="12"/>
  <c r="N187" i="12"/>
  <c r="M187" i="12"/>
  <c r="L187" i="12"/>
  <c r="F187" i="12"/>
  <c r="D187" i="12"/>
  <c r="O186" i="12"/>
  <c r="N186" i="12"/>
  <c r="M186" i="12"/>
  <c r="L186" i="12"/>
  <c r="F186" i="12"/>
  <c r="D186" i="12"/>
  <c r="O185" i="12"/>
  <c r="N185" i="12"/>
  <c r="M185" i="12"/>
  <c r="L185" i="12"/>
  <c r="F185" i="12"/>
  <c r="D185" i="12"/>
  <c r="O184" i="12"/>
  <c r="N184" i="12"/>
  <c r="M184" i="12"/>
  <c r="L184" i="12"/>
  <c r="F184" i="12"/>
  <c r="D184" i="12"/>
  <c r="O183" i="12"/>
  <c r="N183" i="12"/>
  <c r="M183" i="12"/>
  <c r="L183" i="12"/>
  <c r="F183" i="12"/>
  <c r="D183" i="12"/>
  <c r="O182" i="12"/>
  <c r="N182" i="12"/>
  <c r="M182" i="12"/>
  <c r="L182" i="12"/>
  <c r="F182" i="12"/>
  <c r="D182" i="12"/>
  <c r="O181" i="12"/>
  <c r="N181" i="12"/>
  <c r="M181" i="12"/>
  <c r="L181" i="12"/>
  <c r="F181" i="12"/>
  <c r="D181" i="12"/>
  <c r="O180" i="12"/>
  <c r="N180" i="12"/>
  <c r="M180" i="12"/>
  <c r="L180" i="12"/>
  <c r="F180" i="12"/>
  <c r="D180" i="12"/>
  <c r="O179" i="12"/>
  <c r="N179" i="12"/>
  <c r="M179" i="12"/>
  <c r="L179" i="12"/>
  <c r="F179" i="12"/>
  <c r="D179" i="12"/>
  <c r="O178" i="12"/>
  <c r="N178" i="12"/>
  <c r="M178" i="12"/>
  <c r="L178" i="12"/>
  <c r="F178" i="12"/>
  <c r="D178" i="12"/>
  <c r="O177" i="12"/>
  <c r="N177" i="12"/>
  <c r="M177" i="12"/>
  <c r="L177" i="12"/>
  <c r="F177" i="12"/>
  <c r="D177" i="12"/>
  <c r="O176" i="12"/>
  <c r="N176" i="12"/>
  <c r="M176" i="12"/>
  <c r="L176" i="12"/>
  <c r="F176" i="12"/>
  <c r="D176" i="12"/>
  <c r="O175" i="12"/>
  <c r="N175" i="12"/>
  <c r="M175" i="12"/>
  <c r="L175" i="12"/>
  <c r="F175" i="12"/>
  <c r="D175" i="12"/>
  <c r="O174" i="12"/>
  <c r="N174" i="12"/>
  <c r="M174" i="12"/>
  <c r="L174" i="12"/>
  <c r="F174" i="12"/>
  <c r="D174" i="12"/>
  <c r="O173" i="12"/>
  <c r="N173" i="12"/>
  <c r="M173" i="12"/>
  <c r="L173" i="12"/>
  <c r="F173" i="12"/>
  <c r="D173" i="12"/>
  <c r="O172" i="12"/>
  <c r="N172" i="12"/>
  <c r="M172" i="12"/>
  <c r="L172" i="12"/>
  <c r="F172" i="12"/>
  <c r="D172" i="12"/>
  <c r="O171" i="12"/>
  <c r="N171" i="12"/>
  <c r="M171" i="12"/>
  <c r="L171" i="12"/>
  <c r="F171" i="12"/>
  <c r="D171" i="12"/>
  <c r="O170" i="12"/>
  <c r="N170" i="12"/>
  <c r="M170" i="12"/>
  <c r="L170" i="12"/>
  <c r="F170" i="12"/>
  <c r="D170" i="12"/>
  <c r="O169" i="12"/>
  <c r="N169" i="12"/>
  <c r="M169" i="12"/>
  <c r="L169" i="12"/>
  <c r="F169" i="12"/>
  <c r="D169" i="12"/>
  <c r="O168" i="12"/>
  <c r="N168" i="12"/>
  <c r="M168" i="12"/>
  <c r="L168" i="12"/>
  <c r="F168" i="12"/>
  <c r="D168" i="12"/>
  <c r="O167" i="12"/>
  <c r="N167" i="12"/>
  <c r="M167" i="12"/>
  <c r="L167" i="12"/>
  <c r="F167" i="12"/>
  <c r="D167" i="12"/>
  <c r="O166" i="12"/>
  <c r="N166" i="12"/>
  <c r="M166" i="12"/>
  <c r="L166" i="12"/>
  <c r="F166" i="12"/>
  <c r="D166" i="12"/>
  <c r="O165" i="12"/>
  <c r="N165" i="12"/>
  <c r="M165" i="12"/>
  <c r="L165" i="12"/>
  <c r="F165" i="12"/>
  <c r="D165" i="12"/>
  <c r="O164" i="12"/>
  <c r="N164" i="12"/>
  <c r="M164" i="12"/>
  <c r="L164" i="12"/>
  <c r="F164" i="12"/>
  <c r="D164" i="12"/>
  <c r="O163" i="12"/>
  <c r="N163" i="12"/>
  <c r="M163" i="12"/>
  <c r="L163" i="12"/>
  <c r="F163" i="12"/>
  <c r="D163" i="12"/>
  <c r="O162" i="12"/>
  <c r="N162" i="12"/>
  <c r="M162" i="12"/>
  <c r="L162" i="12"/>
  <c r="F162" i="12"/>
  <c r="D162" i="12"/>
  <c r="O161" i="12"/>
  <c r="N161" i="12"/>
  <c r="M161" i="12"/>
  <c r="L161" i="12"/>
  <c r="F161" i="12"/>
  <c r="D161" i="12"/>
  <c r="O160" i="12"/>
  <c r="N160" i="12"/>
  <c r="M160" i="12"/>
  <c r="L160" i="12"/>
  <c r="F160" i="12"/>
  <c r="D160" i="12"/>
  <c r="O159" i="12"/>
  <c r="N159" i="12"/>
  <c r="M159" i="12"/>
  <c r="L159" i="12"/>
  <c r="F159" i="12"/>
  <c r="D159" i="12"/>
  <c r="O158" i="12"/>
  <c r="N158" i="12"/>
  <c r="M158" i="12"/>
  <c r="L158" i="12"/>
  <c r="F158" i="12"/>
  <c r="D158" i="12"/>
  <c r="O157" i="12"/>
  <c r="N157" i="12"/>
  <c r="M157" i="12"/>
  <c r="L157" i="12"/>
  <c r="F157" i="12"/>
  <c r="D157" i="12"/>
  <c r="O156" i="12"/>
  <c r="N156" i="12"/>
  <c r="M156" i="12"/>
  <c r="L156" i="12"/>
  <c r="F156" i="12"/>
  <c r="D156" i="12"/>
  <c r="O155" i="12"/>
  <c r="N155" i="12"/>
  <c r="M155" i="12"/>
  <c r="L155" i="12"/>
  <c r="F155" i="12"/>
  <c r="D155" i="12"/>
  <c r="O154" i="12"/>
  <c r="N154" i="12"/>
  <c r="M154" i="12"/>
  <c r="L154" i="12"/>
  <c r="F154" i="12"/>
  <c r="D154" i="12"/>
  <c r="O153" i="12"/>
  <c r="N153" i="12"/>
  <c r="M153" i="12"/>
  <c r="L153" i="12"/>
  <c r="F153" i="12"/>
  <c r="D153" i="12"/>
  <c r="O152" i="12"/>
  <c r="N152" i="12"/>
  <c r="M152" i="12"/>
  <c r="L152" i="12"/>
  <c r="F152" i="12"/>
  <c r="D152" i="12"/>
  <c r="O151" i="12"/>
  <c r="N151" i="12"/>
  <c r="M151" i="12"/>
  <c r="L151" i="12"/>
  <c r="F151" i="12"/>
  <c r="D151" i="12"/>
  <c r="O150" i="12"/>
  <c r="N150" i="12"/>
  <c r="M150" i="12"/>
  <c r="L150" i="12"/>
  <c r="F150" i="12"/>
  <c r="D150" i="12"/>
  <c r="O149" i="12"/>
  <c r="N149" i="12"/>
  <c r="M149" i="12"/>
  <c r="L149" i="12"/>
  <c r="F149" i="12"/>
  <c r="D149" i="12"/>
  <c r="O148" i="12"/>
  <c r="N148" i="12"/>
  <c r="M148" i="12"/>
  <c r="L148" i="12"/>
  <c r="F148" i="12"/>
  <c r="D148" i="12"/>
  <c r="O147" i="12"/>
  <c r="N147" i="12"/>
  <c r="M147" i="12"/>
  <c r="L147" i="12"/>
  <c r="F147" i="12"/>
  <c r="D147" i="12"/>
  <c r="O146" i="12"/>
  <c r="N146" i="12"/>
  <c r="M146" i="12"/>
  <c r="L146" i="12"/>
  <c r="F146" i="12"/>
  <c r="D146" i="12"/>
  <c r="O145" i="12"/>
  <c r="N145" i="12"/>
  <c r="M145" i="12"/>
  <c r="L145" i="12"/>
  <c r="F145" i="12"/>
  <c r="D145" i="12"/>
  <c r="O144" i="12"/>
  <c r="N144" i="12"/>
  <c r="M144" i="12"/>
  <c r="L144" i="12"/>
  <c r="F144" i="12"/>
  <c r="D144" i="12"/>
  <c r="O143" i="12"/>
  <c r="N143" i="12"/>
  <c r="M143" i="12"/>
  <c r="L143" i="12"/>
  <c r="F143" i="12"/>
  <c r="D143" i="12"/>
  <c r="O142" i="12"/>
  <c r="N142" i="12"/>
  <c r="M142" i="12"/>
  <c r="L142" i="12"/>
  <c r="F142" i="12"/>
  <c r="D142" i="12"/>
  <c r="O141" i="12"/>
  <c r="N141" i="12"/>
  <c r="M141" i="12"/>
  <c r="L141" i="12"/>
  <c r="F141" i="12"/>
  <c r="D141" i="12"/>
  <c r="O140" i="12"/>
  <c r="N140" i="12"/>
  <c r="M140" i="12"/>
  <c r="L140" i="12"/>
  <c r="F140" i="12"/>
  <c r="D140" i="12"/>
  <c r="O139" i="12"/>
  <c r="N139" i="12"/>
  <c r="M139" i="12"/>
  <c r="L139" i="12"/>
  <c r="F139" i="12"/>
  <c r="D139" i="12"/>
  <c r="O138" i="12"/>
  <c r="N138" i="12"/>
  <c r="M138" i="12"/>
  <c r="L138" i="12"/>
  <c r="F138" i="12"/>
  <c r="D138" i="12"/>
  <c r="O137" i="12"/>
  <c r="N137" i="12"/>
  <c r="M137" i="12"/>
  <c r="L137" i="12"/>
  <c r="F137" i="12"/>
  <c r="D137" i="12"/>
  <c r="O136" i="12"/>
  <c r="N136" i="12"/>
  <c r="M136" i="12"/>
  <c r="L136" i="12"/>
  <c r="F136" i="12"/>
  <c r="D136" i="12"/>
  <c r="O135" i="12"/>
  <c r="N135" i="12"/>
  <c r="M135" i="12"/>
  <c r="L135" i="12"/>
  <c r="F135" i="12"/>
  <c r="D135" i="12"/>
  <c r="O134" i="12"/>
  <c r="N134" i="12"/>
  <c r="M134" i="12"/>
  <c r="L134" i="12"/>
  <c r="F134" i="12"/>
  <c r="D134" i="12"/>
  <c r="O133" i="12"/>
  <c r="N133" i="12"/>
  <c r="M133" i="12"/>
  <c r="L133" i="12"/>
  <c r="F133" i="12"/>
  <c r="D133" i="12"/>
  <c r="O132" i="12"/>
  <c r="N132" i="12"/>
  <c r="M132" i="12"/>
  <c r="L132" i="12"/>
  <c r="F132" i="12"/>
  <c r="D132" i="12"/>
  <c r="O131" i="12"/>
  <c r="N131" i="12"/>
  <c r="M131" i="12"/>
  <c r="L131" i="12"/>
  <c r="F131" i="12"/>
  <c r="D131" i="12"/>
  <c r="O130" i="12"/>
  <c r="N130" i="12"/>
  <c r="M130" i="12"/>
  <c r="L130" i="12"/>
  <c r="F130" i="12"/>
  <c r="D130" i="12"/>
  <c r="O129" i="12"/>
  <c r="N129" i="12"/>
  <c r="M129" i="12"/>
  <c r="L129" i="12"/>
  <c r="F129" i="12"/>
  <c r="D129" i="12"/>
  <c r="O128" i="12"/>
  <c r="N128" i="12"/>
  <c r="M128" i="12"/>
  <c r="L128" i="12"/>
  <c r="F128" i="12"/>
  <c r="D128" i="12"/>
  <c r="O127" i="12"/>
  <c r="N127" i="12"/>
  <c r="M127" i="12"/>
  <c r="L127" i="12"/>
  <c r="F127" i="12"/>
  <c r="D127" i="12"/>
  <c r="O126" i="12"/>
  <c r="N126" i="12"/>
  <c r="M126" i="12"/>
  <c r="L126" i="12"/>
  <c r="F126" i="12"/>
  <c r="D126" i="12"/>
  <c r="O125" i="12"/>
  <c r="N125" i="12"/>
  <c r="M125" i="12"/>
  <c r="L125" i="12"/>
  <c r="F125" i="12"/>
  <c r="D125" i="12"/>
  <c r="O124" i="12"/>
  <c r="N124" i="12"/>
  <c r="M124" i="12"/>
  <c r="L124" i="12"/>
  <c r="F124" i="12"/>
  <c r="D124" i="12"/>
  <c r="O123" i="12"/>
  <c r="N123" i="12"/>
  <c r="M123" i="12"/>
  <c r="L123" i="12"/>
  <c r="F123" i="12"/>
  <c r="D123" i="12"/>
  <c r="O122" i="12"/>
  <c r="N122" i="12"/>
  <c r="M122" i="12"/>
  <c r="L122" i="12"/>
  <c r="F122" i="12"/>
  <c r="D122" i="12"/>
  <c r="O121" i="12"/>
  <c r="N121" i="12"/>
  <c r="M121" i="12"/>
  <c r="L121" i="12"/>
  <c r="F121" i="12"/>
  <c r="D121" i="12"/>
  <c r="O120" i="12"/>
  <c r="N120" i="12"/>
  <c r="M120" i="12"/>
  <c r="L120" i="12"/>
  <c r="F120" i="12"/>
  <c r="D120" i="12"/>
  <c r="O119" i="12"/>
  <c r="N119" i="12"/>
  <c r="M119" i="12"/>
  <c r="L119" i="12"/>
  <c r="F119" i="12"/>
  <c r="D119" i="12"/>
  <c r="O118" i="12"/>
  <c r="N118" i="12"/>
  <c r="M118" i="12"/>
  <c r="L118" i="12"/>
  <c r="F118" i="12"/>
  <c r="D118" i="12"/>
  <c r="O117" i="12"/>
  <c r="N117" i="12"/>
  <c r="M117" i="12"/>
  <c r="L117" i="12"/>
  <c r="F117" i="12"/>
  <c r="D117" i="12"/>
  <c r="O116" i="12"/>
  <c r="N116" i="12"/>
  <c r="M116" i="12"/>
  <c r="L116" i="12"/>
  <c r="F116" i="12"/>
  <c r="D116" i="12"/>
  <c r="O115" i="12"/>
  <c r="N115" i="12"/>
  <c r="M115" i="12"/>
  <c r="L115" i="12"/>
  <c r="F115" i="12"/>
  <c r="D115" i="12"/>
  <c r="O114" i="12"/>
  <c r="N114" i="12"/>
  <c r="M114" i="12"/>
  <c r="L114" i="12"/>
  <c r="F114" i="12"/>
  <c r="D114" i="12"/>
  <c r="O113" i="12"/>
  <c r="N113" i="12"/>
  <c r="M113" i="12"/>
  <c r="L113" i="12"/>
  <c r="F113" i="12"/>
  <c r="D113" i="12"/>
  <c r="O112" i="12"/>
  <c r="N112" i="12"/>
  <c r="M112" i="12"/>
  <c r="L112" i="12"/>
  <c r="F112" i="12"/>
  <c r="D112" i="12"/>
  <c r="O111" i="12"/>
  <c r="N111" i="12"/>
  <c r="M111" i="12"/>
  <c r="L111" i="12"/>
  <c r="F111" i="12"/>
  <c r="D111" i="12"/>
  <c r="O110" i="12"/>
  <c r="N110" i="12"/>
  <c r="M110" i="12"/>
  <c r="L110" i="12"/>
  <c r="F110" i="12"/>
  <c r="D110" i="12"/>
  <c r="O109" i="12"/>
  <c r="N109" i="12"/>
  <c r="M109" i="12"/>
  <c r="L109" i="12"/>
  <c r="F109" i="12"/>
  <c r="D109" i="12"/>
  <c r="O108" i="12"/>
  <c r="N108" i="12"/>
  <c r="M108" i="12"/>
  <c r="L108" i="12"/>
  <c r="F108" i="12"/>
  <c r="D108" i="12"/>
  <c r="O107" i="12"/>
  <c r="N107" i="12"/>
  <c r="M107" i="12"/>
  <c r="L107" i="12"/>
  <c r="F107" i="12"/>
  <c r="D107" i="12"/>
  <c r="O106" i="12"/>
  <c r="N106" i="12"/>
  <c r="M106" i="12"/>
  <c r="L106" i="12"/>
  <c r="F106" i="12"/>
  <c r="D106" i="12"/>
  <c r="O105" i="12"/>
  <c r="N105" i="12"/>
  <c r="M105" i="12"/>
  <c r="L105" i="12"/>
  <c r="F105" i="12"/>
  <c r="D105" i="12"/>
  <c r="O104" i="12"/>
  <c r="N104" i="12"/>
  <c r="M104" i="12"/>
  <c r="L104" i="12"/>
  <c r="F104" i="12"/>
  <c r="D104" i="12"/>
  <c r="O103" i="12"/>
  <c r="N103" i="12"/>
  <c r="M103" i="12"/>
  <c r="L103" i="12"/>
  <c r="F103" i="12"/>
  <c r="D103" i="12"/>
  <c r="O102" i="12"/>
  <c r="N102" i="12"/>
  <c r="M102" i="12"/>
  <c r="L102" i="12"/>
  <c r="F102" i="12"/>
  <c r="D102" i="12"/>
  <c r="O101" i="12"/>
  <c r="N101" i="12"/>
  <c r="M101" i="12"/>
  <c r="L101" i="12"/>
  <c r="F101" i="12"/>
  <c r="D101" i="12"/>
  <c r="O100" i="12"/>
  <c r="N100" i="12"/>
  <c r="M100" i="12"/>
  <c r="L100" i="12"/>
  <c r="F100" i="12"/>
  <c r="D100" i="12"/>
  <c r="O99" i="12"/>
  <c r="N99" i="12"/>
  <c r="M99" i="12"/>
  <c r="L99" i="12"/>
  <c r="F99" i="12"/>
  <c r="D99" i="12"/>
  <c r="O98" i="12"/>
  <c r="N98" i="12"/>
  <c r="M98" i="12"/>
  <c r="L98" i="12"/>
  <c r="F98" i="12"/>
  <c r="D98" i="12"/>
  <c r="O97" i="12"/>
  <c r="N97" i="12"/>
  <c r="M97" i="12"/>
  <c r="L97" i="12"/>
  <c r="F97" i="12"/>
  <c r="D97" i="12"/>
  <c r="O96" i="12"/>
  <c r="N96" i="12"/>
  <c r="M96" i="12"/>
  <c r="L96" i="12"/>
  <c r="F96" i="12"/>
  <c r="D96" i="12"/>
  <c r="O95" i="12"/>
  <c r="N95" i="12"/>
  <c r="M95" i="12"/>
  <c r="L95" i="12"/>
  <c r="F95" i="12"/>
  <c r="D95" i="12"/>
  <c r="O94" i="12"/>
  <c r="N94" i="12"/>
  <c r="M94" i="12"/>
  <c r="L94" i="12"/>
  <c r="F94" i="12"/>
  <c r="D94" i="12"/>
  <c r="O93" i="12"/>
  <c r="N93" i="12"/>
  <c r="M93" i="12"/>
  <c r="L93" i="12"/>
  <c r="F93" i="12"/>
  <c r="D93" i="12"/>
  <c r="O92" i="12"/>
  <c r="N92" i="12"/>
  <c r="M92" i="12"/>
  <c r="L92" i="12"/>
  <c r="F92" i="12"/>
  <c r="D92" i="12"/>
  <c r="O91" i="12"/>
  <c r="N91" i="12"/>
  <c r="M91" i="12"/>
  <c r="L91" i="12"/>
  <c r="F91" i="12"/>
  <c r="D91" i="12"/>
  <c r="O90" i="12"/>
  <c r="N90" i="12"/>
  <c r="M90" i="12"/>
  <c r="L90" i="12"/>
  <c r="F90" i="12"/>
  <c r="D90" i="12"/>
  <c r="O89" i="12"/>
  <c r="N89" i="12"/>
  <c r="M89" i="12"/>
  <c r="L89" i="12"/>
  <c r="F89" i="12"/>
  <c r="D89" i="12"/>
  <c r="O88" i="12"/>
  <c r="N88" i="12"/>
  <c r="M88" i="12"/>
  <c r="L88" i="12"/>
  <c r="F88" i="12"/>
  <c r="D88" i="12"/>
  <c r="O87" i="12"/>
  <c r="N87" i="12"/>
  <c r="M87" i="12"/>
  <c r="L87" i="12"/>
  <c r="F87" i="12"/>
  <c r="D87" i="12"/>
  <c r="O86" i="12"/>
  <c r="N86" i="12"/>
  <c r="M86" i="12"/>
  <c r="L86" i="12"/>
  <c r="F86" i="12"/>
  <c r="D86" i="12"/>
  <c r="O85" i="12"/>
  <c r="N85" i="12"/>
  <c r="M85" i="12"/>
  <c r="L85" i="12"/>
  <c r="F85" i="12"/>
  <c r="D85" i="12"/>
  <c r="O84" i="12"/>
  <c r="N84" i="12"/>
  <c r="M84" i="12"/>
  <c r="L84" i="12"/>
  <c r="F84" i="12"/>
  <c r="D84" i="12"/>
  <c r="O83" i="12"/>
  <c r="N83" i="12"/>
  <c r="M83" i="12"/>
  <c r="L83" i="12"/>
  <c r="F83" i="12"/>
  <c r="D83" i="12"/>
  <c r="O82" i="12"/>
  <c r="N82" i="12"/>
  <c r="M82" i="12"/>
  <c r="L82" i="12"/>
  <c r="F82" i="12"/>
  <c r="D82" i="12"/>
  <c r="O81" i="12"/>
  <c r="N81" i="12"/>
  <c r="M81" i="12"/>
  <c r="L81" i="12"/>
  <c r="F81" i="12"/>
  <c r="D81" i="12"/>
  <c r="O80" i="12"/>
  <c r="N80" i="12"/>
  <c r="M80" i="12"/>
  <c r="L80" i="12"/>
  <c r="F80" i="12"/>
  <c r="D80" i="12"/>
  <c r="O79" i="12"/>
  <c r="N79" i="12"/>
  <c r="M79" i="12"/>
  <c r="L79" i="12"/>
  <c r="F79" i="12"/>
  <c r="D79" i="12"/>
  <c r="O78" i="12"/>
  <c r="N78" i="12"/>
  <c r="M78" i="12"/>
  <c r="L78" i="12"/>
  <c r="F78" i="12"/>
  <c r="D78" i="12"/>
  <c r="O77" i="12"/>
  <c r="N77" i="12"/>
  <c r="M77" i="12"/>
  <c r="L77" i="12"/>
  <c r="F77" i="12"/>
  <c r="D77" i="12"/>
  <c r="O76" i="12"/>
  <c r="N76" i="12"/>
  <c r="M76" i="12"/>
  <c r="L76" i="12"/>
  <c r="F76" i="12"/>
  <c r="D76" i="12"/>
  <c r="O75" i="12"/>
  <c r="N75" i="12"/>
  <c r="M75" i="12"/>
  <c r="L75" i="12"/>
  <c r="F75" i="12"/>
  <c r="D75" i="12"/>
  <c r="O74" i="12"/>
  <c r="N74" i="12"/>
  <c r="M74" i="12"/>
  <c r="L74" i="12"/>
  <c r="F74" i="12"/>
  <c r="D74" i="12"/>
  <c r="O73" i="12"/>
  <c r="N73" i="12"/>
  <c r="M73" i="12"/>
  <c r="L73" i="12"/>
  <c r="F73" i="12"/>
  <c r="D73" i="12"/>
  <c r="O72" i="12"/>
  <c r="N72" i="12"/>
  <c r="M72" i="12"/>
  <c r="L72" i="12"/>
  <c r="F72" i="12"/>
  <c r="D72" i="12"/>
  <c r="O71" i="12"/>
  <c r="N71" i="12"/>
  <c r="M71" i="12"/>
  <c r="L71" i="12"/>
  <c r="F71" i="12"/>
  <c r="D71" i="12"/>
  <c r="O70" i="12"/>
  <c r="N70" i="12"/>
  <c r="M70" i="12"/>
  <c r="L70" i="12"/>
  <c r="F70" i="12"/>
  <c r="D70" i="12"/>
  <c r="O69" i="12"/>
  <c r="N69" i="12"/>
  <c r="M69" i="12"/>
  <c r="L69" i="12"/>
  <c r="F69" i="12"/>
  <c r="D69" i="12"/>
  <c r="O68" i="12"/>
  <c r="N68" i="12"/>
  <c r="M68" i="12"/>
  <c r="L68" i="12"/>
  <c r="F68" i="12"/>
  <c r="D68" i="12"/>
  <c r="O67" i="12"/>
  <c r="N67" i="12"/>
  <c r="M67" i="12"/>
  <c r="L67" i="12"/>
  <c r="F67" i="12"/>
  <c r="D67" i="12"/>
  <c r="O66" i="12"/>
  <c r="N66" i="12"/>
  <c r="M66" i="12"/>
  <c r="L66" i="12"/>
  <c r="F66" i="12"/>
  <c r="D66" i="12"/>
  <c r="O65" i="12"/>
  <c r="N65" i="12"/>
  <c r="M65" i="12"/>
  <c r="L65" i="12"/>
  <c r="F65" i="12"/>
  <c r="D65" i="12"/>
  <c r="O64" i="12"/>
  <c r="N64" i="12"/>
  <c r="M64" i="12"/>
  <c r="L64" i="12"/>
  <c r="F64" i="12"/>
  <c r="D64" i="12"/>
  <c r="O63" i="12"/>
  <c r="N63" i="12"/>
  <c r="M63" i="12"/>
  <c r="L63" i="12"/>
  <c r="F63" i="12"/>
  <c r="D63" i="12"/>
  <c r="O62" i="12"/>
  <c r="N62" i="12"/>
  <c r="M62" i="12"/>
  <c r="L62" i="12"/>
  <c r="F62" i="12"/>
  <c r="D62" i="12"/>
  <c r="O61" i="12"/>
  <c r="N61" i="12"/>
  <c r="M61" i="12"/>
  <c r="L61" i="12"/>
  <c r="F61" i="12"/>
  <c r="D61" i="12"/>
  <c r="O60" i="12"/>
  <c r="N60" i="12"/>
  <c r="M60" i="12"/>
  <c r="L60" i="12"/>
  <c r="F60" i="12"/>
  <c r="D60" i="12"/>
  <c r="O59" i="12"/>
  <c r="N59" i="12"/>
  <c r="M59" i="12"/>
  <c r="L59" i="12"/>
  <c r="F59" i="12"/>
  <c r="D59" i="12"/>
  <c r="O58" i="12"/>
  <c r="N58" i="12"/>
  <c r="M58" i="12"/>
  <c r="L58" i="12"/>
  <c r="F58" i="12"/>
  <c r="D58" i="12"/>
  <c r="O57" i="12"/>
  <c r="N57" i="12"/>
  <c r="M57" i="12"/>
  <c r="L57" i="12"/>
  <c r="F57" i="12"/>
  <c r="D57" i="12"/>
  <c r="O56" i="12"/>
  <c r="N56" i="12"/>
  <c r="M56" i="12"/>
  <c r="L56" i="12"/>
  <c r="F56" i="12"/>
  <c r="D56" i="12"/>
  <c r="O55" i="12"/>
  <c r="N55" i="12"/>
  <c r="M55" i="12"/>
  <c r="L55" i="12"/>
  <c r="F55" i="12"/>
  <c r="D55" i="12"/>
  <c r="O54" i="12"/>
  <c r="N54" i="12"/>
  <c r="M54" i="12"/>
  <c r="L54" i="12"/>
  <c r="F54" i="12"/>
  <c r="D54" i="12"/>
  <c r="O53" i="12"/>
  <c r="N53" i="12"/>
  <c r="M53" i="12"/>
  <c r="L53" i="12"/>
  <c r="F53" i="12"/>
  <c r="D53" i="12"/>
  <c r="O52" i="12"/>
  <c r="N52" i="12"/>
  <c r="M52" i="12"/>
  <c r="L52" i="12"/>
  <c r="F52" i="12"/>
  <c r="D52" i="12"/>
  <c r="O51" i="12"/>
  <c r="N51" i="12"/>
  <c r="M51" i="12"/>
  <c r="L51" i="12"/>
  <c r="F51" i="12"/>
  <c r="D51" i="12"/>
  <c r="O50" i="12"/>
  <c r="N50" i="12"/>
  <c r="M50" i="12"/>
  <c r="L50" i="12"/>
  <c r="F50" i="12"/>
  <c r="D50" i="12"/>
  <c r="O49" i="12"/>
  <c r="N49" i="12"/>
  <c r="M49" i="12"/>
  <c r="L49" i="12"/>
  <c r="F49" i="12"/>
  <c r="D49" i="12"/>
  <c r="O48" i="12"/>
  <c r="N48" i="12"/>
  <c r="M48" i="12"/>
  <c r="L48" i="12"/>
  <c r="F48" i="12"/>
  <c r="D48" i="12"/>
  <c r="O47" i="12"/>
  <c r="N47" i="12"/>
  <c r="M47" i="12"/>
  <c r="L47" i="12"/>
  <c r="F47" i="12"/>
  <c r="D47" i="12"/>
  <c r="O46" i="12"/>
  <c r="N46" i="12"/>
  <c r="M46" i="12"/>
  <c r="L46" i="12"/>
  <c r="F46" i="12"/>
  <c r="D46" i="12"/>
  <c r="O45" i="12"/>
  <c r="N45" i="12"/>
  <c r="M45" i="12"/>
  <c r="L45" i="12"/>
  <c r="F45" i="12"/>
  <c r="D45" i="12"/>
  <c r="O44" i="12"/>
  <c r="N44" i="12"/>
  <c r="M44" i="12"/>
  <c r="L44" i="12"/>
  <c r="F44" i="12"/>
  <c r="D44" i="12"/>
  <c r="O43" i="12"/>
  <c r="N43" i="12"/>
  <c r="M43" i="12"/>
  <c r="L43" i="12"/>
  <c r="F43" i="12"/>
  <c r="D43" i="12"/>
  <c r="O42" i="12"/>
  <c r="N42" i="12"/>
  <c r="M42" i="12"/>
  <c r="L42" i="12"/>
  <c r="F42" i="12"/>
  <c r="D42" i="12"/>
  <c r="O41" i="12"/>
  <c r="N41" i="12"/>
  <c r="M41" i="12"/>
  <c r="L41" i="12"/>
  <c r="F41" i="12"/>
  <c r="D41" i="12"/>
  <c r="O40" i="12"/>
  <c r="N40" i="12"/>
  <c r="M40" i="12"/>
  <c r="L40" i="12"/>
  <c r="F40" i="12"/>
  <c r="D40" i="12"/>
  <c r="O39" i="12"/>
  <c r="N39" i="12"/>
  <c r="M39" i="12"/>
  <c r="L39" i="12"/>
  <c r="F39" i="12"/>
  <c r="D39" i="12"/>
  <c r="O38" i="12"/>
  <c r="N38" i="12"/>
  <c r="M38" i="12"/>
  <c r="L38" i="12"/>
  <c r="F38" i="12"/>
  <c r="D38" i="12"/>
  <c r="O37" i="12"/>
  <c r="N37" i="12"/>
  <c r="M37" i="12"/>
  <c r="L37" i="12"/>
  <c r="F37" i="12"/>
  <c r="D37" i="12"/>
  <c r="O36" i="12"/>
  <c r="N36" i="12"/>
  <c r="M36" i="12"/>
  <c r="L36" i="12"/>
  <c r="F36" i="12"/>
  <c r="D36" i="12"/>
  <c r="O35" i="12"/>
  <c r="N35" i="12"/>
  <c r="M35" i="12"/>
  <c r="L35" i="12"/>
  <c r="F35" i="12"/>
  <c r="D35" i="12"/>
  <c r="O34" i="12"/>
  <c r="N34" i="12"/>
  <c r="M34" i="12"/>
  <c r="L34" i="12"/>
  <c r="F34" i="12"/>
  <c r="D34" i="12"/>
  <c r="O33" i="12"/>
  <c r="N33" i="12"/>
  <c r="M33" i="12"/>
  <c r="L33" i="12"/>
  <c r="F33" i="12"/>
  <c r="D33" i="12"/>
  <c r="O32" i="12"/>
  <c r="N32" i="12"/>
  <c r="M32" i="12"/>
  <c r="L32" i="12"/>
  <c r="F32" i="12"/>
  <c r="D32" i="12"/>
  <c r="O31" i="12"/>
  <c r="N31" i="12"/>
  <c r="M31" i="12"/>
  <c r="L31" i="12"/>
  <c r="F31" i="12"/>
  <c r="D31" i="12"/>
  <c r="O30" i="12"/>
  <c r="N30" i="12"/>
  <c r="M30" i="12"/>
  <c r="L30" i="12"/>
  <c r="F30" i="12"/>
  <c r="D30" i="12"/>
  <c r="O29" i="12"/>
  <c r="N29" i="12"/>
  <c r="M29" i="12"/>
  <c r="L29" i="12"/>
  <c r="F29" i="12"/>
  <c r="D29" i="12"/>
  <c r="O28" i="12"/>
  <c r="N28" i="12"/>
  <c r="M28" i="12"/>
  <c r="L28" i="12"/>
  <c r="F28" i="12"/>
  <c r="D28" i="12"/>
  <c r="O27" i="12"/>
  <c r="N27" i="12"/>
  <c r="M27" i="12"/>
  <c r="L27" i="12"/>
  <c r="F27" i="12"/>
  <c r="D27" i="12"/>
  <c r="O26" i="12"/>
  <c r="N26" i="12"/>
  <c r="M26" i="12"/>
  <c r="L26" i="12"/>
  <c r="F26" i="12"/>
  <c r="D26" i="12"/>
  <c r="O25" i="12"/>
  <c r="N25" i="12"/>
  <c r="M25" i="12"/>
  <c r="L25" i="12"/>
  <c r="F25" i="12"/>
  <c r="D25" i="12"/>
  <c r="O24" i="12"/>
  <c r="N24" i="12"/>
  <c r="M24" i="12"/>
  <c r="L24" i="12"/>
  <c r="F24" i="12"/>
  <c r="D24" i="12"/>
  <c r="O23" i="12"/>
  <c r="N23" i="12"/>
  <c r="M23" i="12"/>
  <c r="L23" i="12"/>
  <c r="F23" i="12"/>
  <c r="D23" i="12"/>
  <c r="O22" i="12"/>
  <c r="N22" i="12"/>
  <c r="M22" i="12"/>
  <c r="L22" i="12"/>
  <c r="F22" i="12"/>
  <c r="D22" i="12"/>
  <c r="O21" i="12"/>
  <c r="N21" i="12"/>
  <c r="M21" i="12"/>
  <c r="L21" i="12"/>
  <c r="F21" i="12"/>
  <c r="D21" i="12"/>
  <c r="O20" i="12"/>
  <c r="N20" i="12"/>
  <c r="M20" i="12"/>
  <c r="L20" i="12"/>
  <c r="F20" i="12"/>
  <c r="D20" i="12"/>
  <c r="O19" i="12"/>
  <c r="N19" i="12"/>
  <c r="M19" i="12"/>
  <c r="L19" i="12"/>
  <c r="F19" i="12"/>
  <c r="D19" i="12"/>
  <c r="O18" i="12"/>
  <c r="N18" i="12"/>
  <c r="M18" i="12"/>
  <c r="L18" i="12"/>
  <c r="F18" i="12"/>
  <c r="D18" i="12"/>
  <c r="O17" i="12"/>
  <c r="N17" i="12"/>
  <c r="M17" i="12"/>
  <c r="L17" i="12"/>
  <c r="F17" i="12"/>
  <c r="D17" i="12"/>
  <c r="O16" i="12"/>
  <c r="N16" i="12"/>
  <c r="M16" i="12"/>
  <c r="L16" i="12"/>
  <c r="F16" i="12"/>
  <c r="D16" i="12"/>
  <c r="O15" i="12"/>
  <c r="N15" i="12"/>
  <c r="M15" i="12"/>
  <c r="L15" i="12"/>
  <c r="F15" i="12"/>
  <c r="D15" i="12"/>
  <c r="O14" i="12"/>
  <c r="N14" i="12"/>
  <c r="M14" i="12"/>
  <c r="L14" i="12"/>
  <c r="F14" i="12"/>
  <c r="D14" i="12"/>
  <c r="O13" i="12"/>
  <c r="N13" i="12"/>
  <c r="M13" i="12"/>
  <c r="L13" i="12"/>
  <c r="F13" i="12"/>
  <c r="D13" i="12"/>
  <c r="O12" i="12"/>
  <c r="N12" i="12"/>
  <c r="M12" i="12"/>
  <c r="L12" i="12"/>
  <c r="F12" i="12"/>
  <c r="D12" i="12"/>
  <c r="O11" i="12"/>
  <c r="N11" i="12"/>
  <c r="M11" i="12"/>
  <c r="L11" i="12"/>
  <c r="F11" i="12"/>
  <c r="D11" i="12"/>
  <c r="O10" i="12"/>
  <c r="N10" i="12"/>
  <c r="M10" i="12"/>
  <c r="L10" i="12"/>
  <c r="F10" i="12"/>
  <c r="D10" i="12"/>
  <c r="O9" i="12"/>
  <c r="N9" i="12"/>
  <c r="M9" i="12"/>
  <c r="L9" i="12"/>
  <c r="F9" i="12"/>
  <c r="D9" i="12"/>
  <c r="O8" i="12"/>
  <c r="N8" i="12"/>
  <c r="M8" i="12"/>
  <c r="L8" i="12"/>
  <c r="F8" i="12"/>
  <c r="D8" i="12"/>
  <c r="O7" i="12"/>
  <c r="N7" i="12"/>
  <c r="M7" i="12"/>
  <c r="L7" i="12"/>
  <c r="F7" i="12"/>
  <c r="D7" i="12"/>
  <c r="O6" i="12"/>
  <c r="N6" i="12"/>
  <c r="M6" i="12"/>
  <c r="L6" i="12"/>
  <c r="F6" i="12"/>
  <c r="D6" i="12"/>
  <c r="O5" i="12"/>
  <c r="N5" i="12"/>
  <c r="M5" i="12"/>
  <c r="L5" i="12"/>
  <c r="F5" i="12"/>
  <c r="D5" i="12"/>
  <c r="O4" i="12"/>
  <c r="N4" i="12"/>
  <c r="M4" i="12"/>
  <c r="L4" i="12"/>
  <c r="F4" i="12"/>
  <c r="D4" i="12"/>
  <c r="O3" i="12"/>
  <c r="N3" i="12"/>
  <c r="M3" i="12"/>
  <c r="L3" i="12"/>
  <c r="F3" i="12"/>
  <c r="D3" i="12"/>
  <c r="O2" i="12"/>
  <c r="N2" i="12"/>
  <c r="M2" i="12"/>
  <c r="L2" i="12"/>
  <c r="F2" i="12"/>
  <c r="D2" i="12"/>
  <c r="S501" i="6"/>
  <c r="Q501" i="6"/>
  <c r="G501" i="6"/>
  <c r="S500" i="6"/>
  <c r="Q500" i="6"/>
  <c r="G500" i="6"/>
  <c r="S499" i="6"/>
  <c r="Q499" i="6"/>
  <c r="G499" i="6"/>
  <c r="S498" i="6"/>
  <c r="Q498" i="6"/>
  <c r="G498" i="6"/>
  <c r="S497" i="6"/>
  <c r="Q497" i="6"/>
  <c r="G497" i="6"/>
  <c r="S496" i="6"/>
  <c r="Q496" i="6"/>
  <c r="G496" i="6"/>
  <c r="S495" i="6"/>
  <c r="Q495" i="6"/>
  <c r="G495" i="6"/>
  <c r="S494" i="6"/>
  <c r="Q494" i="6"/>
  <c r="G494" i="6"/>
  <c r="S493" i="6"/>
  <c r="Q493" i="6"/>
  <c r="G493" i="6"/>
  <c r="S492" i="6"/>
  <c r="Q492" i="6"/>
  <c r="G492" i="6"/>
  <c r="S491" i="6"/>
  <c r="Q491" i="6"/>
  <c r="G491" i="6"/>
  <c r="S490" i="6"/>
  <c r="Q490" i="6"/>
  <c r="G490" i="6"/>
  <c r="S489" i="6"/>
  <c r="Q489" i="6"/>
  <c r="G489" i="6"/>
  <c r="S488" i="6"/>
  <c r="Q488" i="6"/>
  <c r="G488" i="6"/>
  <c r="S487" i="6"/>
  <c r="Q487" i="6"/>
  <c r="G487" i="6"/>
  <c r="S486" i="6"/>
  <c r="Q486" i="6"/>
  <c r="G486" i="6"/>
  <c r="S485" i="6"/>
  <c r="Q485" i="6"/>
  <c r="G485" i="6"/>
  <c r="S484" i="6"/>
  <c r="Q484" i="6"/>
  <c r="G484" i="6"/>
  <c r="S483" i="6"/>
  <c r="Q483" i="6"/>
  <c r="G483" i="6"/>
  <c r="S482" i="6"/>
  <c r="Q482" i="6"/>
  <c r="G482" i="6"/>
  <c r="S481" i="6"/>
  <c r="Q481" i="6"/>
  <c r="G481" i="6"/>
  <c r="S480" i="6"/>
  <c r="Q480" i="6"/>
  <c r="G480" i="6"/>
  <c r="S479" i="6"/>
  <c r="Q479" i="6"/>
  <c r="G479" i="6"/>
  <c r="S478" i="6"/>
  <c r="Q478" i="6"/>
  <c r="G478" i="6"/>
  <c r="S477" i="6"/>
  <c r="Q477" i="6"/>
  <c r="G477" i="6"/>
  <c r="S476" i="6"/>
  <c r="Q476" i="6"/>
  <c r="G476" i="6"/>
  <c r="S475" i="6"/>
  <c r="Q475" i="6"/>
  <c r="G475" i="6"/>
  <c r="S474" i="6"/>
  <c r="Q474" i="6"/>
  <c r="G474" i="6"/>
  <c r="S473" i="6"/>
  <c r="Q473" i="6"/>
  <c r="G473" i="6"/>
  <c r="S472" i="6"/>
  <c r="Q472" i="6"/>
  <c r="G472" i="6"/>
  <c r="S471" i="6"/>
  <c r="Q471" i="6"/>
  <c r="G471" i="6"/>
  <c r="S470" i="6"/>
  <c r="Q470" i="6"/>
  <c r="G470" i="6"/>
  <c r="S469" i="6"/>
  <c r="Q469" i="6"/>
  <c r="G469" i="6"/>
  <c r="S468" i="6"/>
  <c r="Q468" i="6"/>
  <c r="G468" i="6"/>
  <c r="S467" i="6"/>
  <c r="Q467" i="6"/>
  <c r="G467" i="6"/>
  <c r="S466" i="6"/>
  <c r="Q466" i="6"/>
  <c r="G466" i="6"/>
  <c r="S465" i="6"/>
  <c r="Q465" i="6"/>
  <c r="G465" i="6"/>
  <c r="S464" i="6"/>
  <c r="Q464" i="6"/>
  <c r="G464" i="6"/>
  <c r="S463" i="6"/>
  <c r="Q463" i="6"/>
  <c r="G463" i="6"/>
  <c r="S462" i="6"/>
  <c r="Q462" i="6"/>
  <c r="G462" i="6"/>
  <c r="S461" i="6"/>
  <c r="Q461" i="6"/>
  <c r="G461" i="6"/>
  <c r="S460" i="6"/>
  <c r="Q460" i="6"/>
  <c r="G460" i="6"/>
  <c r="S459" i="6"/>
  <c r="Q459" i="6"/>
  <c r="G459" i="6"/>
  <c r="S458" i="6"/>
  <c r="Q458" i="6"/>
  <c r="G458" i="6"/>
  <c r="S457" i="6"/>
  <c r="Q457" i="6"/>
  <c r="G457" i="6"/>
  <c r="S456" i="6"/>
  <c r="Q456" i="6"/>
  <c r="G456" i="6"/>
  <c r="S455" i="6"/>
  <c r="Q455" i="6"/>
  <c r="G455" i="6"/>
  <c r="S454" i="6"/>
  <c r="Q454" i="6"/>
  <c r="G454" i="6"/>
  <c r="S453" i="6"/>
  <c r="Q453" i="6"/>
  <c r="G453" i="6"/>
  <c r="S452" i="6"/>
  <c r="Q452" i="6"/>
  <c r="G452" i="6"/>
  <c r="S451" i="6"/>
  <c r="Q451" i="6"/>
  <c r="G451" i="6"/>
  <c r="S450" i="6"/>
  <c r="Q450" i="6"/>
  <c r="G450" i="6"/>
  <c r="S449" i="6"/>
  <c r="Q449" i="6"/>
  <c r="G449" i="6"/>
  <c r="S448" i="6"/>
  <c r="Q448" i="6"/>
  <c r="G448" i="6"/>
  <c r="S447" i="6"/>
  <c r="Q447" i="6"/>
  <c r="G447" i="6"/>
  <c r="S446" i="6"/>
  <c r="Q446" i="6"/>
  <c r="G446" i="6"/>
  <c r="S445" i="6"/>
  <c r="Q445" i="6"/>
  <c r="G445" i="6"/>
  <c r="S444" i="6"/>
  <c r="Q444" i="6"/>
  <c r="G444" i="6"/>
  <c r="S443" i="6"/>
  <c r="Q443" i="6"/>
  <c r="G443" i="6"/>
  <c r="S442" i="6"/>
  <c r="Q442" i="6"/>
  <c r="G442" i="6"/>
  <c r="S441" i="6"/>
  <c r="Q441" i="6"/>
  <c r="G441" i="6"/>
  <c r="S440" i="6"/>
  <c r="Q440" i="6"/>
  <c r="G440" i="6"/>
  <c r="S439" i="6"/>
  <c r="Q439" i="6"/>
  <c r="G439" i="6"/>
  <c r="S438" i="6"/>
  <c r="Q438" i="6"/>
  <c r="G438" i="6"/>
  <c r="S437" i="6"/>
  <c r="Q437" i="6"/>
  <c r="G437" i="6"/>
  <c r="S436" i="6"/>
  <c r="Q436" i="6"/>
  <c r="G436" i="6"/>
  <c r="S435" i="6"/>
  <c r="Q435" i="6"/>
  <c r="G435" i="6"/>
  <c r="S434" i="6"/>
  <c r="Q434" i="6"/>
  <c r="G434" i="6"/>
  <c r="S433" i="6"/>
  <c r="Q433" i="6"/>
  <c r="G433" i="6"/>
  <c r="S432" i="6"/>
  <c r="Q432" i="6"/>
  <c r="G432" i="6"/>
  <c r="S431" i="6"/>
  <c r="Q431" i="6"/>
  <c r="G431" i="6"/>
  <c r="S430" i="6"/>
  <c r="Q430" i="6"/>
  <c r="G430" i="6"/>
  <c r="S429" i="6"/>
  <c r="Q429" i="6"/>
  <c r="G429" i="6"/>
  <c r="S428" i="6"/>
  <c r="Q428" i="6"/>
  <c r="G428" i="6"/>
  <c r="S427" i="6"/>
  <c r="Q427" i="6"/>
  <c r="G427" i="6"/>
  <c r="S426" i="6"/>
  <c r="Q426" i="6"/>
  <c r="G426" i="6"/>
  <c r="S425" i="6"/>
  <c r="Q425" i="6"/>
  <c r="G425" i="6"/>
  <c r="S424" i="6"/>
  <c r="Q424" i="6"/>
  <c r="G424" i="6"/>
  <c r="S423" i="6"/>
  <c r="Q423" i="6"/>
  <c r="G423" i="6"/>
  <c r="S422" i="6"/>
  <c r="Q422" i="6"/>
  <c r="G422" i="6"/>
  <c r="S421" i="6"/>
  <c r="Q421" i="6"/>
  <c r="G421" i="6"/>
  <c r="S420" i="6"/>
  <c r="Q420" i="6"/>
  <c r="G420" i="6"/>
  <c r="S419" i="6"/>
  <c r="Q419" i="6"/>
  <c r="G419" i="6"/>
  <c r="S418" i="6"/>
  <c r="Q418" i="6"/>
  <c r="G418" i="6"/>
  <c r="S417" i="6"/>
  <c r="Q417" i="6"/>
  <c r="G417" i="6"/>
  <c r="S416" i="6"/>
  <c r="Q416" i="6"/>
  <c r="G416" i="6"/>
  <c r="S415" i="6"/>
  <c r="Q415" i="6"/>
  <c r="G415" i="6"/>
  <c r="S414" i="6"/>
  <c r="Q414" i="6"/>
  <c r="G414" i="6"/>
  <c r="S413" i="6"/>
  <c r="Q413" i="6"/>
  <c r="G413" i="6"/>
  <c r="S412" i="6"/>
  <c r="Q412" i="6"/>
  <c r="G412" i="6"/>
  <c r="S411" i="6"/>
  <c r="Q411" i="6"/>
  <c r="G411" i="6"/>
  <c r="S410" i="6"/>
  <c r="Q410" i="6"/>
  <c r="G410" i="6"/>
  <c r="S409" i="6"/>
  <c r="Q409" i="6"/>
  <c r="G409" i="6"/>
  <c r="S408" i="6"/>
  <c r="Q408" i="6"/>
  <c r="G408" i="6"/>
  <c r="S407" i="6"/>
  <c r="Q407" i="6"/>
  <c r="G407" i="6"/>
  <c r="S406" i="6"/>
  <c r="Q406" i="6"/>
  <c r="G406" i="6"/>
  <c r="S405" i="6"/>
  <c r="Q405" i="6"/>
  <c r="G405" i="6"/>
  <c r="S404" i="6"/>
  <c r="Q404" i="6"/>
  <c r="G404" i="6"/>
  <c r="S403" i="6"/>
  <c r="Q403" i="6"/>
  <c r="G403" i="6"/>
  <c r="S402" i="6"/>
  <c r="Q402" i="6"/>
  <c r="G402" i="6"/>
  <c r="S401" i="6"/>
  <c r="Q401" i="6"/>
  <c r="G401" i="6"/>
  <c r="S400" i="6"/>
  <c r="Q400" i="6"/>
  <c r="G400" i="6"/>
  <c r="S399" i="6"/>
  <c r="Q399" i="6"/>
  <c r="G399" i="6"/>
  <c r="S398" i="6"/>
  <c r="Q398" i="6"/>
  <c r="G398" i="6"/>
  <c r="S397" i="6"/>
  <c r="Q397" i="6"/>
  <c r="G397" i="6"/>
  <c r="S396" i="6"/>
  <c r="Q396" i="6"/>
  <c r="G396" i="6"/>
  <c r="S395" i="6"/>
  <c r="Q395" i="6"/>
  <c r="G395" i="6"/>
  <c r="S394" i="6"/>
  <c r="Q394" i="6"/>
  <c r="G394" i="6"/>
  <c r="S393" i="6"/>
  <c r="Q393" i="6"/>
  <c r="G393" i="6"/>
  <c r="S392" i="6"/>
  <c r="Q392" i="6"/>
  <c r="G392" i="6"/>
  <c r="S391" i="6"/>
  <c r="Q391" i="6"/>
  <c r="G391" i="6"/>
  <c r="S390" i="6"/>
  <c r="Q390" i="6"/>
  <c r="G390" i="6"/>
  <c r="S389" i="6"/>
  <c r="Q389" i="6"/>
  <c r="G389" i="6"/>
  <c r="S388" i="6"/>
  <c r="Q388" i="6"/>
  <c r="G388" i="6"/>
  <c r="S387" i="6"/>
  <c r="Q387" i="6"/>
  <c r="G387" i="6"/>
  <c r="S386" i="6"/>
  <c r="Q386" i="6"/>
  <c r="G386" i="6"/>
  <c r="S385" i="6"/>
  <c r="Q385" i="6"/>
  <c r="G385" i="6"/>
  <c r="S384" i="6"/>
  <c r="Q384" i="6"/>
  <c r="G384" i="6"/>
  <c r="S383" i="6"/>
  <c r="Q383" i="6"/>
  <c r="G383" i="6"/>
  <c r="S382" i="6"/>
  <c r="Q382" i="6"/>
  <c r="G382" i="6"/>
  <c r="S381" i="6"/>
  <c r="Q381" i="6"/>
  <c r="G381" i="6"/>
  <c r="S380" i="6"/>
  <c r="Q380" i="6"/>
  <c r="G380" i="6"/>
  <c r="S379" i="6"/>
  <c r="Q379" i="6"/>
  <c r="G379" i="6"/>
  <c r="S378" i="6"/>
  <c r="Q378" i="6"/>
  <c r="G378" i="6"/>
  <c r="S377" i="6"/>
  <c r="Q377" i="6"/>
  <c r="G377" i="6"/>
  <c r="S376" i="6"/>
  <c r="Q376" i="6"/>
  <c r="G376" i="6"/>
  <c r="S375" i="6"/>
  <c r="Q375" i="6"/>
  <c r="G375" i="6"/>
  <c r="S374" i="6"/>
  <c r="Q374" i="6"/>
  <c r="G374" i="6"/>
  <c r="S373" i="6"/>
  <c r="Q373" i="6"/>
  <c r="G373" i="6"/>
  <c r="S372" i="6"/>
  <c r="Q372" i="6"/>
  <c r="G372" i="6"/>
  <c r="S371" i="6"/>
  <c r="Q371" i="6"/>
  <c r="G371" i="6"/>
  <c r="S370" i="6"/>
  <c r="Q370" i="6"/>
  <c r="G370" i="6"/>
  <c r="S369" i="6"/>
  <c r="Q369" i="6"/>
  <c r="G369" i="6"/>
  <c r="S368" i="6"/>
  <c r="Q368" i="6"/>
  <c r="G368" i="6"/>
  <c r="S367" i="6"/>
  <c r="Q367" i="6"/>
  <c r="G367" i="6"/>
  <c r="S366" i="6"/>
  <c r="Q366" i="6"/>
  <c r="G366" i="6"/>
  <c r="S365" i="6"/>
  <c r="Q365" i="6"/>
  <c r="G365" i="6"/>
  <c r="S364" i="6"/>
  <c r="Q364" i="6"/>
  <c r="G364" i="6"/>
  <c r="S363" i="6"/>
  <c r="Q363" i="6"/>
  <c r="G363" i="6"/>
  <c r="S362" i="6"/>
  <c r="Q362" i="6"/>
  <c r="G362" i="6"/>
  <c r="S361" i="6"/>
  <c r="Q361" i="6"/>
  <c r="G361" i="6"/>
  <c r="S360" i="6"/>
  <c r="Q360" i="6"/>
  <c r="G360" i="6"/>
  <c r="S359" i="6"/>
  <c r="Q359" i="6"/>
  <c r="G359" i="6"/>
  <c r="S358" i="6"/>
  <c r="Q358" i="6"/>
  <c r="G358" i="6"/>
  <c r="S357" i="6"/>
  <c r="Q357" i="6"/>
  <c r="G357" i="6"/>
  <c r="S356" i="6"/>
  <c r="Q356" i="6"/>
  <c r="G356" i="6"/>
  <c r="S355" i="6"/>
  <c r="Q355" i="6"/>
  <c r="G355" i="6"/>
  <c r="S354" i="6"/>
  <c r="Q354" i="6"/>
  <c r="G354" i="6"/>
  <c r="S353" i="6"/>
  <c r="Q353" i="6"/>
  <c r="G353" i="6"/>
  <c r="S352" i="6"/>
  <c r="Q352" i="6"/>
  <c r="G352" i="6"/>
  <c r="S351" i="6"/>
  <c r="Q351" i="6"/>
  <c r="G351" i="6"/>
  <c r="S350" i="6"/>
  <c r="Q350" i="6"/>
  <c r="G350" i="6"/>
  <c r="S349" i="6"/>
  <c r="Q349" i="6"/>
  <c r="G349" i="6"/>
  <c r="S348" i="6"/>
  <c r="Q348" i="6"/>
  <c r="G348" i="6"/>
  <c r="S347" i="6"/>
  <c r="Q347" i="6"/>
  <c r="G347" i="6"/>
  <c r="S346" i="6"/>
  <c r="Q346" i="6"/>
  <c r="G346" i="6"/>
  <c r="S345" i="6"/>
  <c r="Q345" i="6"/>
  <c r="G345" i="6"/>
  <c r="S344" i="6"/>
  <c r="Q344" i="6"/>
  <c r="G344" i="6"/>
  <c r="S343" i="6"/>
  <c r="Q343" i="6"/>
  <c r="G343" i="6"/>
  <c r="S342" i="6"/>
  <c r="Q342" i="6"/>
  <c r="G342" i="6"/>
  <c r="S341" i="6"/>
  <c r="Q341" i="6"/>
  <c r="G341" i="6"/>
  <c r="S340" i="6"/>
  <c r="Q340" i="6"/>
  <c r="G340" i="6"/>
  <c r="S339" i="6"/>
  <c r="Q339" i="6"/>
  <c r="G339" i="6"/>
  <c r="S338" i="6"/>
  <c r="Q338" i="6"/>
  <c r="G338" i="6"/>
  <c r="S337" i="6"/>
  <c r="Q337" i="6"/>
  <c r="G337" i="6"/>
  <c r="S336" i="6"/>
  <c r="Q336" i="6"/>
  <c r="G336" i="6"/>
  <c r="S335" i="6"/>
  <c r="Q335" i="6"/>
  <c r="G335" i="6"/>
  <c r="S334" i="6"/>
  <c r="Q334" i="6"/>
  <c r="G334" i="6"/>
  <c r="S333" i="6"/>
  <c r="Q333" i="6"/>
  <c r="G333" i="6"/>
  <c r="S332" i="6"/>
  <c r="Q332" i="6"/>
  <c r="G332" i="6"/>
  <c r="S331" i="6"/>
  <c r="Q331" i="6"/>
  <c r="G331" i="6"/>
  <c r="S330" i="6"/>
  <c r="Q330" i="6"/>
  <c r="G330" i="6"/>
  <c r="S329" i="6"/>
  <c r="Q329" i="6"/>
  <c r="G329" i="6"/>
  <c r="S328" i="6"/>
  <c r="Q328" i="6"/>
  <c r="G328" i="6"/>
  <c r="S327" i="6"/>
  <c r="Q327" i="6"/>
  <c r="G327" i="6"/>
  <c r="S326" i="6"/>
  <c r="Q326" i="6"/>
  <c r="G326" i="6"/>
  <c r="S325" i="6"/>
  <c r="Q325" i="6"/>
  <c r="G325" i="6"/>
  <c r="S324" i="6"/>
  <c r="Q324" i="6"/>
  <c r="G324" i="6"/>
  <c r="S323" i="6"/>
  <c r="Q323" i="6"/>
  <c r="G323" i="6"/>
  <c r="S322" i="6"/>
  <c r="Q322" i="6"/>
  <c r="G322" i="6"/>
  <c r="S321" i="6"/>
  <c r="Q321" i="6"/>
  <c r="G321" i="6"/>
  <c r="S320" i="6"/>
  <c r="Q320" i="6"/>
  <c r="G320" i="6"/>
  <c r="S319" i="6"/>
  <c r="Q319" i="6"/>
  <c r="G319" i="6"/>
  <c r="S318" i="6"/>
  <c r="Q318" i="6"/>
  <c r="G318" i="6"/>
  <c r="S317" i="6"/>
  <c r="Q317" i="6"/>
  <c r="G317" i="6"/>
  <c r="S316" i="6"/>
  <c r="Q316" i="6"/>
  <c r="G316" i="6"/>
  <c r="S315" i="6"/>
  <c r="Q315" i="6"/>
  <c r="G315" i="6"/>
  <c r="S314" i="6"/>
  <c r="Q314" i="6"/>
  <c r="G314" i="6"/>
  <c r="S313" i="6"/>
  <c r="Q313" i="6"/>
  <c r="G313" i="6"/>
  <c r="S312" i="6"/>
  <c r="Q312" i="6"/>
  <c r="G312" i="6"/>
  <c r="S311" i="6"/>
  <c r="Q311" i="6"/>
  <c r="G311" i="6"/>
  <c r="S310" i="6"/>
  <c r="Q310" i="6"/>
  <c r="G310" i="6"/>
  <c r="S309" i="6"/>
  <c r="Q309" i="6"/>
  <c r="G309" i="6"/>
  <c r="S308" i="6"/>
  <c r="Q308" i="6"/>
  <c r="G308" i="6"/>
  <c r="S307" i="6"/>
  <c r="Q307" i="6"/>
  <c r="G307" i="6"/>
  <c r="S306" i="6"/>
  <c r="Q306" i="6"/>
  <c r="G306" i="6"/>
  <c r="S305" i="6"/>
  <c r="Q305" i="6"/>
  <c r="G305" i="6"/>
  <c r="S304" i="6"/>
  <c r="Q304" i="6"/>
  <c r="G304" i="6"/>
  <c r="S303" i="6"/>
  <c r="Q303" i="6"/>
  <c r="G303" i="6"/>
  <c r="S302" i="6"/>
  <c r="Q302" i="6"/>
  <c r="G302" i="6"/>
  <c r="S301" i="6"/>
  <c r="Q301" i="6"/>
  <c r="G301" i="6"/>
  <c r="S300" i="6"/>
  <c r="Q300" i="6"/>
  <c r="G300" i="6"/>
  <c r="S299" i="6"/>
  <c r="Q299" i="6"/>
  <c r="G299" i="6"/>
  <c r="S298" i="6"/>
  <c r="Q298" i="6"/>
  <c r="G298" i="6"/>
  <c r="S297" i="6"/>
  <c r="Q297" i="6"/>
  <c r="G297" i="6"/>
  <c r="S296" i="6"/>
  <c r="Q296" i="6"/>
  <c r="G296" i="6"/>
  <c r="S295" i="6"/>
  <c r="Q295" i="6"/>
  <c r="G295" i="6"/>
  <c r="S294" i="6"/>
  <c r="Q294" i="6"/>
  <c r="G294" i="6"/>
  <c r="S293" i="6"/>
  <c r="Q293" i="6"/>
  <c r="G293" i="6"/>
  <c r="S292" i="6"/>
  <c r="Q292" i="6"/>
  <c r="G292" i="6"/>
  <c r="S291" i="6"/>
  <c r="Q291" i="6"/>
  <c r="G291" i="6"/>
  <c r="S290" i="6"/>
  <c r="Q290" i="6"/>
  <c r="G290" i="6"/>
  <c r="S289" i="6"/>
  <c r="Q289" i="6"/>
  <c r="G289" i="6"/>
  <c r="S288" i="6"/>
  <c r="Q288" i="6"/>
  <c r="G288" i="6"/>
  <c r="S287" i="6"/>
  <c r="Q287" i="6"/>
  <c r="G287" i="6"/>
  <c r="S286" i="6"/>
  <c r="Q286" i="6"/>
  <c r="G286" i="6"/>
  <c r="S285" i="6"/>
  <c r="Q285" i="6"/>
  <c r="G285" i="6"/>
  <c r="S284" i="6"/>
  <c r="Q284" i="6"/>
  <c r="G284" i="6"/>
  <c r="S283" i="6"/>
  <c r="Q283" i="6"/>
  <c r="G283" i="6"/>
  <c r="S282" i="6"/>
  <c r="Q282" i="6"/>
  <c r="G282" i="6"/>
  <c r="S281" i="6"/>
  <c r="Q281" i="6"/>
  <c r="G281" i="6"/>
  <c r="S280" i="6"/>
  <c r="Q280" i="6"/>
  <c r="G280" i="6"/>
  <c r="S279" i="6"/>
  <c r="Q279" i="6"/>
  <c r="G279" i="6"/>
  <c r="S278" i="6"/>
  <c r="Q278" i="6"/>
  <c r="G278" i="6"/>
  <c r="S277" i="6"/>
  <c r="Q277" i="6"/>
  <c r="G277" i="6"/>
  <c r="S276" i="6"/>
  <c r="Q276" i="6"/>
  <c r="G276" i="6"/>
  <c r="S275" i="6"/>
  <c r="Q275" i="6"/>
  <c r="G275" i="6"/>
  <c r="S274" i="6"/>
  <c r="Q274" i="6"/>
  <c r="G274" i="6"/>
  <c r="S273" i="6"/>
  <c r="Q273" i="6"/>
  <c r="G273" i="6"/>
  <c r="S272" i="6"/>
  <c r="Q272" i="6"/>
  <c r="G272" i="6"/>
  <c r="S271" i="6"/>
  <c r="Q271" i="6"/>
  <c r="G271" i="6"/>
  <c r="S270" i="6"/>
  <c r="Q270" i="6"/>
  <c r="G270" i="6"/>
  <c r="S269" i="6"/>
  <c r="Q269" i="6"/>
  <c r="G269" i="6"/>
  <c r="S268" i="6"/>
  <c r="Q268" i="6"/>
  <c r="G268" i="6"/>
  <c r="S267" i="6"/>
  <c r="Q267" i="6"/>
  <c r="G267" i="6"/>
  <c r="S266" i="6"/>
  <c r="Q266" i="6"/>
  <c r="G266" i="6"/>
  <c r="S265" i="6"/>
  <c r="Q265" i="6"/>
  <c r="G265" i="6"/>
  <c r="S264" i="6"/>
  <c r="Q264" i="6"/>
  <c r="G264" i="6"/>
  <c r="S263" i="6"/>
  <c r="Q263" i="6"/>
  <c r="G263" i="6"/>
  <c r="S262" i="6"/>
  <c r="Q262" i="6"/>
  <c r="G262" i="6"/>
  <c r="S261" i="6"/>
  <c r="Q261" i="6"/>
  <c r="G261" i="6"/>
  <c r="S260" i="6"/>
  <c r="Q260" i="6"/>
  <c r="G260" i="6"/>
  <c r="S259" i="6"/>
  <c r="Q259" i="6"/>
  <c r="G259" i="6"/>
  <c r="S258" i="6"/>
  <c r="Q258" i="6"/>
  <c r="G258" i="6"/>
  <c r="S257" i="6"/>
  <c r="Q257" i="6"/>
  <c r="G257" i="6"/>
  <c r="S256" i="6"/>
  <c r="Q256" i="6"/>
  <c r="G256" i="6"/>
  <c r="S255" i="6"/>
  <c r="Q255" i="6"/>
  <c r="G255" i="6"/>
  <c r="S254" i="6"/>
  <c r="Q254" i="6"/>
  <c r="G254" i="6"/>
  <c r="S253" i="6"/>
  <c r="Q253" i="6"/>
  <c r="G253" i="6"/>
  <c r="S252" i="6"/>
  <c r="Q252" i="6"/>
  <c r="G252" i="6"/>
  <c r="S251" i="6"/>
  <c r="Q251" i="6"/>
  <c r="G251" i="6"/>
  <c r="S250" i="6"/>
  <c r="Q250" i="6"/>
  <c r="G250" i="6"/>
  <c r="S249" i="6"/>
  <c r="Q249" i="6"/>
  <c r="G249" i="6"/>
  <c r="S248" i="6"/>
  <c r="Q248" i="6"/>
  <c r="G248" i="6"/>
  <c r="S247" i="6"/>
  <c r="Q247" i="6"/>
  <c r="G247" i="6"/>
  <c r="S246" i="6"/>
  <c r="Q246" i="6"/>
  <c r="G246" i="6"/>
  <c r="S245" i="6"/>
  <c r="Q245" i="6"/>
  <c r="G245" i="6"/>
  <c r="S244" i="6"/>
  <c r="Q244" i="6"/>
  <c r="G244" i="6"/>
  <c r="S243" i="6"/>
  <c r="Q243" i="6"/>
  <c r="G243" i="6"/>
  <c r="S242" i="6"/>
  <c r="Q242" i="6"/>
  <c r="G242" i="6"/>
  <c r="S241" i="6"/>
  <c r="Q241" i="6"/>
  <c r="G241" i="6"/>
  <c r="S240" i="6"/>
  <c r="Q240" i="6"/>
  <c r="G240" i="6"/>
  <c r="S239" i="6"/>
  <c r="Q239" i="6"/>
  <c r="G239" i="6"/>
  <c r="S238" i="6"/>
  <c r="Q238" i="6"/>
  <c r="G238" i="6"/>
  <c r="S237" i="6"/>
  <c r="Q237" i="6"/>
  <c r="G237" i="6"/>
  <c r="S236" i="6"/>
  <c r="Q236" i="6"/>
  <c r="G236" i="6"/>
  <c r="S235" i="6"/>
  <c r="Q235" i="6"/>
  <c r="G235" i="6"/>
  <c r="S234" i="6"/>
  <c r="Q234" i="6"/>
  <c r="G234" i="6"/>
  <c r="S233" i="6"/>
  <c r="Q233" i="6"/>
  <c r="G233" i="6"/>
  <c r="S232" i="6"/>
  <c r="Q232" i="6"/>
  <c r="G232" i="6"/>
  <c r="S231" i="6"/>
  <c r="Q231" i="6"/>
  <c r="G231" i="6"/>
  <c r="S230" i="6"/>
  <c r="Q230" i="6"/>
  <c r="G230" i="6"/>
  <c r="S229" i="6"/>
  <c r="Q229" i="6"/>
  <c r="G229" i="6"/>
  <c r="S228" i="6"/>
  <c r="Q228" i="6"/>
  <c r="G228" i="6"/>
  <c r="S227" i="6"/>
  <c r="Q227" i="6"/>
  <c r="G227" i="6"/>
  <c r="S226" i="6"/>
  <c r="Q226" i="6"/>
  <c r="G226" i="6"/>
  <c r="S225" i="6"/>
  <c r="Q225" i="6"/>
  <c r="G225" i="6"/>
  <c r="S224" i="6"/>
  <c r="Q224" i="6"/>
  <c r="G224" i="6"/>
  <c r="S223" i="6"/>
  <c r="Q223" i="6"/>
  <c r="G223" i="6"/>
  <c r="S222" i="6"/>
  <c r="Q222" i="6"/>
  <c r="G222" i="6"/>
  <c r="S221" i="6"/>
  <c r="Q221" i="6"/>
  <c r="G221" i="6"/>
  <c r="S220" i="6"/>
  <c r="Q220" i="6"/>
  <c r="G220" i="6"/>
  <c r="S219" i="6"/>
  <c r="Q219" i="6"/>
  <c r="G219" i="6"/>
  <c r="S218" i="6"/>
  <c r="Q218" i="6"/>
  <c r="G218" i="6"/>
  <c r="S217" i="6"/>
  <c r="Q217" i="6"/>
  <c r="G217" i="6"/>
  <c r="S216" i="6"/>
  <c r="Q216" i="6"/>
  <c r="G216" i="6"/>
  <c r="S215" i="6"/>
  <c r="Q215" i="6"/>
  <c r="G215" i="6"/>
  <c r="S214" i="6"/>
  <c r="Q214" i="6"/>
  <c r="G214" i="6"/>
  <c r="S213" i="6"/>
  <c r="Q213" i="6"/>
  <c r="G213" i="6"/>
  <c r="S212" i="6"/>
  <c r="Q212" i="6"/>
  <c r="G212" i="6"/>
  <c r="S211" i="6"/>
  <c r="Q211" i="6"/>
  <c r="G211" i="6"/>
  <c r="S210" i="6"/>
  <c r="Q210" i="6"/>
  <c r="G210" i="6"/>
  <c r="S209" i="6"/>
  <c r="Q209" i="6"/>
  <c r="G209" i="6"/>
  <c r="S208" i="6"/>
  <c r="Q208" i="6"/>
  <c r="G208" i="6"/>
  <c r="S207" i="6"/>
  <c r="Q207" i="6"/>
  <c r="G207" i="6"/>
  <c r="S206" i="6"/>
  <c r="Q206" i="6"/>
  <c r="G206" i="6"/>
  <c r="S205" i="6"/>
  <c r="Q205" i="6"/>
  <c r="G205" i="6"/>
  <c r="S204" i="6"/>
  <c r="Q204" i="6"/>
  <c r="G204" i="6"/>
  <c r="S203" i="6"/>
  <c r="Q203" i="6"/>
  <c r="G203" i="6"/>
  <c r="S202" i="6"/>
  <c r="Q202" i="6"/>
  <c r="G202" i="6"/>
  <c r="S201" i="6"/>
  <c r="Q201" i="6"/>
  <c r="G201" i="6"/>
  <c r="S200" i="6"/>
  <c r="Q200" i="6"/>
  <c r="G200" i="6"/>
  <c r="S199" i="6"/>
  <c r="Q199" i="6"/>
  <c r="G199" i="6"/>
  <c r="S198" i="6"/>
  <c r="Q198" i="6"/>
  <c r="G198" i="6"/>
  <c r="S197" i="6"/>
  <c r="Q197" i="6"/>
  <c r="G197" i="6"/>
  <c r="S196" i="6"/>
  <c r="Q196" i="6"/>
  <c r="G196" i="6"/>
  <c r="S195" i="6"/>
  <c r="Q195" i="6"/>
  <c r="G195" i="6"/>
  <c r="S194" i="6"/>
  <c r="Q194" i="6"/>
  <c r="G194" i="6"/>
  <c r="S193" i="6"/>
  <c r="Q193" i="6"/>
  <c r="G193" i="6"/>
  <c r="S192" i="6"/>
  <c r="Q192" i="6"/>
  <c r="G192" i="6"/>
  <c r="S191" i="6"/>
  <c r="Q191" i="6"/>
  <c r="G191" i="6"/>
  <c r="S190" i="6"/>
  <c r="Q190" i="6"/>
  <c r="G190" i="6"/>
  <c r="S189" i="6"/>
  <c r="Q189" i="6"/>
  <c r="G189" i="6"/>
  <c r="S188" i="6"/>
  <c r="Q188" i="6"/>
  <c r="G188" i="6"/>
  <c r="S187" i="6"/>
  <c r="Q187" i="6"/>
  <c r="G187" i="6"/>
  <c r="S186" i="6"/>
  <c r="Q186" i="6"/>
  <c r="G186" i="6"/>
  <c r="S185" i="6"/>
  <c r="Q185" i="6"/>
  <c r="G185" i="6"/>
  <c r="S184" i="6"/>
  <c r="Q184" i="6"/>
  <c r="G184" i="6"/>
  <c r="S183" i="6"/>
  <c r="Q183" i="6"/>
  <c r="G183" i="6"/>
  <c r="S182" i="6"/>
  <c r="Q182" i="6"/>
  <c r="G182" i="6"/>
  <c r="S181" i="6"/>
  <c r="Q181" i="6"/>
  <c r="G181" i="6"/>
  <c r="S180" i="6"/>
  <c r="Q180" i="6"/>
  <c r="G180" i="6"/>
  <c r="S179" i="6"/>
  <c r="Q179" i="6"/>
  <c r="G179" i="6"/>
  <c r="S178" i="6"/>
  <c r="Q178" i="6"/>
  <c r="G178" i="6"/>
  <c r="S177" i="6"/>
  <c r="Q177" i="6"/>
  <c r="G177" i="6"/>
  <c r="S176" i="6"/>
  <c r="Q176" i="6"/>
  <c r="G176" i="6"/>
  <c r="S175" i="6"/>
  <c r="Q175" i="6"/>
  <c r="G175" i="6"/>
  <c r="S174" i="6"/>
  <c r="Q174" i="6"/>
  <c r="G174" i="6"/>
  <c r="S173" i="6"/>
  <c r="Q173" i="6"/>
  <c r="G173" i="6"/>
  <c r="S172" i="6"/>
  <c r="Q172" i="6"/>
  <c r="G172" i="6"/>
  <c r="S171" i="6"/>
  <c r="Q171" i="6"/>
  <c r="G171" i="6"/>
  <c r="S170" i="6"/>
  <c r="Q170" i="6"/>
  <c r="G170" i="6"/>
  <c r="S169" i="6"/>
  <c r="Q169" i="6"/>
  <c r="G169" i="6"/>
  <c r="S168" i="6"/>
  <c r="Q168" i="6"/>
  <c r="G168" i="6"/>
  <c r="S167" i="6"/>
  <c r="Q167" i="6"/>
  <c r="G167" i="6"/>
  <c r="S166" i="6"/>
  <c r="Q166" i="6"/>
  <c r="G166" i="6"/>
  <c r="S165" i="6"/>
  <c r="Q165" i="6"/>
  <c r="G165" i="6"/>
  <c r="S164" i="6"/>
  <c r="Q164" i="6"/>
  <c r="G164" i="6"/>
  <c r="S163" i="6"/>
  <c r="Q163" i="6"/>
  <c r="G163" i="6"/>
  <c r="S162" i="6"/>
  <c r="Q162" i="6"/>
  <c r="G162" i="6"/>
  <c r="S161" i="6"/>
  <c r="Q161" i="6"/>
  <c r="G161" i="6"/>
  <c r="S160" i="6"/>
  <c r="Q160" i="6"/>
  <c r="G160" i="6"/>
  <c r="S159" i="6"/>
  <c r="Q159" i="6"/>
  <c r="G159" i="6"/>
  <c r="S158" i="6"/>
  <c r="Q158" i="6"/>
  <c r="G158" i="6"/>
  <c r="S157" i="6"/>
  <c r="Q157" i="6"/>
  <c r="G157" i="6"/>
  <c r="S156" i="6"/>
  <c r="Q156" i="6"/>
  <c r="G156" i="6"/>
  <c r="S155" i="6"/>
  <c r="Q155" i="6"/>
  <c r="G155" i="6"/>
  <c r="S154" i="6"/>
  <c r="Q154" i="6"/>
  <c r="G154" i="6"/>
  <c r="S153" i="6"/>
  <c r="Q153" i="6"/>
  <c r="G153" i="6"/>
  <c r="S152" i="6"/>
  <c r="Q152" i="6"/>
  <c r="G152" i="6"/>
  <c r="S151" i="6"/>
  <c r="Q151" i="6"/>
  <c r="G151" i="6"/>
  <c r="S150" i="6"/>
  <c r="Q150" i="6"/>
  <c r="G150" i="6"/>
  <c r="S149" i="6"/>
  <c r="Q149" i="6"/>
  <c r="G149" i="6"/>
  <c r="S148" i="6"/>
  <c r="Q148" i="6"/>
  <c r="G148" i="6"/>
  <c r="S147" i="6"/>
  <c r="Q147" i="6"/>
  <c r="G147" i="6"/>
  <c r="S146" i="6"/>
  <c r="Q146" i="6"/>
  <c r="G146" i="6"/>
  <c r="S145" i="6"/>
  <c r="Q145" i="6"/>
  <c r="G145" i="6"/>
  <c r="S144" i="6"/>
  <c r="Q144" i="6"/>
  <c r="G144" i="6"/>
  <c r="S143" i="6"/>
  <c r="Q143" i="6"/>
  <c r="G143" i="6"/>
  <c r="S142" i="6"/>
  <c r="Q142" i="6"/>
  <c r="G142" i="6"/>
  <c r="S141" i="6"/>
  <c r="Q141" i="6"/>
  <c r="G141" i="6"/>
  <c r="S140" i="6"/>
  <c r="Q140" i="6"/>
  <c r="G140" i="6"/>
  <c r="S139" i="6"/>
  <c r="Q139" i="6"/>
  <c r="G139" i="6"/>
  <c r="S138" i="6"/>
  <c r="Q138" i="6"/>
  <c r="G138" i="6"/>
  <c r="S137" i="6"/>
  <c r="Q137" i="6"/>
  <c r="G137" i="6"/>
  <c r="S136" i="6"/>
  <c r="Q136" i="6"/>
  <c r="G136" i="6"/>
  <c r="S135" i="6"/>
  <c r="Q135" i="6"/>
  <c r="G135" i="6"/>
  <c r="S134" i="6"/>
  <c r="Q134" i="6"/>
  <c r="G134" i="6"/>
  <c r="S133" i="6"/>
  <c r="Q133" i="6"/>
  <c r="G133" i="6"/>
  <c r="S132" i="6"/>
  <c r="Q132" i="6"/>
  <c r="G132" i="6"/>
  <c r="S131" i="6"/>
  <c r="Q131" i="6"/>
  <c r="G131" i="6"/>
  <c r="S130" i="6"/>
  <c r="Q130" i="6"/>
  <c r="G130" i="6"/>
  <c r="S129" i="6"/>
  <c r="Q129" i="6"/>
  <c r="G129" i="6"/>
  <c r="S128" i="6"/>
  <c r="Q128" i="6"/>
  <c r="G128" i="6"/>
  <c r="S127" i="6"/>
  <c r="Q127" i="6"/>
  <c r="G127" i="6"/>
  <c r="S126" i="6"/>
  <c r="Q126" i="6"/>
  <c r="G126" i="6"/>
  <c r="S125" i="6"/>
  <c r="Q125" i="6"/>
  <c r="G125" i="6"/>
  <c r="S124" i="6"/>
  <c r="Q124" i="6"/>
  <c r="G124" i="6"/>
  <c r="S123" i="6"/>
  <c r="Q123" i="6"/>
  <c r="G123" i="6"/>
  <c r="S122" i="6"/>
  <c r="Q122" i="6"/>
  <c r="G122" i="6"/>
  <c r="S121" i="6"/>
  <c r="Q121" i="6"/>
  <c r="G121" i="6"/>
  <c r="S120" i="6"/>
  <c r="Q120" i="6"/>
  <c r="G120" i="6"/>
  <c r="S119" i="6"/>
  <c r="Q119" i="6"/>
  <c r="G119" i="6"/>
  <c r="S118" i="6"/>
  <c r="Q118" i="6"/>
  <c r="G118" i="6"/>
  <c r="S117" i="6"/>
  <c r="Q117" i="6"/>
  <c r="G117" i="6"/>
  <c r="S116" i="6"/>
  <c r="Q116" i="6"/>
  <c r="G116" i="6"/>
  <c r="S115" i="6"/>
  <c r="Q115" i="6"/>
  <c r="G115" i="6"/>
  <c r="S114" i="6"/>
  <c r="Q114" i="6"/>
  <c r="G114" i="6"/>
  <c r="S113" i="6"/>
  <c r="Q113" i="6"/>
  <c r="G113" i="6"/>
  <c r="S112" i="6"/>
  <c r="Q112" i="6"/>
  <c r="G112" i="6"/>
  <c r="S111" i="6"/>
  <c r="Q111" i="6"/>
  <c r="G111" i="6"/>
  <c r="S110" i="6"/>
  <c r="Q110" i="6"/>
  <c r="G110" i="6"/>
  <c r="S109" i="6"/>
  <c r="Q109" i="6"/>
  <c r="G109" i="6"/>
  <c r="S108" i="6"/>
  <c r="Q108" i="6"/>
  <c r="G108" i="6"/>
  <c r="S107" i="6"/>
  <c r="Q107" i="6"/>
  <c r="G107" i="6"/>
  <c r="S106" i="6"/>
  <c r="Q106" i="6"/>
  <c r="G106" i="6"/>
  <c r="S105" i="6"/>
  <c r="Q105" i="6"/>
  <c r="G105" i="6"/>
  <c r="S104" i="6"/>
  <c r="Q104" i="6"/>
  <c r="G104" i="6"/>
  <c r="S103" i="6"/>
  <c r="Q103" i="6"/>
  <c r="G103" i="6"/>
  <c r="S102" i="6"/>
  <c r="Q102" i="6"/>
  <c r="G102" i="6"/>
  <c r="S101" i="6"/>
  <c r="Q101" i="6"/>
  <c r="G101" i="6"/>
  <c r="S100" i="6"/>
  <c r="Q100" i="6"/>
  <c r="G100" i="6"/>
  <c r="S99" i="6"/>
  <c r="Q99" i="6"/>
  <c r="G99" i="6"/>
  <c r="S98" i="6"/>
  <c r="Q98" i="6"/>
  <c r="G98" i="6"/>
  <c r="S97" i="6"/>
  <c r="Q97" i="6"/>
  <c r="G97" i="6"/>
  <c r="S96" i="6"/>
  <c r="Q96" i="6"/>
  <c r="G96" i="6"/>
  <c r="S95" i="6"/>
  <c r="Q95" i="6"/>
  <c r="G95" i="6"/>
  <c r="S94" i="6"/>
  <c r="Q94" i="6"/>
  <c r="G94" i="6"/>
  <c r="S93" i="6"/>
  <c r="Q93" i="6"/>
  <c r="G93" i="6"/>
  <c r="S92" i="6"/>
  <c r="Q92" i="6"/>
  <c r="G92" i="6"/>
  <c r="S91" i="6"/>
  <c r="Q91" i="6"/>
  <c r="G91" i="6"/>
  <c r="S90" i="6"/>
  <c r="Q90" i="6"/>
  <c r="G90" i="6"/>
  <c r="S89" i="6"/>
  <c r="Q89" i="6"/>
  <c r="G89" i="6"/>
  <c r="S88" i="6"/>
  <c r="Q88" i="6"/>
  <c r="G88" i="6"/>
  <c r="S87" i="6"/>
  <c r="Q87" i="6"/>
  <c r="G87" i="6"/>
  <c r="S86" i="6"/>
  <c r="Q86" i="6"/>
  <c r="G86" i="6"/>
  <c r="S85" i="6"/>
  <c r="Q85" i="6"/>
  <c r="G85" i="6"/>
  <c r="S84" i="6"/>
  <c r="Q84" i="6"/>
  <c r="G84" i="6"/>
  <c r="S83" i="6"/>
  <c r="Q83" i="6"/>
  <c r="G83" i="6"/>
  <c r="S82" i="6"/>
  <c r="Q82" i="6"/>
  <c r="G82" i="6"/>
  <c r="S81" i="6"/>
  <c r="Q81" i="6"/>
  <c r="G81" i="6"/>
  <c r="S80" i="6"/>
  <c r="Q80" i="6"/>
  <c r="G80" i="6"/>
  <c r="S79" i="6"/>
  <c r="Q79" i="6"/>
  <c r="G79" i="6"/>
  <c r="S78" i="6"/>
  <c r="Q78" i="6"/>
  <c r="G78" i="6"/>
  <c r="S77" i="6"/>
  <c r="Q77" i="6"/>
  <c r="G77" i="6"/>
  <c r="S76" i="6"/>
  <c r="Q76" i="6"/>
  <c r="G76" i="6"/>
  <c r="S75" i="6"/>
  <c r="Q75" i="6"/>
  <c r="G75" i="6"/>
  <c r="S74" i="6"/>
  <c r="Q74" i="6"/>
  <c r="G74" i="6"/>
  <c r="S73" i="6"/>
  <c r="Q73" i="6"/>
  <c r="G73" i="6"/>
  <c r="S72" i="6"/>
  <c r="Q72" i="6"/>
  <c r="G72" i="6"/>
  <c r="S71" i="6"/>
  <c r="Q71" i="6"/>
  <c r="G71" i="6"/>
  <c r="S70" i="6"/>
  <c r="Q70" i="6"/>
  <c r="G70" i="6"/>
  <c r="S69" i="6"/>
  <c r="Q69" i="6"/>
  <c r="G69" i="6"/>
  <c r="S68" i="6"/>
  <c r="Q68" i="6"/>
  <c r="G68" i="6"/>
  <c r="S67" i="6"/>
  <c r="Q67" i="6"/>
  <c r="G67" i="6"/>
  <c r="S66" i="6"/>
  <c r="Q66" i="6"/>
  <c r="G66" i="6"/>
  <c r="S65" i="6"/>
  <c r="Q65" i="6"/>
  <c r="G65" i="6"/>
  <c r="S64" i="6"/>
  <c r="Q64" i="6"/>
  <c r="G64" i="6"/>
  <c r="S63" i="6"/>
  <c r="Q63" i="6"/>
  <c r="G63" i="6"/>
  <c r="S62" i="6"/>
  <c r="Q62" i="6"/>
  <c r="G62" i="6"/>
  <c r="S61" i="6"/>
  <c r="Q61" i="6"/>
  <c r="G61" i="6"/>
  <c r="S60" i="6"/>
  <c r="Q60" i="6"/>
  <c r="G60" i="6"/>
  <c r="S59" i="6"/>
  <c r="Q59" i="6"/>
  <c r="G59" i="6"/>
  <c r="S58" i="6"/>
  <c r="Q58" i="6"/>
  <c r="G58" i="6"/>
  <c r="S57" i="6"/>
  <c r="Q57" i="6"/>
  <c r="G57" i="6"/>
  <c r="S56" i="6"/>
  <c r="Q56" i="6"/>
  <c r="G56" i="6"/>
  <c r="S55" i="6"/>
  <c r="Q55" i="6"/>
  <c r="G55" i="6"/>
  <c r="S54" i="6"/>
  <c r="Q54" i="6"/>
  <c r="G54" i="6"/>
  <c r="S53" i="6"/>
  <c r="Q53" i="6"/>
  <c r="G53" i="6"/>
  <c r="S52" i="6"/>
  <c r="Q52" i="6"/>
  <c r="G52" i="6"/>
  <c r="S51" i="6"/>
  <c r="Q51" i="6"/>
  <c r="G51" i="6"/>
  <c r="S50" i="6"/>
  <c r="Q50" i="6"/>
  <c r="G50" i="6"/>
  <c r="S49" i="6"/>
  <c r="Q49" i="6"/>
  <c r="G49" i="6"/>
  <c r="S48" i="6"/>
  <c r="Q48" i="6"/>
  <c r="G48" i="6"/>
  <c r="S47" i="6"/>
  <c r="Q47" i="6"/>
  <c r="G47" i="6"/>
  <c r="S46" i="6"/>
  <c r="Q46" i="6"/>
  <c r="G46" i="6"/>
  <c r="S45" i="6"/>
  <c r="Q45" i="6"/>
  <c r="G45" i="6"/>
  <c r="S44" i="6"/>
  <c r="Q44" i="6"/>
  <c r="G44" i="6"/>
  <c r="S43" i="6"/>
  <c r="Q43" i="6"/>
  <c r="G43" i="6"/>
  <c r="S42" i="6"/>
  <c r="Q42" i="6"/>
  <c r="G42" i="6"/>
  <c r="S41" i="6"/>
  <c r="Q41" i="6"/>
  <c r="G41" i="6"/>
  <c r="S40" i="6"/>
  <c r="Q40" i="6"/>
  <c r="G40" i="6"/>
  <c r="S39" i="6"/>
  <c r="Q39" i="6"/>
  <c r="G39" i="6"/>
  <c r="S38" i="6"/>
  <c r="Q38" i="6"/>
  <c r="G38" i="6"/>
  <c r="S37" i="6"/>
  <c r="Q37" i="6"/>
  <c r="G37" i="6"/>
  <c r="S36" i="6"/>
  <c r="Q36" i="6"/>
  <c r="G36" i="6"/>
  <c r="S35" i="6"/>
  <c r="Q35" i="6"/>
  <c r="G35" i="6"/>
  <c r="S34" i="6"/>
  <c r="Q34" i="6"/>
  <c r="G34" i="6"/>
  <c r="S33" i="6"/>
  <c r="Q33" i="6"/>
  <c r="G33" i="6"/>
  <c r="S32" i="6"/>
  <c r="Q32" i="6"/>
  <c r="G32" i="6"/>
  <c r="S31" i="6"/>
  <c r="Q31" i="6"/>
  <c r="G31" i="6"/>
  <c r="S30" i="6"/>
  <c r="Q30" i="6"/>
  <c r="G30" i="6"/>
  <c r="S29" i="6"/>
  <c r="Q29" i="6"/>
  <c r="G29" i="6"/>
  <c r="S28" i="6"/>
  <c r="Q28" i="6"/>
  <c r="G28" i="6"/>
  <c r="S27" i="6"/>
  <c r="Q27" i="6"/>
  <c r="G27" i="6"/>
  <c r="S26" i="6"/>
  <c r="Q26" i="6"/>
  <c r="G26" i="6"/>
  <c r="S25" i="6"/>
  <c r="Q25" i="6"/>
  <c r="G25" i="6"/>
  <c r="S24" i="6"/>
  <c r="Q24" i="6"/>
  <c r="G24" i="6"/>
  <c r="S23" i="6"/>
  <c r="Q23" i="6"/>
  <c r="G23" i="6"/>
  <c r="S22" i="6"/>
  <c r="Q22" i="6"/>
  <c r="G22" i="6"/>
  <c r="S21" i="6"/>
  <c r="Q21" i="6"/>
  <c r="G21" i="6"/>
  <c r="S20" i="6"/>
  <c r="Q20" i="6"/>
  <c r="G20" i="6"/>
  <c r="S19" i="6"/>
  <c r="Q19" i="6"/>
  <c r="G19" i="6"/>
  <c r="S18" i="6"/>
  <c r="Q18" i="6"/>
  <c r="G18" i="6"/>
  <c r="S17" i="6"/>
  <c r="Q17" i="6"/>
  <c r="G17" i="6"/>
  <c r="S16" i="6"/>
  <c r="Q16" i="6"/>
  <c r="G16" i="6"/>
  <c r="S15" i="6"/>
  <c r="Q15" i="6"/>
  <c r="G15" i="6"/>
  <c r="S14" i="6"/>
  <c r="Q14" i="6"/>
  <c r="G14" i="6"/>
  <c r="S13" i="6"/>
  <c r="Q13" i="6"/>
  <c r="G13" i="6"/>
  <c r="S12" i="6"/>
  <c r="Q12" i="6"/>
  <c r="G12" i="6"/>
  <c r="S11" i="6"/>
  <c r="Q11" i="6"/>
  <c r="G11" i="6"/>
  <c r="S10" i="6"/>
  <c r="Q10" i="6"/>
  <c r="G10" i="6"/>
  <c r="S9" i="6"/>
  <c r="Q9" i="6"/>
  <c r="G9" i="6"/>
  <c r="S8" i="6"/>
  <c r="Q8" i="6"/>
  <c r="G8" i="6"/>
  <c r="S7" i="6"/>
  <c r="Q7" i="6"/>
  <c r="G7" i="6"/>
  <c r="S6" i="6"/>
  <c r="Q6" i="6"/>
  <c r="G6" i="6"/>
  <c r="S5" i="6"/>
  <c r="Q5" i="6"/>
  <c r="G5" i="6"/>
  <c r="S4" i="6"/>
  <c r="Q4" i="6"/>
  <c r="G4" i="6"/>
  <c r="S3" i="6"/>
  <c r="Q3" i="6"/>
  <c r="G3" i="6"/>
  <c r="S2" i="6"/>
  <c r="Q2" i="6"/>
  <c r="G2" i="6"/>
</calcChain>
</file>

<file path=xl/sharedStrings.xml><?xml version="1.0" encoding="utf-8"?>
<sst xmlns="http://schemas.openxmlformats.org/spreadsheetml/2006/main" count="15682" uniqueCount="2585">
  <si>
    <t>✈  AIRLINE DATASET — FLIGHTS TABLE  (Contains Dirty Data)</t>
  </si>
  <si>
    <t>Flight Id</t>
  </si>
  <si>
    <t>Flight Date</t>
  </si>
  <si>
    <t>Airline</t>
  </si>
  <si>
    <t>Origin City</t>
  </si>
  <si>
    <t>Origin Code</t>
  </si>
  <si>
    <t>Destination City</t>
  </si>
  <si>
    <t>Destination Code</t>
  </si>
  <si>
    <t>Departure Time</t>
  </si>
  <si>
    <t>Arrival Time</t>
  </si>
  <si>
    <t>Flight Duration Min</t>
  </si>
  <si>
    <t>Distance Miles</t>
  </si>
  <si>
    <t>Ticket Price</t>
  </si>
  <si>
    <t>Class</t>
  </si>
  <si>
    <t>Seats Available</t>
  </si>
  <si>
    <t>Passengers Boarded</t>
  </si>
  <si>
    <t>Status</t>
  </si>
  <si>
    <t>Delay Minutes</t>
  </si>
  <si>
    <t>FL001</t>
  </si>
  <si>
    <t>2022-08-17</t>
  </si>
  <si>
    <t>Delta</t>
  </si>
  <si>
    <t>Boston</t>
  </si>
  <si>
    <t>BOS</t>
  </si>
  <si>
    <t>Denver</t>
  </si>
  <si>
    <t>DEN</t>
  </si>
  <si>
    <t>07:15</t>
  </si>
  <si>
    <t>15:02</t>
  </si>
  <si>
    <t>First Class</t>
  </si>
  <si>
    <t>On-Time</t>
  </si>
  <si>
    <t>FL002</t>
  </si>
  <si>
    <t>2022-07-11</t>
  </si>
  <si>
    <t>Southwest</t>
  </si>
  <si>
    <t>Orlando</t>
  </si>
  <si>
    <t>MCO</t>
  </si>
  <si>
    <t>19:00</t>
  </si>
  <si>
    <t>01:17</t>
  </si>
  <si>
    <t>FL003</t>
  </si>
  <si>
    <t>2023-07-24</t>
  </si>
  <si>
    <t>Miami</t>
  </si>
  <si>
    <t>MIA</t>
  </si>
  <si>
    <t>Charlotte</t>
  </si>
  <si>
    <t>CLT</t>
  </si>
  <si>
    <t>10:30</t>
  </si>
  <si>
    <t>13:19</t>
  </si>
  <si>
    <t>Business</t>
  </si>
  <si>
    <t>FL004</t>
  </si>
  <si>
    <t>2024-01-06</t>
  </si>
  <si>
    <t>Alaska</t>
  </si>
  <si>
    <t>San Diego</t>
  </si>
  <si>
    <t>SAN</t>
  </si>
  <si>
    <t>01:45</t>
  </si>
  <si>
    <t>07:49</t>
  </si>
  <si>
    <t>FL005</t>
  </si>
  <si>
    <t>2024-01-11</t>
  </si>
  <si>
    <t>Chicago</t>
  </si>
  <si>
    <t>ORD</t>
  </si>
  <si>
    <t>Los Angeles</t>
  </si>
  <si>
    <t>LAX</t>
  </si>
  <si>
    <t>21:15</t>
  </si>
  <si>
    <t>01:13</t>
  </si>
  <si>
    <t>Economy</t>
  </si>
  <si>
    <t>FL006</t>
  </si>
  <si>
    <t>2024-01-18</t>
  </si>
  <si>
    <t>American</t>
  </si>
  <si>
    <t>San Francisco</t>
  </si>
  <si>
    <t>SFO</t>
  </si>
  <si>
    <t>Minneapolis</t>
  </si>
  <si>
    <t>MSP</t>
  </si>
  <si>
    <t>06:30</t>
  </si>
  <si>
    <t>13:59</t>
  </si>
  <si>
    <t>Delayed</t>
  </si>
  <si>
    <t>FL007</t>
  </si>
  <si>
    <t>2024-08-04</t>
  </si>
  <si>
    <t>Spirit</t>
  </si>
  <si>
    <t>MDW</t>
  </si>
  <si>
    <t>07:30</t>
  </si>
  <si>
    <t>09:28</t>
  </si>
  <si>
    <t>FL008</t>
  </si>
  <si>
    <t>2023-10-07</t>
  </si>
  <si>
    <t>Newark</t>
  </si>
  <si>
    <t>EWR</t>
  </si>
  <si>
    <t>20:45</t>
  </si>
  <si>
    <t>23:28</t>
  </si>
  <si>
    <t>FL009</t>
  </si>
  <si>
    <t>2024-05-27</t>
  </si>
  <si>
    <t>spirit</t>
  </si>
  <si>
    <t>04:45</t>
  </si>
  <si>
    <t>07:01</t>
  </si>
  <si>
    <t>FL010</t>
  </si>
  <si>
    <t>2022-05-11</t>
  </si>
  <si>
    <t>16:30</t>
  </si>
  <si>
    <t>22:43</t>
  </si>
  <si>
    <t>FL011</t>
  </si>
  <si>
    <t>2023-11-28</t>
  </si>
  <si>
    <t>United</t>
  </si>
  <si>
    <t>Las Vegas</t>
  </si>
  <si>
    <t>LAS</t>
  </si>
  <si>
    <t>05:45</t>
  </si>
  <si>
    <t>07:16</t>
  </si>
  <si>
    <t>FL012</t>
  </si>
  <si>
    <t>2024-11-05</t>
  </si>
  <si>
    <t>Dallas</t>
  </si>
  <si>
    <t>DFW</t>
  </si>
  <si>
    <t>05:00</t>
  </si>
  <si>
    <t>11:36</t>
  </si>
  <si>
    <t>FL013</t>
  </si>
  <si>
    <t>2023-05-06</t>
  </si>
  <si>
    <t>02:00</t>
  </si>
  <si>
    <t>09:44</t>
  </si>
  <si>
    <t>FL014</t>
  </si>
  <si>
    <t>2024-08-31</t>
  </si>
  <si>
    <t>19:45</t>
  </si>
  <si>
    <t>23:03</t>
  </si>
  <si>
    <t>FL015</t>
  </si>
  <si>
    <t>2024-02-04</t>
  </si>
  <si>
    <t>Frontier</t>
  </si>
  <si>
    <t>Houston</t>
  </si>
  <si>
    <t>IAH</t>
  </si>
  <si>
    <t>03:15</t>
  </si>
  <si>
    <t>06:40</t>
  </si>
  <si>
    <t>FL016</t>
  </si>
  <si>
    <t>2022-01-15</t>
  </si>
  <si>
    <t>06:19</t>
  </si>
  <si>
    <t>FL017</t>
  </si>
  <si>
    <t>2022-09-28</t>
  </si>
  <si>
    <t>13:15</t>
  </si>
  <si>
    <t>15:33</t>
  </si>
  <si>
    <t>FL018</t>
  </si>
  <si>
    <t>2022-04-21</t>
  </si>
  <si>
    <t>Detroit</t>
  </si>
  <si>
    <t>DTW</t>
  </si>
  <si>
    <t>23:30</t>
  </si>
  <si>
    <t>01:55</t>
  </si>
  <si>
    <t>FL019</t>
  </si>
  <si>
    <t>2023-07-25</t>
  </si>
  <si>
    <t>14:00</t>
  </si>
  <si>
    <t>15:55</t>
  </si>
  <si>
    <t>FL020</t>
  </si>
  <si>
    <t>2022-12-07</t>
  </si>
  <si>
    <t>06:45</t>
  </si>
  <si>
    <t>08:45</t>
  </si>
  <si>
    <t>FL021</t>
  </si>
  <si>
    <t>2024-05-16</t>
  </si>
  <si>
    <t>09:15</t>
  </si>
  <si>
    <t>11:14</t>
  </si>
  <si>
    <t>FL022</t>
  </si>
  <si>
    <t>2024-09-03</t>
  </si>
  <si>
    <t>02:15</t>
  </si>
  <si>
    <t>04:20</t>
  </si>
  <si>
    <t>Cancelled</t>
  </si>
  <si>
    <t>FL023</t>
  </si>
  <si>
    <t>20/05/2023</t>
  </si>
  <si>
    <t>13:30</t>
  </si>
  <si>
    <t>17:13</t>
  </si>
  <si>
    <t>FL024</t>
  </si>
  <si>
    <t>2023-09-07</t>
  </si>
  <si>
    <t>Phoenix</t>
  </si>
  <si>
    <t>PHX</t>
  </si>
  <si>
    <t>00:45</t>
  </si>
  <si>
    <t>07:33</t>
  </si>
  <si>
    <t>FL025</t>
  </si>
  <si>
    <t>2022-09-29</t>
  </si>
  <si>
    <t>11:30</t>
  </si>
  <si>
    <t>14:20</t>
  </si>
  <si>
    <t>FL026</t>
  </si>
  <si>
    <t>2023-09-06</t>
  </si>
  <si>
    <t>03:00</t>
  </si>
  <si>
    <t>10:50</t>
  </si>
  <si>
    <t>FL027</t>
  </si>
  <si>
    <t>2023-06-25</t>
  </si>
  <si>
    <t>02:45</t>
  </si>
  <si>
    <t>06:36</t>
  </si>
  <si>
    <t>FL028</t>
  </si>
  <si>
    <t>2024-06-23</t>
  </si>
  <si>
    <t>New York</t>
  </si>
  <si>
    <t>JFK</t>
  </si>
  <si>
    <t>10:23</t>
  </si>
  <si>
    <t>FL029</t>
  </si>
  <si>
    <t>2022-09-19</t>
  </si>
  <si>
    <t>01:30</t>
  </si>
  <si>
    <t>04:47</t>
  </si>
  <si>
    <t>FL030</t>
  </si>
  <si>
    <t>2022-11-13</t>
  </si>
  <si>
    <t>Seattle</t>
  </si>
  <si>
    <t>SEA</t>
  </si>
  <si>
    <t>13:00</t>
  </si>
  <si>
    <t>16:01</t>
  </si>
  <si>
    <t>FL031</t>
  </si>
  <si>
    <t>2022-08-10</t>
  </si>
  <si>
    <t>12:40</t>
  </si>
  <si>
    <t>FL032</t>
  </si>
  <si>
    <t>2023-11-04</t>
  </si>
  <si>
    <t>JetBlue</t>
  </si>
  <si>
    <t>11:45</t>
  </si>
  <si>
    <t>19:02</t>
  </si>
  <si>
    <t>FL033</t>
  </si>
  <si>
    <t>2023-06-28</t>
  </si>
  <si>
    <t>Atlanta</t>
  </si>
  <si>
    <t>ATL</t>
  </si>
  <si>
    <t>16:43</t>
  </si>
  <si>
    <t>FL034</t>
  </si>
  <si>
    <t>2022-04-01</t>
  </si>
  <si>
    <t>17:15</t>
  </si>
  <si>
    <t>21:51</t>
  </si>
  <si>
    <t>FL035</t>
  </si>
  <si>
    <t>2022-09-13</t>
  </si>
  <si>
    <t>21:45</t>
  </si>
  <si>
    <t>02:02</t>
  </si>
  <si>
    <t>FL036</t>
  </si>
  <si>
    <t>2024-02-16</t>
  </si>
  <si>
    <t>09:45</t>
  </si>
  <si>
    <t>FL037</t>
  </si>
  <si>
    <t>2023-10-22</t>
  </si>
  <si>
    <t>03:06</t>
  </si>
  <si>
    <t>FL038</t>
  </si>
  <si>
    <t>2024-11-21</t>
  </si>
  <si>
    <t>21:30</t>
  </si>
  <si>
    <t>00:55</t>
  </si>
  <si>
    <t>FL039</t>
  </si>
  <si>
    <t>2022-05-30</t>
  </si>
  <si>
    <t>12:28</t>
  </si>
  <si>
    <t>FL040</t>
  </si>
  <si>
    <t>2024-05-20</t>
  </si>
  <si>
    <t>20:15</t>
  </si>
  <si>
    <t>FL041</t>
  </si>
  <si>
    <t>2023-10-12</t>
  </si>
  <si>
    <t>13:45</t>
  </si>
  <si>
    <t>16:36</t>
  </si>
  <si>
    <t>FL042</t>
  </si>
  <si>
    <t>2024-09-19</t>
  </si>
  <si>
    <t>02:30</t>
  </si>
  <si>
    <t>06:00</t>
  </si>
  <si>
    <t>FL043</t>
  </si>
  <si>
    <t>2024-02-24</t>
  </si>
  <si>
    <t>18:04</t>
  </si>
  <si>
    <t>FL044</t>
  </si>
  <si>
    <t>2022-02-10</t>
  </si>
  <si>
    <t>19:25</t>
  </si>
  <si>
    <t>FL045</t>
  </si>
  <si>
    <t>2024-09-26</t>
  </si>
  <si>
    <t>15:00</t>
  </si>
  <si>
    <t>19:49</t>
  </si>
  <si>
    <t>FL046</t>
  </si>
  <si>
    <t>2024-12-29</t>
  </si>
  <si>
    <t>18:00</t>
  </si>
  <si>
    <t>20:12</t>
  </si>
  <si>
    <t>FL047</t>
  </si>
  <si>
    <t>2023-11-02</t>
  </si>
  <si>
    <t>10:45</t>
  </si>
  <si>
    <t>14:37</t>
  </si>
  <si>
    <t>FL048</t>
  </si>
  <si>
    <t>2023-12-18</t>
  </si>
  <si>
    <t>00:15</t>
  </si>
  <si>
    <t>03:27</t>
  </si>
  <si>
    <t>FL049</t>
  </si>
  <si>
    <t>2023-03-23</t>
  </si>
  <si>
    <t>07:53</t>
  </si>
  <si>
    <t>FL050</t>
  </si>
  <si>
    <t>2024-02-08</t>
  </si>
  <si>
    <t>18:15</t>
  </si>
  <si>
    <t>20:37</t>
  </si>
  <si>
    <t>FL051</t>
  </si>
  <si>
    <t>2022-03-26</t>
  </si>
  <si>
    <t>23:35</t>
  </si>
  <si>
    <t>FL052</t>
  </si>
  <si>
    <t>2024-06-06</t>
  </si>
  <si>
    <t>21:00</t>
  </si>
  <si>
    <t>FL053</t>
  </si>
  <si>
    <t>2024-08-10</t>
  </si>
  <si>
    <t>10:15</t>
  </si>
  <si>
    <t>12:29</t>
  </si>
  <si>
    <t>FL054</t>
  </si>
  <si>
    <t>15:54</t>
  </si>
  <si>
    <t>FL055</t>
  </si>
  <si>
    <t>2022-01-21</t>
  </si>
  <si>
    <t>23:45</t>
  </si>
  <si>
    <t>05:25</t>
  </si>
  <si>
    <t>FL056</t>
  </si>
  <si>
    <t>2022-02-05</t>
  </si>
  <si>
    <t>12:15</t>
  </si>
  <si>
    <t>16:21</t>
  </si>
  <si>
    <t>FL057</t>
  </si>
  <si>
    <t>2023-11-09</t>
  </si>
  <si>
    <t>09:30</t>
  </si>
  <si>
    <t>12:58</t>
  </si>
  <si>
    <t>FL058</t>
  </si>
  <si>
    <t>2023-01-15</t>
  </si>
  <si>
    <t>08:30</t>
  </si>
  <si>
    <t>10:51</t>
  </si>
  <si>
    <t>FL059</t>
  </si>
  <si>
    <t>08:57</t>
  </si>
  <si>
    <t>FL060</t>
  </si>
  <si>
    <t>2024-08-19</t>
  </si>
  <si>
    <t>08:39</t>
  </si>
  <si>
    <t>FL061</t>
  </si>
  <si>
    <t>2022-04-20</t>
  </si>
  <si>
    <t>09:00</t>
  </si>
  <si>
    <t>12:37</t>
  </si>
  <si>
    <t>FL062</t>
  </si>
  <si>
    <t>2024-12-06</t>
  </si>
  <si>
    <t>13:51</t>
  </si>
  <si>
    <t>FL063</t>
  </si>
  <si>
    <t>2023-03-02</t>
  </si>
  <si>
    <t>05:15</t>
  </si>
  <si>
    <t>08:13</t>
  </si>
  <si>
    <t>FL064</t>
  </si>
  <si>
    <t>2023-08-20</t>
  </si>
  <si>
    <t>22:30</t>
  </si>
  <si>
    <t>05:59</t>
  </si>
  <si>
    <t>FL065</t>
  </si>
  <si>
    <t>2023-02-10</t>
  </si>
  <si>
    <t>11:01</t>
  </si>
  <si>
    <t>FL066</t>
  </si>
  <si>
    <t>2023-08-15</t>
  </si>
  <si>
    <t>05:58</t>
  </si>
  <si>
    <t>FL067</t>
  </si>
  <si>
    <t>2022-03-23</t>
  </si>
  <si>
    <t>00:00</t>
  </si>
  <si>
    <t>FL068</t>
  </si>
  <si>
    <t>2022-03-24</t>
  </si>
  <si>
    <t>00:37</t>
  </si>
  <si>
    <t>FL069</t>
  </si>
  <si>
    <t>2022-07-06</t>
  </si>
  <si>
    <t>17:43</t>
  </si>
  <si>
    <t>FL070</t>
  </si>
  <si>
    <t>2024-03-31</t>
  </si>
  <si>
    <t>14:45</t>
  </si>
  <si>
    <t>FL071</t>
  </si>
  <si>
    <t>23:18</t>
  </si>
  <si>
    <t>FL072</t>
  </si>
  <si>
    <t>2023-08-13</t>
  </si>
  <si>
    <t>07:48</t>
  </si>
  <si>
    <t>FL073</t>
  </si>
  <si>
    <t>2022-08-21</t>
  </si>
  <si>
    <t>15:30</t>
  </si>
  <si>
    <t>21:20</t>
  </si>
  <si>
    <t>FL074</t>
  </si>
  <si>
    <t>2022-10-24</t>
  </si>
  <si>
    <t>23:15</t>
  </si>
  <si>
    <t>01:20</t>
  </si>
  <si>
    <t>FL075</t>
  </si>
  <si>
    <t>2022-01-06</t>
  </si>
  <si>
    <t>18:45</t>
  </si>
  <si>
    <t>21:31</t>
  </si>
  <si>
    <t>FL076</t>
  </si>
  <si>
    <t>FL077</t>
  </si>
  <si>
    <t>2022-11-08</t>
  </si>
  <si>
    <t>18:51</t>
  </si>
  <si>
    <t>FL078</t>
  </si>
  <si>
    <t>17:47</t>
  </si>
  <si>
    <t>CANCELLED</t>
  </si>
  <si>
    <t>FL079</t>
  </si>
  <si>
    <t>10:56</t>
  </si>
  <si>
    <t>FL080</t>
  </si>
  <si>
    <t>2024-06-27</t>
  </si>
  <si>
    <t>03:28</t>
  </si>
  <si>
    <t>FL081</t>
  </si>
  <si>
    <t>2023-01-04</t>
  </si>
  <si>
    <t>02:32</t>
  </si>
  <si>
    <t>FL082</t>
  </si>
  <si>
    <t>2023-06-05</t>
  </si>
  <si>
    <t>14:30</t>
  </si>
  <si>
    <t>21:46</t>
  </si>
  <si>
    <t>FL083</t>
  </si>
  <si>
    <t>2023-09-05</t>
  </si>
  <si>
    <t>14:01</t>
  </si>
  <si>
    <t>FL084</t>
  </si>
  <si>
    <t>2023-08-28</t>
  </si>
  <si>
    <t>FL085</t>
  </si>
  <si>
    <t>2023-12-23</t>
  </si>
  <si>
    <t>04:06</t>
  </si>
  <si>
    <t>FL086</t>
  </si>
  <si>
    <t>13:44</t>
  </si>
  <si>
    <t>FL087</t>
  </si>
  <si>
    <t>2023-07-13</t>
  </si>
  <si>
    <t>11:58</t>
  </si>
  <si>
    <t>FL088</t>
  </si>
  <si>
    <t>2024-01-20</t>
  </si>
  <si>
    <t>08:00</t>
  </si>
  <si>
    <t>13:22</t>
  </si>
  <si>
    <t>FL089</t>
  </si>
  <si>
    <t>2024-01-31</t>
  </si>
  <si>
    <t>00:30</t>
  </si>
  <si>
    <t>07:12</t>
  </si>
  <si>
    <t>FL090</t>
  </si>
  <si>
    <t>2024-04-16</t>
  </si>
  <si>
    <t>FL091</t>
  </si>
  <si>
    <t>2024-05-08</t>
  </si>
  <si>
    <t>american</t>
  </si>
  <si>
    <t>15:45</t>
  </si>
  <si>
    <t>19:38</t>
  </si>
  <si>
    <t>FL092</t>
  </si>
  <si>
    <t>2024-01-13</t>
  </si>
  <si>
    <t>20:30</t>
  </si>
  <si>
    <t>22:31</t>
  </si>
  <si>
    <t>FL093</t>
  </si>
  <si>
    <t>2023-03-11</t>
  </si>
  <si>
    <t>13:34</t>
  </si>
  <si>
    <t>FL094</t>
  </si>
  <si>
    <t>2023-04-23</t>
  </si>
  <si>
    <t>08:15</t>
  </si>
  <si>
    <t>FL095</t>
  </si>
  <si>
    <t>2024-01-04</t>
  </si>
  <si>
    <t>04:00</t>
  </si>
  <si>
    <t>FL096</t>
  </si>
  <si>
    <t>2024-07-07</t>
  </si>
  <si>
    <t>03:45</t>
  </si>
  <si>
    <t>09:32</t>
  </si>
  <si>
    <t>DELAYED</t>
  </si>
  <si>
    <t>FL097</t>
  </si>
  <si>
    <t>2023-09-10</t>
  </si>
  <si>
    <t>20:53</t>
  </si>
  <si>
    <t>FL098</t>
  </si>
  <si>
    <t>2022-10-31</t>
  </si>
  <si>
    <t>19:30</t>
  </si>
  <si>
    <t>FL099</t>
  </si>
  <si>
    <t>2022-08-23</t>
  </si>
  <si>
    <t>07:45</t>
  </si>
  <si>
    <t>12:08</t>
  </si>
  <si>
    <t>FL100</t>
  </si>
  <si>
    <t>2023-06-07</t>
  </si>
  <si>
    <t>04:13</t>
  </si>
  <si>
    <t>FL101</t>
  </si>
  <si>
    <t>2022-05-03</t>
  </si>
  <si>
    <t>19:24</t>
  </si>
  <si>
    <t>FL102</t>
  </si>
  <si>
    <t>07:00</t>
  </si>
  <si>
    <t>11:29</t>
  </si>
  <si>
    <t>FL103</t>
  </si>
  <si>
    <t>2022-02-23</t>
  </si>
  <si>
    <t>12:53</t>
  </si>
  <si>
    <t>FL104</t>
  </si>
  <si>
    <t>2022-10-18</t>
  </si>
  <si>
    <t>11:49</t>
  </si>
  <si>
    <t>FL105</t>
  </si>
  <si>
    <t>2022-06-23</t>
  </si>
  <si>
    <t>FL106</t>
  </si>
  <si>
    <t>2024-04-28</t>
  </si>
  <si>
    <t>03:30</t>
  </si>
  <si>
    <t>08:40</t>
  </si>
  <si>
    <t>FL107</t>
  </si>
  <si>
    <t>2023-09-24</t>
  </si>
  <si>
    <t>20:33</t>
  </si>
  <si>
    <t>FL108</t>
  </si>
  <si>
    <t>2023-11-03</t>
  </si>
  <si>
    <t>02:44</t>
  </si>
  <si>
    <t>FL109</t>
  </si>
  <si>
    <t>2023-12-27</t>
  </si>
  <si>
    <t>18:25</t>
  </si>
  <si>
    <t>FL110</t>
  </si>
  <si>
    <t>2024-05-05</t>
  </si>
  <si>
    <t>FL111</t>
  </si>
  <si>
    <t>2022-08-05</t>
  </si>
  <si>
    <t>12:00</t>
  </si>
  <si>
    <t>16:52</t>
  </si>
  <si>
    <t>FL112</t>
  </si>
  <si>
    <t>2022-08-22</t>
  </si>
  <si>
    <t>FL113</t>
  </si>
  <si>
    <t>2022-06-04</t>
  </si>
  <si>
    <t>02:03</t>
  </si>
  <si>
    <t>FL114</t>
  </si>
  <si>
    <t>2022-05-20</t>
  </si>
  <si>
    <t>12:30</t>
  </si>
  <si>
    <t>FL115</t>
  </si>
  <si>
    <t>2023-08-11</t>
  </si>
  <si>
    <t>12:45</t>
  </si>
  <si>
    <t>19:12</t>
  </si>
  <si>
    <t>FL116</t>
  </si>
  <si>
    <t>2023-01-21</t>
  </si>
  <si>
    <t>16:15</t>
  </si>
  <si>
    <t>18:16</t>
  </si>
  <si>
    <t>FL117</t>
  </si>
  <si>
    <t>2022-12-20</t>
  </si>
  <si>
    <t>14:15</t>
  </si>
  <si>
    <t>FL118</t>
  </si>
  <si>
    <t>2023-11-17</t>
  </si>
  <si>
    <t>17:45</t>
  </si>
  <si>
    <t>21:40</t>
  </si>
  <si>
    <t>FL119</t>
  </si>
  <si>
    <t>2022-10-17</t>
  </si>
  <si>
    <t>08:08</t>
  </si>
  <si>
    <t>FL120</t>
  </si>
  <si>
    <t>04:38</t>
  </si>
  <si>
    <t>FL121</t>
  </si>
  <si>
    <t>2022-10-09</t>
  </si>
  <si>
    <t>10:08</t>
  </si>
  <si>
    <t>FL122</t>
  </si>
  <si>
    <t>2022-11-29</t>
  </si>
  <si>
    <t>01:37</t>
  </si>
  <si>
    <t>FL123</t>
  </si>
  <si>
    <t>2024-07-08</t>
  </si>
  <si>
    <t>12:54</t>
  </si>
  <si>
    <t>FL124</t>
  </si>
  <si>
    <t>2024-10-26</t>
  </si>
  <si>
    <t>19:15</t>
  </si>
  <si>
    <t>22:53</t>
  </si>
  <si>
    <t>FL125</t>
  </si>
  <si>
    <t>FL126</t>
  </si>
  <si>
    <t>2022-02-24</t>
  </si>
  <si>
    <t>20:00</t>
  </si>
  <si>
    <t>FL127</t>
  </si>
  <si>
    <t>2022-07-22</t>
  </si>
  <si>
    <t>FL128</t>
  </si>
  <si>
    <t>2022-06-12</t>
  </si>
  <si>
    <t>07:11</t>
  </si>
  <si>
    <t>FL129</t>
  </si>
  <si>
    <t>2024-07-25</t>
  </si>
  <si>
    <t>01:53</t>
  </si>
  <si>
    <t>FL130</t>
  </si>
  <si>
    <t>24/12/2023</t>
  </si>
  <si>
    <t>10:58</t>
  </si>
  <si>
    <t>FL131</t>
  </si>
  <si>
    <t>2022-02-11</t>
  </si>
  <si>
    <t>01:26</t>
  </si>
  <si>
    <t>FL132</t>
  </si>
  <si>
    <t>2022-08-01</t>
  </si>
  <si>
    <t>18:29</t>
  </si>
  <si>
    <t>FL133</t>
  </si>
  <si>
    <t>2022-10-04</t>
  </si>
  <si>
    <t>11:07</t>
  </si>
  <si>
    <t>FL134</t>
  </si>
  <si>
    <t>2024-08-27</t>
  </si>
  <si>
    <t>11:24</t>
  </si>
  <si>
    <t>FL135</t>
  </si>
  <si>
    <t>2024-03-30</t>
  </si>
  <si>
    <t>13:09</t>
  </si>
  <si>
    <t>FL136</t>
  </si>
  <si>
    <t>19/05/2024</t>
  </si>
  <si>
    <t>17:30</t>
  </si>
  <si>
    <t>21:44</t>
  </si>
  <si>
    <t>FL137</t>
  </si>
  <si>
    <t>2024-05-22</t>
  </si>
  <si>
    <t>21:42</t>
  </si>
  <si>
    <t>FL138</t>
  </si>
  <si>
    <t>2022-04-28</t>
  </si>
  <si>
    <t>FL139</t>
  </si>
  <si>
    <t>2022-05-18</t>
  </si>
  <si>
    <t>18:39</t>
  </si>
  <si>
    <t>FL140</t>
  </si>
  <si>
    <t>00:07</t>
  </si>
  <si>
    <t>FL141</t>
  </si>
  <si>
    <t>2022-08-30</t>
  </si>
  <si>
    <t>13:55</t>
  </si>
  <si>
    <t>FL142</t>
  </si>
  <si>
    <t>2024-06-30</t>
  </si>
  <si>
    <t>22:00</t>
  </si>
  <si>
    <t>04:11</t>
  </si>
  <si>
    <t>FL143</t>
  </si>
  <si>
    <t>2022-12-23</t>
  </si>
  <si>
    <t>05:56</t>
  </si>
  <si>
    <t>FL144</t>
  </si>
  <si>
    <t>2024-08-15</t>
  </si>
  <si>
    <t>07:23</t>
  </si>
  <si>
    <t>FL145</t>
  </si>
  <si>
    <t>00:05</t>
  </si>
  <si>
    <t>FL146</t>
  </si>
  <si>
    <t>2022-04-24</t>
  </si>
  <si>
    <t>12:07</t>
  </si>
  <si>
    <t>FL147</t>
  </si>
  <si>
    <t>2023-05-29</t>
  </si>
  <si>
    <t>04:30</t>
  </si>
  <si>
    <t>FL148</t>
  </si>
  <si>
    <t>2022-11-12</t>
  </si>
  <si>
    <t>19:44</t>
  </si>
  <si>
    <t>FL149</t>
  </si>
  <si>
    <t>2023-03-08</t>
  </si>
  <si>
    <t>22:28</t>
  </si>
  <si>
    <t>FL150</t>
  </si>
  <si>
    <t>18:59</t>
  </si>
  <si>
    <t>FL151</t>
  </si>
  <si>
    <t>2024-03-27</t>
  </si>
  <si>
    <t>17:00</t>
  </si>
  <si>
    <t>21:13</t>
  </si>
  <si>
    <t>ON-TIME</t>
  </si>
  <si>
    <t>FL152</t>
  </si>
  <si>
    <t>2022-04-14</t>
  </si>
  <si>
    <t>11:32</t>
  </si>
  <si>
    <t>FL153</t>
  </si>
  <si>
    <t>2024-11-20</t>
  </si>
  <si>
    <t>17:16</t>
  </si>
  <si>
    <t>FL154</t>
  </si>
  <si>
    <t>11:25</t>
  </si>
  <si>
    <t>FL155</t>
  </si>
  <si>
    <t>2022-04-03</t>
  </si>
  <si>
    <t>21:50</t>
  </si>
  <si>
    <t>FL156</t>
  </si>
  <si>
    <t>2022-09-01</t>
  </si>
  <si>
    <t>FL157</t>
  </si>
  <si>
    <t>04:02</t>
  </si>
  <si>
    <t>FL158</t>
  </si>
  <si>
    <t>2023-10-15</t>
  </si>
  <si>
    <t>18:30</t>
  </si>
  <si>
    <t>00:19</t>
  </si>
  <si>
    <t>FL159</t>
  </si>
  <si>
    <t>2022-02-04</t>
  </si>
  <si>
    <t>21:11</t>
  </si>
  <si>
    <t>FL160</t>
  </si>
  <si>
    <t>2023-04-12</t>
  </si>
  <si>
    <t>FL161</t>
  </si>
  <si>
    <t>2023-10-05</t>
  </si>
  <si>
    <t>22:15</t>
  </si>
  <si>
    <t>FL162</t>
  </si>
  <si>
    <t>2023-03-01</t>
  </si>
  <si>
    <t>15:28</t>
  </si>
  <si>
    <t>FL163</t>
  </si>
  <si>
    <t>2023-06-26</t>
  </si>
  <si>
    <t>frontier</t>
  </si>
  <si>
    <t>11:55</t>
  </si>
  <si>
    <t>FL164</t>
  </si>
  <si>
    <t>2024-09-09</t>
  </si>
  <si>
    <t>15:23</t>
  </si>
  <si>
    <t>FL165</t>
  </si>
  <si>
    <t>2022-10-27</t>
  </si>
  <si>
    <t>02:27</t>
  </si>
  <si>
    <t>FL166</t>
  </si>
  <si>
    <t>2023-07-10</t>
  </si>
  <si>
    <t>22:49</t>
  </si>
  <si>
    <t>FL167</t>
  </si>
  <si>
    <t>2022-07-25</t>
  </si>
  <si>
    <t>FL168</t>
  </si>
  <si>
    <t>2023-02-13</t>
  </si>
  <si>
    <t>FL169</t>
  </si>
  <si>
    <t>2022-12-25</t>
  </si>
  <si>
    <t>15:50</t>
  </si>
  <si>
    <t>FL170</t>
  </si>
  <si>
    <t>2023-11-18</t>
  </si>
  <si>
    <t>16:45</t>
  </si>
  <si>
    <t>19:23</t>
  </si>
  <si>
    <t>FL171</t>
  </si>
  <si>
    <t>2024-07-28</t>
  </si>
  <si>
    <t>03:31</t>
  </si>
  <si>
    <t>FL172</t>
  </si>
  <si>
    <t>2024-05-25</t>
  </si>
  <si>
    <t>00:04</t>
  </si>
  <si>
    <t>FL173</t>
  </si>
  <si>
    <t>2024-07-03</t>
  </si>
  <si>
    <t>21:43</t>
  </si>
  <si>
    <t>FL174</t>
  </si>
  <si>
    <t>2022-11-24</t>
  </si>
  <si>
    <t>04:57</t>
  </si>
  <si>
    <t>FL175</t>
  </si>
  <si>
    <t>2024-07-20</t>
  </si>
  <si>
    <t>15:15</t>
  </si>
  <si>
    <t>FL176</t>
  </si>
  <si>
    <t>2024-12-17</t>
  </si>
  <si>
    <t>09:10</t>
  </si>
  <si>
    <t>FL177</t>
  </si>
  <si>
    <t>2024-12-01</t>
  </si>
  <si>
    <t>22:45</t>
  </si>
  <si>
    <t>01:01</t>
  </si>
  <si>
    <t>FL178</t>
  </si>
  <si>
    <t>2024-07-24</t>
  </si>
  <si>
    <t>05:10</t>
  </si>
  <si>
    <t>FL179</t>
  </si>
  <si>
    <t>19:05</t>
  </si>
  <si>
    <t>FL180</t>
  </si>
  <si>
    <t>2024-05-10</t>
  </si>
  <si>
    <t>14:56</t>
  </si>
  <si>
    <t>FL181</t>
  </si>
  <si>
    <t>2024-03-15</t>
  </si>
  <si>
    <t>05:57</t>
  </si>
  <si>
    <t>FL182</t>
  </si>
  <si>
    <t>2023-12-10</t>
  </si>
  <si>
    <t>23:00</t>
  </si>
  <si>
    <t>00:46</t>
  </si>
  <si>
    <t>FL183</t>
  </si>
  <si>
    <t>2022-03-10</t>
  </si>
  <si>
    <t>FL184</t>
  </si>
  <si>
    <t>2024-10-28</t>
  </si>
  <si>
    <t>FL185</t>
  </si>
  <si>
    <t>2023-07-18</t>
  </si>
  <si>
    <t>delta</t>
  </si>
  <si>
    <t>06:05</t>
  </si>
  <si>
    <t>FL186</t>
  </si>
  <si>
    <t>2024-02-20</t>
  </si>
  <si>
    <t>09:12</t>
  </si>
  <si>
    <t>FL187</t>
  </si>
  <si>
    <t>2022-10-23</t>
  </si>
  <si>
    <t>FL188</t>
  </si>
  <si>
    <t>2022-06-11</t>
  </si>
  <si>
    <t>19:11</t>
  </si>
  <si>
    <t>FL189</t>
  </si>
  <si>
    <t>2023-03-21</t>
  </si>
  <si>
    <t>12:18</t>
  </si>
  <si>
    <t>FL190</t>
  </si>
  <si>
    <t>2023-05-12</t>
  </si>
  <si>
    <t>21:24</t>
  </si>
  <si>
    <t>FL191</t>
  </si>
  <si>
    <t>2024-11-16</t>
  </si>
  <si>
    <t>07:44</t>
  </si>
  <si>
    <t>FL192</t>
  </si>
  <si>
    <t>2023-03-30</t>
  </si>
  <si>
    <t>FL193</t>
  </si>
  <si>
    <t>2023-11-23</t>
  </si>
  <si>
    <t>FL194</t>
  </si>
  <si>
    <t>2022-05-01</t>
  </si>
  <si>
    <t>03:25</t>
  </si>
  <si>
    <t>FL195</t>
  </si>
  <si>
    <t>2024-07-22</t>
  </si>
  <si>
    <t>23:23</t>
  </si>
  <si>
    <t>FL196</t>
  </si>
  <si>
    <t>2023-07-17</t>
  </si>
  <si>
    <t>01:46</t>
  </si>
  <si>
    <t>FL197</t>
  </si>
  <si>
    <t>2024-12-14</t>
  </si>
  <si>
    <t>jetblue</t>
  </si>
  <si>
    <t>16:41</t>
  </si>
  <si>
    <t>FL198</t>
  </si>
  <si>
    <t>2022-06-15</t>
  </si>
  <si>
    <t>18:57</t>
  </si>
  <si>
    <t>FL199</t>
  </si>
  <si>
    <t>2024-06-07</t>
  </si>
  <si>
    <t>16:00</t>
  </si>
  <si>
    <t>19:27</t>
  </si>
  <si>
    <t>FL200</t>
  </si>
  <si>
    <t>2022-06-02</t>
  </si>
  <si>
    <t>00:01</t>
  </si>
  <si>
    <t>FL201</t>
  </si>
  <si>
    <t>2022-06-07</t>
  </si>
  <si>
    <t>15:01</t>
  </si>
  <si>
    <t>FL202</t>
  </si>
  <si>
    <t>FL203</t>
  </si>
  <si>
    <t>2023-07-14</t>
  </si>
  <si>
    <t>16:56</t>
  </si>
  <si>
    <t>FL204</t>
  </si>
  <si>
    <t>2023-05-20</t>
  </si>
  <si>
    <t>12:19</t>
  </si>
  <si>
    <t>FL205</t>
  </si>
  <si>
    <t>2022-01-11</t>
  </si>
  <si>
    <t>10:37</t>
  </si>
  <si>
    <t>FL206</t>
  </si>
  <si>
    <t>2022-07-31</t>
  </si>
  <si>
    <t>FL207</t>
  </si>
  <si>
    <t>08:41</t>
  </si>
  <si>
    <t>FL208</t>
  </si>
  <si>
    <t>2024-06-09</t>
  </si>
  <si>
    <t>19:34</t>
  </si>
  <si>
    <t>FL209</t>
  </si>
  <si>
    <t>2023-02-05</t>
  </si>
  <si>
    <t>13:52</t>
  </si>
  <si>
    <t>FL210</t>
  </si>
  <si>
    <t>2024-05-31</t>
  </si>
  <si>
    <t>00:50</t>
  </si>
  <si>
    <t>FL211</t>
  </si>
  <si>
    <t>2024-10-02</t>
  </si>
  <si>
    <t>13:21</t>
  </si>
  <si>
    <t>FL212</t>
  </si>
  <si>
    <t>2022-02-25</t>
  </si>
  <si>
    <t>FL213</t>
  </si>
  <si>
    <t>2024-02-12</t>
  </si>
  <si>
    <t>00:48</t>
  </si>
  <si>
    <t>FL214</t>
  </si>
  <si>
    <t>2024-01-07</t>
  </si>
  <si>
    <t>00:25</t>
  </si>
  <si>
    <t>FL215</t>
  </si>
  <si>
    <t>2023-11-11</t>
  </si>
  <si>
    <t>06:53</t>
  </si>
  <si>
    <t>FL216</t>
  </si>
  <si>
    <t>2024-07-01</t>
  </si>
  <si>
    <t>01:41</t>
  </si>
  <si>
    <t>FL217</t>
  </si>
  <si>
    <t>20:11</t>
  </si>
  <si>
    <t>FL218</t>
  </si>
  <si>
    <t>10:00</t>
  </si>
  <si>
    <t>FL219</t>
  </si>
  <si>
    <t>FL220</t>
  </si>
  <si>
    <t>2023-02-09</t>
  </si>
  <si>
    <t>FL221</t>
  </si>
  <si>
    <t>2023-01-18</t>
  </si>
  <si>
    <t>17:44</t>
  </si>
  <si>
    <t>FL222</t>
  </si>
  <si>
    <t>02:29</t>
  </si>
  <si>
    <t>FL223</t>
  </si>
  <si>
    <t>2023-05-04</t>
  </si>
  <si>
    <t>11:15</t>
  </si>
  <si>
    <t>17:06</t>
  </si>
  <si>
    <t>FL224</t>
  </si>
  <si>
    <t>2024-09-23</t>
  </si>
  <si>
    <t>18:11</t>
  </si>
  <si>
    <t>FL225</t>
  </si>
  <si>
    <t>22:44</t>
  </si>
  <si>
    <t>FL226</t>
  </si>
  <si>
    <t>2022-03-05</t>
  </si>
  <si>
    <t>FL227</t>
  </si>
  <si>
    <t>2024-11-12</t>
  </si>
  <si>
    <t>FL228</t>
  </si>
  <si>
    <t>2022-07-29</t>
  </si>
  <si>
    <t>18:58</t>
  </si>
  <si>
    <t>FL229</t>
  </si>
  <si>
    <t>2023-12-20</t>
  </si>
  <si>
    <t>06:15</t>
  </si>
  <si>
    <t>FL230</t>
  </si>
  <si>
    <t>2023-08-23</t>
  </si>
  <si>
    <t>FL231</t>
  </si>
  <si>
    <t>2023-05-27</t>
  </si>
  <si>
    <t>FL232</t>
  </si>
  <si>
    <t>06:55</t>
  </si>
  <si>
    <t>FL233</t>
  </si>
  <si>
    <t>2024-07-27</t>
  </si>
  <si>
    <t>17:24</t>
  </si>
  <si>
    <t>FL234</t>
  </si>
  <si>
    <t>2022-09-25</t>
  </si>
  <si>
    <t>01:00</t>
  </si>
  <si>
    <t>07:50</t>
  </si>
  <si>
    <t>FL235</t>
  </si>
  <si>
    <t>2024-05-26</t>
  </si>
  <si>
    <t>05:30</t>
  </si>
  <si>
    <t>07:47</t>
  </si>
  <si>
    <t>FL236</t>
  </si>
  <si>
    <t>2023-09-18</t>
  </si>
  <si>
    <t>FL237</t>
  </si>
  <si>
    <t>11:10</t>
  </si>
  <si>
    <t>FL238</t>
  </si>
  <si>
    <t>FL239</t>
  </si>
  <si>
    <t>2022-01-18</t>
  </si>
  <si>
    <t>06:06</t>
  </si>
  <si>
    <t>FL240</t>
  </si>
  <si>
    <t>04:14</t>
  </si>
  <si>
    <t>FL241</t>
  </si>
  <si>
    <t>2023-05-24</t>
  </si>
  <si>
    <t>14:07</t>
  </si>
  <si>
    <t>FL242</t>
  </si>
  <si>
    <t>2024-10-10</t>
  </si>
  <si>
    <t>FL243</t>
  </si>
  <si>
    <t>2024-05-11</t>
  </si>
  <si>
    <t>16:38</t>
  </si>
  <si>
    <t>FL244</t>
  </si>
  <si>
    <t>2024-11-03</t>
  </si>
  <si>
    <t>15:57</t>
  </si>
  <si>
    <t>FL245</t>
  </si>
  <si>
    <t>FL246</t>
  </si>
  <si>
    <t>2024-06-14</t>
  </si>
  <si>
    <t>05:14</t>
  </si>
  <si>
    <t>FL247</t>
  </si>
  <si>
    <t>14:25</t>
  </si>
  <si>
    <t>FL248</t>
  </si>
  <si>
    <t>2022-03-02</t>
  </si>
  <si>
    <t>FL249</t>
  </si>
  <si>
    <t>2024-10-20</t>
  </si>
  <si>
    <t>14:23</t>
  </si>
  <si>
    <t>FL250</t>
  </si>
  <si>
    <t>2023-05-16</t>
  </si>
  <si>
    <t>15:16</t>
  </si>
  <si>
    <t>FL251</t>
  </si>
  <si>
    <t>14:22</t>
  </si>
  <si>
    <t>FL252</t>
  </si>
  <si>
    <t>2024-11-22</t>
  </si>
  <si>
    <t>FL253</t>
  </si>
  <si>
    <t>2023-09-15</t>
  </si>
  <si>
    <t>21:55</t>
  </si>
  <si>
    <t>FL254</t>
  </si>
  <si>
    <t>2022-02-18</t>
  </si>
  <si>
    <t>00:21</t>
  </si>
  <si>
    <t>FL255</t>
  </si>
  <si>
    <t>2024-12-21</t>
  </si>
  <si>
    <t>01:15</t>
  </si>
  <si>
    <t>08:49</t>
  </si>
  <si>
    <t>FL256</t>
  </si>
  <si>
    <t>2024-02-02</t>
  </si>
  <si>
    <t>10:11</t>
  </si>
  <si>
    <t>FL257</t>
  </si>
  <si>
    <t>2023-04-30</t>
  </si>
  <si>
    <t>16:42</t>
  </si>
  <si>
    <t>FL258</t>
  </si>
  <si>
    <t>2022-08-12</t>
  </si>
  <si>
    <t>18:55</t>
  </si>
  <si>
    <t>FL259</t>
  </si>
  <si>
    <t>2024-08-06</t>
  </si>
  <si>
    <t>FL260</t>
  </si>
  <si>
    <t>2024-03-22</t>
  </si>
  <si>
    <t>09:57</t>
  </si>
  <si>
    <t>FL261</t>
  </si>
  <si>
    <t>14/10/2022</t>
  </si>
  <si>
    <t>10:26</t>
  </si>
  <si>
    <t>FL262</t>
  </si>
  <si>
    <t>2023-06-15</t>
  </si>
  <si>
    <t>09:20</t>
  </si>
  <si>
    <t>FL263</t>
  </si>
  <si>
    <t>05:29</t>
  </si>
  <si>
    <t>FL264</t>
  </si>
  <si>
    <t>2023-01-19</t>
  </si>
  <si>
    <t>10:44</t>
  </si>
  <si>
    <t>FL265</t>
  </si>
  <si>
    <t>2024-09-08</t>
  </si>
  <si>
    <t>17:19</t>
  </si>
  <si>
    <t>FL266</t>
  </si>
  <si>
    <t>2022-02-09</t>
  </si>
  <si>
    <t>22:11</t>
  </si>
  <si>
    <t>FL267</t>
  </si>
  <si>
    <t>2023-03-25</t>
  </si>
  <si>
    <t>21:59</t>
  </si>
  <si>
    <t>FL268</t>
  </si>
  <si>
    <t>2024-12-28</t>
  </si>
  <si>
    <t>FL269</t>
  </si>
  <si>
    <t>2023-12-22</t>
  </si>
  <si>
    <t>FL270</t>
  </si>
  <si>
    <t>FL271</t>
  </si>
  <si>
    <t>FL272</t>
  </si>
  <si>
    <t>2022-11-19</t>
  </si>
  <si>
    <t>08:54</t>
  </si>
  <si>
    <t>FL273</t>
  </si>
  <si>
    <t>2022-01-04</t>
  </si>
  <si>
    <t>12:13</t>
  </si>
  <si>
    <t>FL274</t>
  </si>
  <si>
    <t>2022-06-09</t>
  </si>
  <si>
    <t>12:32</t>
  </si>
  <si>
    <t>FL275</t>
  </si>
  <si>
    <t>04:54</t>
  </si>
  <si>
    <t>FL276</t>
  </si>
  <si>
    <t>2024-02-15</t>
  </si>
  <si>
    <t>10:10</t>
  </si>
  <si>
    <t>FL277</t>
  </si>
  <si>
    <t>10:07</t>
  </si>
  <si>
    <t>FL278</t>
  </si>
  <si>
    <t>2022-07-10</t>
  </si>
  <si>
    <t>03:10</t>
  </si>
  <si>
    <t>FL279</t>
  </si>
  <si>
    <t>2023-02-25</t>
  </si>
  <si>
    <t>06:38</t>
  </si>
  <si>
    <t>FL280</t>
  </si>
  <si>
    <t>02:59</t>
  </si>
  <si>
    <t>FL281</t>
  </si>
  <si>
    <t>2022-02-22</t>
  </si>
  <si>
    <t>FL282</t>
  </si>
  <si>
    <t>2024-03-04</t>
  </si>
  <si>
    <t>16:33</t>
  </si>
  <si>
    <t>FL283</t>
  </si>
  <si>
    <t>2022-05-07</t>
  </si>
  <si>
    <t>03:37</t>
  </si>
  <si>
    <t>FL284</t>
  </si>
  <si>
    <t>2024-03-03</t>
  </si>
  <si>
    <t>23:48</t>
  </si>
  <si>
    <t>FL285</t>
  </si>
  <si>
    <t>2024-11-24</t>
  </si>
  <si>
    <t>08:33</t>
  </si>
  <si>
    <t>FL286</t>
  </si>
  <si>
    <t>2022-10-30</t>
  </si>
  <si>
    <t>08:59</t>
  </si>
  <si>
    <t>FL287</t>
  </si>
  <si>
    <t>04:15</t>
  </si>
  <si>
    <t>10:35</t>
  </si>
  <si>
    <t>FL288</t>
  </si>
  <si>
    <t>2022-07-26</t>
  </si>
  <si>
    <t>FL289</t>
  </si>
  <si>
    <t>2024-04-05</t>
  </si>
  <si>
    <t>06:04</t>
  </si>
  <si>
    <t>FL290</t>
  </si>
  <si>
    <t>18:26</t>
  </si>
  <si>
    <t>FL291</t>
  </si>
  <si>
    <t>2024-05-03</t>
  </si>
  <si>
    <t>14:34</t>
  </si>
  <si>
    <t>FL292</t>
  </si>
  <si>
    <t>2022-11-22</t>
  </si>
  <si>
    <t>18:13</t>
  </si>
  <si>
    <t>FL293</t>
  </si>
  <si>
    <t>2022-03-09</t>
  </si>
  <si>
    <t>02:05</t>
  </si>
  <si>
    <t>FL294</t>
  </si>
  <si>
    <t>FL295</t>
  </si>
  <si>
    <t>2023-08-07</t>
  </si>
  <si>
    <t>08:38</t>
  </si>
  <si>
    <t>FL296</t>
  </si>
  <si>
    <t>02:52</t>
  </si>
  <si>
    <t>FL297</t>
  </si>
  <si>
    <t>17:51</t>
  </si>
  <si>
    <t>FL298</t>
  </si>
  <si>
    <t>2022-01-16</t>
  </si>
  <si>
    <t>14:36</t>
  </si>
  <si>
    <t>FL299</t>
  </si>
  <si>
    <t>2023-09-04</t>
  </si>
  <si>
    <t>13:37</t>
  </si>
  <si>
    <t>FL300</t>
  </si>
  <si>
    <t>2023-06-16</t>
  </si>
  <si>
    <t>05:28</t>
  </si>
  <si>
    <t>FL301</t>
  </si>
  <si>
    <t>2024-12-30</t>
  </si>
  <si>
    <t>FL302</t>
  </si>
  <si>
    <t>2023-01-10</t>
  </si>
  <si>
    <t>19:06</t>
  </si>
  <si>
    <t>FL303</t>
  </si>
  <si>
    <t>2024-08-07</t>
  </si>
  <si>
    <t>01:31</t>
  </si>
  <si>
    <t>FL304</t>
  </si>
  <si>
    <t>FL305</t>
  </si>
  <si>
    <t>2022-12-29</t>
  </si>
  <si>
    <t>FL306</t>
  </si>
  <si>
    <t>17:17</t>
  </si>
  <si>
    <t>FL307</t>
  </si>
  <si>
    <t>2023-01-26</t>
  </si>
  <si>
    <t>11:39</t>
  </si>
  <si>
    <t>FL308</t>
  </si>
  <si>
    <t>2022-04-04</t>
  </si>
  <si>
    <t>04:42</t>
  </si>
  <si>
    <t>FL309</t>
  </si>
  <si>
    <t>2024-04-06</t>
  </si>
  <si>
    <t>02:33</t>
  </si>
  <si>
    <t>FL310</t>
  </si>
  <si>
    <t>02:08</t>
  </si>
  <si>
    <t>FL311</t>
  </si>
  <si>
    <t>2024-06-28</t>
  </si>
  <si>
    <t>16:14</t>
  </si>
  <si>
    <t>FL312</t>
  </si>
  <si>
    <t>FL313</t>
  </si>
  <si>
    <t>2023-02-14</t>
  </si>
  <si>
    <t>15:46</t>
  </si>
  <si>
    <t>FL314</t>
  </si>
  <si>
    <t>23:26</t>
  </si>
  <si>
    <t>FL315</t>
  </si>
  <si>
    <t>2022-07-27</t>
  </si>
  <si>
    <t>14:57</t>
  </si>
  <si>
    <t>FL316</t>
  </si>
  <si>
    <t>2023-10-03</t>
  </si>
  <si>
    <t>03:40</t>
  </si>
  <si>
    <t>FL317</t>
  </si>
  <si>
    <t>2023-07-04</t>
  </si>
  <si>
    <t>09:55</t>
  </si>
  <si>
    <t>FL318</t>
  </si>
  <si>
    <t>2024-05-13</t>
  </si>
  <si>
    <t>00:51</t>
  </si>
  <si>
    <t>FL319</t>
  </si>
  <si>
    <t>2024-02-17</t>
  </si>
  <si>
    <t>FL320</t>
  </si>
  <si>
    <t>2023-10-06</t>
  </si>
  <si>
    <t>06:27</t>
  </si>
  <si>
    <t>FL321</t>
  </si>
  <si>
    <t>2023-05-25</t>
  </si>
  <si>
    <t>05:35</t>
  </si>
  <si>
    <t>FL322</t>
  </si>
  <si>
    <t>2022-06-03</t>
  </si>
  <si>
    <t>12:25</t>
  </si>
  <si>
    <t>FL323</t>
  </si>
  <si>
    <t>2024-07-29</t>
  </si>
  <si>
    <t>08:03</t>
  </si>
  <si>
    <t>FL324</t>
  </si>
  <si>
    <t>19:16</t>
  </si>
  <si>
    <t>FL325</t>
  </si>
  <si>
    <t>2023-11-30</t>
  </si>
  <si>
    <t>20:46</t>
  </si>
  <si>
    <t>FL326</t>
  </si>
  <si>
    <t>2022-07-19</t>
  </si>
  <si>
    <t>17:40</t>
  </si>
  <si>
    <t>FL327</t>
  </si>
  <si>
    <t>2022-10-15</t>
  </si>
  <si>
    <t>22:21</t>
  </si>
  <si>
    <t>FL328</t>
  </si>
  <si>
    <t>2023-11-24</t>
  </si>
  <si>
    <t>FL329</t>
  </si>
  <si>
    <t>2022-04-10</t>
  </si>
  <si>
    <t>23:39</t>
  </si>
  <si>
    <t>FL330</t>
  </si>
  <si>
    <t>13:10</t>
  </si>
  <si>
    <t>FL331</t>
  </si>
  <si>
    <t>2024-11-15</t>
  </si>
  <si>
    <t>01:27</t>
  </si>
  <si>
    <t>FL332</t>
  </si>
  <si>
    <t>2022-12-31</t>
  </si>
  <si>
    <t>00:13</t>
  </si>
  <si>
    <t>FL333</t>
  </si>
  <si>
    <t>2024-05-15</t>
  </si>
  <si>
    <t>03:29</t>
  </si>
  <si>
    <t>FL334</t>
  </si>
  <si>
    <t>10:33</t>
  </si>
  <si>
    <t>FL335</t>
  </si>
  <si>
    <t>2024-03-07</t>
  </si>
  <si>
    <t>southwest</t>
  </si>
  <si>
    <t>FL336</t>
  </si>
  <si>
    <t>2023-05-30</t>
  </si>
  <si>
    <t>15:26</t>
  </si>
  <si>
    <t>FL337</t>
  </si>
  <si>
    <t>2023-08-26</t>
  </si>
  <si>
    <t>13:01</t>
  </si>
  <si>
    <t>FL338</t>
  </si>
  <si>
    <t>2022-09-24</t>
  </si>
  <si>
    <t>FL339</t>
  </si>
  <si>
    <t>2023-09-09</t>
  </si>
  <si>
    <t>11:00</t>
  </si>
  <si>
    <t>18:32</t>
  </si>
  <si>
    <t>FL340</t>
  </si>
  <si>
    <t>2024-05-01</t>
  </si>
  <si>
    <t>14:24</t>
  </si>
  <si>
    <t>FL341</t>
  </si>
  <si>
    <t>2024-08-30</t>
  </si>
  <si>
    <t>FL342</t>
  </si>
  <si>
    <t>2024-02-21</t>
  </si>
  <si>
    <t>FL343</t>
  </si>
  <si>
    <t>2022-03-31</t>
  </si>
  <si>
    <t>18:19</t>
  </si>
  <si>
    <t>FL344</t>
  </si>
  <si>
    <t>13:46</t>
  </si>
  <si>
    <t>FL345</t>
  </si>
  <si>
    <t>2022-06-29</t>
  </si>
  <si>
    <t>FL346</t>
  </si>
  <si>
    <t>2024-06-05</t>
  </si>
  <si>
    <t>03:03</t>
  </si>
  <si>
    <t>FL347</t>
  </si>
  <si>
    <t>2024-01-03</t>
  </si>
  <si>
    <t>22:54</t>
  </si>
  <si>
    <t>FL348</t>
  </si>
  <si>
    <t>2023-03-27</t>
  </si>
  <si>
    <t>13:17</t>
  </si>
  <si>
    <t>FL349</t>
  </si>
  <si>
    <t>2022-03-27</t>
  </si>
  <si>
    <t>21:06</t>
  </si>
  <si>
    <t>FL350</t>
  </si>
  <si>
    <t>10:39</t>
  </si>
  <si>
    <t>FL351</t>
  </si>
  <si>
    <t>2024-08-02</t>
  </si>
  <si>
    <t>11:11</t>
  </si>
  <si>
    <t>FL352</t>
  </si>
  <si>
    <t>2022-07-24</t>
  </si>
  <si>
    <t>FL353</t>
  </si>
  <si>
    <t>2024-01-17</t>
  </si>
  <si>
    <t>FL354</t>
  </si>
  <si>
    <t>17:09</t>
  </si>
  <si>
    <t>FL355</t>
  </si>
  <si>
    <t>2023-02-07</t>
  </si>
  <si>
    <t>FL356</t>
  </si>
  <si>
    <t>2024-08-24</t>
  </si>
  <si>
    <t>FL357</t>
  </si>
  <si>
    <t>2023-05-05</t>
  </si>
  <si>
    <t>FL358</t>
  </si>
  <si>
    <t>2024-01-05</t>
  </si>
  <si>
    <t>FL359</t>
  </si>
  <si>
    <t>2024-03-05</t>
  </si>
  <si>
    <t>03:52</t>
  </si>
  <si>
    <t>FL360</t>
  </si>
  <si>
    <t>23:54</t>
  </si>
  <si>
    <t>FL361</t>
  </si>
  <si>
    <t>2023-12-08</t>
  </si>
  <si>
    <t>FL362</t>
  </si>
  <si>
    <t>02:17</t>
  </si>
  <si>
    <t>FL363</t>
  </si>
  <si>
    <t>2022-11-27</t>
  </si>
  <si>
    <t>07:38</t>
  </si>
  <si>
    <t>FL364</t>
  </si>
  <si>
    <t>2022-04-25</t>
  </si>
  <si>
    <t>23:21</t>
  </si>
  <si>
    <t>FL365</t>
  </si>
  <si>
    <t>2023-03-20</t>
  </si>
  <si>
    <t>18:37</t>
  </si>
  <si>
    <t>FL366</t>
  </si>
  <si>
    <t>17:27</t>
  </si>
  <si>
    <t>FL367</t>
  </si>
  <si>
    <t>2024-10-29</t>
  </si>
  <si>
    <t>FL368</t>
  </si>
  <si>
    <t>15:22</t>
  </si>
  <si>
    <t>FL369</t>
  </si>
  <si>
    <t>2022-07-20</t>
  </si>
  <si>
    <t>FL370</t>
  </si>
  <si>
    <t>19:37</t>
  </si>
  <si>
    <t>FL371</t>
  </si>
  <si>
    <t>2023-06-20</t>
  </si>
  <si>
    <t>02:48</t>
  </si>
  <si>
    <t>FL372</t>
  </si>
  <si>
    <t>2024-01-29</t>
  </si>
  <si>
    <t>02:01</t>
  </si>
  <si>
    <t>FL373</t>
  </si>
  <si>
    <t>2022-11-28</t>
  </si>
  <si>
    <t>18:41</t>
  </si>
  <si>
    <t>FL374</t>
  </si>
  <si>
    <t>FL375</t>
  </si>
  <si>
    <t>2024-12-03</t>
  </si>
  <si>
    <t>10:59</t>
  </si>
  <si>
    <t>FL376</t>
  </si>
  <si>
    <t>01:34</t>
  </si>
  <si>
    <t>FL377</t>
  </si>
  <si>
    <t>2024-03-20</t>
  </si>
  <si>
    <t>23:47</t>
  </si>
  <si>
    <t>FL378</t>
  </si>
  <si>
    <t>2023-12-14</t>
  </si>
  <si>
    <t>FL379</t>
  </si>
  <si>
    <t>2022-05-29</t>
  </si>
  <si>
    <t>22:35</t>
  </si>
  <si>
    <t>FL380</t>
  </si>
  <si>
    <t>2023-05-14</t>
  </si>
  <si>
    <t>23:36</t>
  </si>
  <si>
    <t>FL381</t>
  </si>
  <si>
    <t>2023-04-16</t>
  </si>
  <si>
    <t>FL382</t>
  </si>
  <si>
    <t>2023-01-01</t>
  </si>
  <si>
    <t>09:33</t>
  </si>
  <si>
    <t>FL383</t>
  </si>
  <si>
    <t>10:19</t>
  </si>
  <si>
    <t>FL384</t>
  </si>
  <si>
    <t>2022-01-14</t>
  </si>
  <si>
    <t>01:12</t>
  </si>
  <si>
    <t>FL385</t>
  </si>
  <si>
    <t>2023-03-31</t>
  </si>
  <si>
    <t>19:51</t>
  </si>
  <si>
    <t>FL386</t>
  </si>
  <si>
    <t>2022-09-04</t>
  </si>
  <si>
    <t>04:59</t>
  </si>
  <si>
    <t>FL387</t>
  </si>
  <si>
    <t>2023-06-23</t>
  </si>
  <si>
    <t>FL388</t>
  </si>
  <si>
    <t>00:39</t>
  </si>
  <si>
    <t>FL389</t>
  </si>
  <si>
    <t>2024-06-04</t>
  </si>
  <si>
    <t>FL390</t>
  </si>
  <si>
    <t>2023-10-09</t>
  </si>
  <si>
    <t>21:53</t>
  </si>
  <si>
    <t>FL391</t>
  </si>
  <si>
    <t>2022-07-17</t>
  </si>
  <si>
    <t>17:46</t>
  </si>
  <si>
    <t>FL392</t>
  </si>
  <si>
    <t>2023-12-21</t>
  </si>
  <si>
    <t>00:10</t>
  </si>
  <si>
    <t>FL393</t>
  </si>
  <si>
    <t>2023-08-10</t>
  </si>
  <si>
    <t>01:35</t>
  </si>
  <si>
    <t>FL394</t>
  </si>
  <si>
    <t>2023-12-05</t>
  </si>
  <si>
    <t>04:03</t>
  </si>
  <si>
    <t>FL395</t>
  </si>
  <si>
    <t>2024-01-14</t>
  </si>
  <si>
    <t>07:34</t>
  </si>
  <si>
    <t>FL396</t>
  </si>
  <si>
    <t>2022-12-08</t>
  </si>
  <si>
    <t>08:55</t>
  </si>
  <si>
    <t>FL397</t>
  </si>
  <si>
    <t>2022-11-15</t>
  </si>
  <si>
    <t>FL398</t>
  </si>
  <si>
    <t>2022-03-13</t>
  </si>
  <si>
    <t>20:40</t>
  </si>
  <si>
    <t>FL399</t>
  </si>
  <si>
    <t>15:06</t>
  </si>
  <si>
    <t>FL400</t>
  </si>
  <si>
    <t>2023-06-17</t>
  </si>
  <si>
    <t>04:41</t>
  </si>
  <si>
    <t>FL401</t>
  </si>
  <si>
    <t>2024-09-04</t>
  </si>
  <si>
    <t>10:48</t>
  </si>
  <si>
    <t>FL402</t>
  </si>
  <si>
    <t>2022-12-01</t>
  </si>
  <si>
    <t>13:06</t>
  </si>
  <si>
    <t>FL403</t>
  </si>
  <si>
    <t>2024-12-25</t>
  </si>
  <si>
    <t>FL404</t>
  </si>
  <si>
    <t>2024-10-04</t>
  </si>
  <si>
    <t>10:03</t>
  </si>
  <si>
    <t>FL405</t>
  </si>
  <si>
    <t>2024-06-16</t>
  </si>
  <si>
    <t>09:42</t>
  </si>
  <si>
    <t>FL406</t>
  </si>
  <si>
    <t>FL407</t>
  </si>
  <si>
    <t>2023-05-28</t>
  </si>
  <si>
    <t>03:02</t>
  </si>
  <si>
    <t>FL408</t>
  </si>
  <si>
    <t>FL409</t>
  </si>
  <si>
    <t>2022-09-08</t>
  </si>
  <si>
    <t>08:26</t>
  </si>
  <si>
    <t>FL410</t>
  </si>
  <si>
    <t>2022-12-09</t>
  </si>
  <si>
    <t>13:49</t>
  </si>
  <si>
    <t>FL411</t>
  </si>
  <si>
    <t>2022-07-03</t>
  </si>
  <si>
    <t>10:28</t>
  </si>
  <si>
    <t>FL412</t>
  </si>
  <si>
    <t>2022-09-15</t>
  </si>
  <si>
    <t>FL413</t>
  </si>
  <si>
    <t>2022-03-22</t>
  </si>
  <si>
    <t>12:52</t>
  </si>
  <si>
    <t>FL414</t>
  </si>
  <si>
    <t>25/11/2022</t>
  </si>
  <si>
    <t>18:14</t>
  </si>
  <si>
    <t>FL415</t>
  </si>
  <si>
    <t>23:29</t>
  </si>
  <si>
    <t>FL416</t>
  </si>
  <si>
    <t>2024-10-15</t>
  </si>
  <si>
    <t>FL417</t>
  </si>
  <si>
    <t>2022-09-23</t>
  </si>
  <si>
    <t>FL418</t>
  </si>
  <si>
    <t>2023-06-09</t>
  </si>
  <si>
    <t>20:36</t>
  </si>
  <si>
    <t>FL419</t>
  </si>
  <si>
    <t>FL420</t>
  </si>
  <si>
    <t>2022-07-18</t>
  </si>
  <si>
    <t>FL421</t>
  </si>
  <si>
    <t>2024-04-30</t>
  </si>
  <si>
    <t>FL422</t>
  </si>
  <si>
    <t>2024-10-30</t>
  </si>
  <si>
    <t>FL423</t>
  </si>
  <si>
    <t>22:57</t>
  </si>
  <si>
    <t>FL424</t>
  </si>
  <si>
    <t>2024-03-24</t>
  </si>
  <si>
    <t>FL425</t>
  </si>
  <si>
    <t>2023-03-16</t>
  </si>
  <si>
    <t>19:33</t>
  </si>
  <si>
    <t>FL426</t>
  </si>
  <si>
    <t>09:06</t>
  </si>
  <si>
    <t>FL427</t>
  </si>
  <si>
    <t>2022-07-15</t>
  </si>
  <si>
    <t>13:58</t>
  </si>
  <si>
    <t>FL428</t>
  </si>
  <si>
    <t>2022-01-24</t>
  </si>
  <si>
    <t>20:13</t>
  </si>
  <si>
    <t>FL429</t>
  </si>
  <si>
    <t>FL430</t>
  </si>
  <si>
    <t>2024-09-01</t>
  </si>
  <si>
    <t>FL431</t>
  </si>
  <si>
    <t>09:49</t>
  </si>
  <si>
    <t>FL432</t>
  </si>
  <si>
    <t>2024-04-27</t>
  </si>
  <si>
    <t>FL433</t>
  </si>
  <si>
    <t>2024-06-24</t>
  </si>
  <si>
    <t>14:35</t>
  </si>
  <si>
    <t>FL434</t>
  </si>
  <si>
    <t>2022-04-22</t>
  </si>
  <si>
    <t>13:25</t>
  </si>
  <si>
    <t>FL435</t>
  </si>
  <si>
    <t>2023-03-10</t>
  </si>
  <si>
    <t>FL436</t>
  </si>
  <si>
    <t>14/12/2024</t>
  </si>
  <si>
    <t>FL437</t>
  </si>
  <si>
    <t>13:13</t>
  </si>
  <si>
    <t>FL438</t>
  </si>
  <si>
    <t>2024-12-24</t>
  </si>
  <si>
    <t>23:02</t>
  </si>
  <si>
    <t>FL439</t>
  </si>
  <si>
    <t>2022-11-18</t>
  </si>
  <si>
    <t>FL440</t>
  </si>
  <si>
    <t>2023-07-28</t>
  </si>
  <si>
    <t>14:29</t>
  </si>
  <si>
    <t>FL441</t>
  </si>
  <si>
    <t>2023-05-08</t>
  </si>
  <si>
    <t>00:49</t>
  </si>
  <si>
    <t>FL442</t>
  </si>
  <si>
    <t>2023-02-19</t>
  </si>
  <si>
    <t>07:29</t>
  </si>
  <si>
    <t>FL443</t>
  </si>
  <si>
    <t>2022-08-31</t>
  </si>
  <si>
    <t>03:13</t>
  </si>
  <si>
    <t>FL444</t>
  </si>
  <si>
    <t>2023-07-15</t>
  </si>
  <si>
    <t>FL445</t>
  </si>
  <si>
    <t>2023-04-21</t>
  </si>
  <si>
    <t>05:23</t>
  </si>
  <si>
    <t>FL446</t>
  </si>
  <si>
    <t>FL447</t>
  </si>
  <si>
    <t>2023-04-01</t>
  </si>
  <si>
    <t>FL448</t>
  </si>
  <si>
    <t>00:56</t>
  </si>
  <si>
    <t>FL449</t>
  </si>
  <si>
    <t>21/03/2024</t>
  </si>
  <si>
    <t>19:07</t>
  </si>
  <si>
    <t>FL450</t>
  </si>
  <si>
    <t>03:42</t>
  </si>
  <si>
    <t>FL451</t>
  </si>
  <si>
    <t>2022-10-05</t>
  </si>
  <si>
    <t>17:01</t>
  </si>
  <si>
    <t>FL452</t>
  </si>
  <si>
    <t>09:31</t>
  </si>
  <si>
    <t>FL453</t>
  </si>
  <si>
    <t>2024-11-13</t>
  </si>
  <si>
    <t>FL454</t>
  </si>
  <si>
    <t>FL455</t>
  </si>
  <si>
    <t>08/01/2022</t>
  </si>
  <si>
    <t>FL456</t>
  </si>
  <si>
    <t>FL457</t>
  </si>
  <si>
    <t>FL458</t>
  </si>
  <si>
    <t>00:38</t>
  </si>
  <si>
    <t>FL459</t>
  </si>
  <si>
    <t>08:01</t>
  </si>
  <si>
    <t>FL460</t>
  </si>
  <si>
    <t>2023-03-06</t>
  </si>
  <si>
    <t>08:37</t>
  </si>
  <si>
    <t>FL461</t>
  </si>
  <si>
    <t>2023-10-11</t>
  </si>
  <si>
    <t>22:06</t>
  </si>
  <si>
    <t>FL462</t>
  </si>
  <si>
    <t>01:42</t>
  </si>
  <si>
    <t>FL463</t>
  </si>
  <si>
    <t>2024-04-29</t>
  </si>
  <si>
    <t>12:50</t>
  </si>
  <si>
    <t>FL464</t>
  </si>
  <si>
    <t>07/09/2023</t>
  </si>
  <si>
    <t>01:54</t>
  </si>
  <si>
    <t>FL465</t>
  </si>
  <si>
    <t>2023-11-08</t>
  </si>
  <si>
    <t>06:51</t>
  </si>
  <si>
    <t>FL466</t>
  </si>
  <si>
    <t>00:44</t>
  </si>
  <si>
    <t>FL467</t>
  </si>
  <si>
    <t>2022-05-16</t>
  </si>
  <si>
    <t>17:35</t>
  </si>
  <si>
    <t>FL468</t>
  </si>
  <si>
    <t>2022-08-28</t>
  </si>
  <si>
    <t>FL469</t>
  </si>
  <si>
    <t>2023-09-12</t>
  </si>
  <si>
    <t>03:32</t>
  </si>
  <si>
    <t>FL470</t>
  </si>
  <si>
    <t>12:35</t>
  </si>
  <si>
    <t>FL471</t>
  </si>
  <si>
    <t>05:20</t>
  </si>
  <si>
    <t>FL472</t>
  </si>
  <si>
    <t>2023-10-02</t>
  </si>
  <si>
    <t>10:21</t>
  </si>
  <si>
    <t>FL473</t>
  </si>
  <si>
    <t>FL474</t>
  </si>
  <si>
    <t>2023-08-04</t>
  </si>
  <si>
    <t>15:36</t>
  </si>
  <si>
    <t>FL475</t>
  </si>
  <si>
    <t>21/04/2022</t>
  </si>
  <si>
    <t>FL476</t>
  </si>
  <si>
    <t>2022-06-10</t>
  </si>
  <si>
    <t>05:04</t>
  </si>
  <si>
    <t>FL477</t>
  </si>
  <si>
    <t>2023-04-20</t>
  </si>
  <si>
    <t>14:48</t>
  </si>
  <si>
    <t>FL478</t>
  </si>
  <si>
    <t>18:09</t>
  </si>
  <si>
    <t>FL479</t>
  </si>
  <si>
    <t>2022-08-08</t>
  </si>
  <si>
    <t>14:40</t>
  </si>
  <si>
    <t>FL480</t>
  </si>
  <si>
    <t>2024-09-14</t>
  </si>
  <si>
    <t>11:57</t>
  </si>
  <si>
    <t>FL481</t>
  </si>
  <si>
    <t>FL482</t>
  </si>
  <si>
    <t>2022-05-23</t>
  </si>
  <si>
    <t>FL483</t>
  </si>
  <si>
    <t>2024-07-16</t>
  </si>
  <si>
    <t>FL484</t>
  </si>
  <si>
    <t>2022-07-02</t>
  </si>
  <si>
    <t>FL485</t>
  </si>
  <si>
    <t>15:14</t>
  </si>
  <si>
    <t>FL486</t>
  </si>
  <si>
    <t>2024-06-10</t>
  </si>
  <si>
    <t>10:29</t>
  </si>
  <si>
    <t>FL487</t>
  </si>
  <si>
    <t>FL488</t>
  </si>
  <si>
    <t>FL489</t>
  </si>
  <si>
    <t>2024-05-19</t>
  </si>
  <si>
    <t>06:49</t>
  </si>
  <si>
    <t>FL490</t>
  </si>
  <si>
    <t>2022-03-19</t>
  </si>
  <si>
    <t>FL491</t>
  </si>
  <si>
    <t>03:20</t>
  </si>
  <si>
    <t>FL492</t>
  </si>
  <si>
    <t>2022-01-23</t>
  </si>
  <si>
    <t>20:35</t>
  </si>
  <si>
    <t>FL493</t>
  </si>
  <si>
    <t>FL494</t>
  </si>
  <si>
    <t>2022-06-18</t>
  </si>
  <si>
    <t>FL495</t>
  </si>
  <si>
    <t>2022-12-24</t>
  </si>
  <si>
    <t>FL496</t>
  </si>
  <si>
    <t>2022-06-22</t>
  </si>
  <si>
    <t>20:31</t>
  </si>
  <si>
    <t>FL497</t>
  </si>
  <si>
    <t>06:42</t>
  </si>
  <si>
    <t>FL498</t>
  </si>
  <si>
    <t>06:21</t>
  </si>
  <si>
    <t>FL499</t>
  </si>
  <si>
    <t>FL500</t>
  </si>
  <si>
    <t>23:46</t>
  </si>
  <si>
    <t>⚠ NOTE: This dataset intentionally contains dirty data for cleaning practice.</t>
  </si>
  <si>
    <t>Routes</t>
  </si>
  <si>
    <t>Occupancy Rate.</t>
  </si>
  <si>
    <t>Year-MONTH</t>
  </si>
  <si>
    <t>Count of Flight Id</t>
  </si>
  <si>
    <t>Grand Total</t>
  </si>
  <si>
    <t>Jetblue</t>
  </si>
  <si>
    <t>Unknown</t>
  </si>
  <si>
    <t>🏢  AIRPORTS REFERENCE TABLE</t>
  </si>
  <si>
    <t>Airport Code</t>
  </si>
  <si>
    <t>Airport Name</t>
  </si>
  <si>
    <t>City</t>
  </si>
  <si>
    <t>Country</t>
  </si>
  <si>
    <t>Terminals</t>
  </si>
  <si>
    <t>Annual Capacity</t>
  </si>
  <si>
    <t>John F. Kennedy International</t>
  </si>
  <si>
    <t>USA</t>
  </si>
  <si>
    <t>Los Angeles International</t>
  </si>
  <si>
    <t>O'Hare International</t>
  </si>
  <si>
    <t>Hartsfield-Jackson Atlanta</t>
  </si>
  <si>
    <t>Dallas/Fort Worth International</t>
  </si>
  <si>
    <t>Miami International</t>
  </si>
  <si>
    <t>Seattle-Tacoma International</t>
  </si>
  <si>
    <t>Denver International</t>
  </si>
  <si>
    <t>Logan International</t>
  </si>
  <si>
    <t>Harry Reid International</t>
  </si>
  <si>
    <t>Phoenix Sky Harbor</t>
  </si>
  <si>
    <t>San Francisco International</t>
  </si>
  <si>
    <t>Minneapolis-Saint Paul</t>
  </si>
  <si>
    <t>Detroit Metropolitan</t>
  </si>
  <si>
    <t>Charlotte Douglas International</t>
  </si>
  <si>
    <t>Newark Liberty International</t>
  </si>
  <si>
    <t>George Bush Intercontinental</t>
  </si>
  <si>
    <t>Orlando International</t>
  </si>
  <si>
    <t>Chicago Midway</t>
  </si>
  <si>
    <t>San Diego International</t>
  </si>
  <si>
    <t>=VLOOKUP(B2,Flights!$A$2:$P$508,12,0)'</t>
  </si>
  <si>
    <t>💰  REVENUE &amp; COSTS TABLE  (Contains Dirty Data)</t>
  </si>
  <si>
    <t>Revenue Id</t>
  </si>
  <si>
    <t>Total Revenue</t>
  </si>
  <si>
    <t>Ancillary Revenue</t>
  </si>
  <si>
    <t>Fuel Cost</t>
  </si>
  <si>
    <t>Crew Cost</t>
  </si>
  <si>
    <t>Profit</t>
  </si>
  <si>
    <t>Payment Method</t>
  </si>
  <si>
    <t>REV001</t>
  </si>
  <si>
    <t>Cash</t>
  </si>
  <si>
    <t>REV002</t>
  </si>
  <si>
    <t>Credit Card</t>
  </si>
  <si>
    <t>REV003</t>
  </si>
  <si>
    <t>REV004</t>
  </si>
  <si>
    <t>REV005</t>
  </si>
  <si>
    <t>REV006</t>
  </si>
  <si>
    <t>Debit Card</t>
  </si>
  <si>
    <t>REV007</t>
  </si>
  <si>
    <t>Travel Points</t>
  </si>
  <si>
    <t>REV008</t>
  </si>
  <si>
    <t>REV009</t>
  </si>
  <si>
    <t>REV010</t>
  </si>
  <si>
    <t>REV011</t>
  </si>
  <si>
    <t>REV012</t>
  </si>
  <si>
    <t>REV013</t>
  </si>
  <si>
    <t>REV014</t>
  </si>
  <si>
    <t>REV015</t>
  </si>
  <si>
    <t>REV016</t>
  </si>
  <si>
    <t>REV017</t>
  </si>
  <si>
    <t>REV018</t>
  </si>
  <si>
    <t>REV019</t>
  </si>
  <si>
    <t>REV020</t>
  </si>
  <si>
    <t>REV021</t>
  </si>
  <si>
    <t>REV022</t>
  </si>
  <si>
    <t>REV023</t>
  </si>
  <si>
    <t>REV024</t>
  </si>
  <si>
    <t>REV025</t>
  </si>
  <si>
    <t>REV026</t>
  </si>
  <si>
    <t>REV027</t>
  </si>
  <si>
    <t>REV028</t>
  </si>
  <si>
    <t>REV029</t>
  </si>
  <si>
    <t>REV030</t>
  </si>
  <si>
    <t>REV031</t>
  </si>
  <si>
    <t>REV032</t>
  </si>
  <si>
    <t>REV033</t>
  </si>
  <si>
    <t>REV034</t>
  </si>
  <si>
    <t>REV035</t>
  </si>
  <si>
    <t>REV036</t>
  </si>
  <si>
    <t>REV037</t>
  </si>
  <si>
    <t>REV038</t>
  </si>
  <si>
    <t>REV039</t>
  </si>
  <si>
    <t>REV040</t>
  </si>
  <si>
    <t>REV041</t>
  </si>
  <si>
    <t>REV042</t>
  </si>
  <si>
    <t>REV043</t>
  </si>
  <si>
    <t>REV044</t>
  </si>
  <si>
    <t>REV045</t>
  </si>
  <si>
    <t>REV046</t>
  </si>
  <si>
    <t>REV047</t>
  </si>
  <si>
    <t>REV048</t>
  </si>
  <si>
    <t>REV049</t>
  </si>
  <si>
    <t>REV050</t>
  </si>
  <si>
    <t>REV051</t>
  </si>
  <si>
    <t>REV052</t>
  </si>
  <si>
    <t>REV053</t>
  </si>
  <si>
    <t>REV054</t>
  </si>
  <si>
    <t>REV055</t>
  </si>
  <si>
    <t>REV056</t>
  </si>
  <si>
    <t>REV057</t>
  </si>
  <si>
    <t>REV058</t>
  </si>
  <si>
    <t>REV059</t>
  </si>
  <si>
    <t>REV060</t>
  </si>
  <si>
    <t>REV061</t>
  </si>
  <si>
    <t>REV062</t>
  </si>
  <si>
    <t>REV063</t>
  </si>
  <si>
    <t>REV064</t>
  </si>
  <si>
    <t>REV065</t>
  </si>
  <si>
    <t>REV066</t>
  </si>
  <si>
    <t>REV067</t>
  </si>
  <si>
    <t>REV068</t>
  </si>
  <si>
    <t>REV069</t>
  </si>
  <si>
    <t>REV070</t>
  </si>
  <si>
    <t>REV071</t>
  </si>
  <si>
    <t>REV072</t>
  </si>
  <si>
    <t>REV073</t>
  </si>
  <si>
    <t>REV074</t>
  </si>
  <si>
    <t>REV075</t>
  </si>
  <si>
    <t>REV076</t>
  </si>
  <si>
    <t>REV077</t>
  </si>
  <si>
    <t>REV078</t>
  </si>
  <si>
    <t>REV079</t>
  </si>
  <si>
    <t>REV080</t>
  </si>
  <si>
    <t>REV081</t>
  </si>
  <si>
    <t>REV082</t>
  </si>
  <si>
    <t>REV083</t>
  </si>
  <si>
    <t>REV084</t>
  </si>
  <si>
    <t>REV085</t>
  </si>
  <si>
    <t>REV086</t>
  </si>
  <si>
    <t>REV087</t>
  </si>
  <si>
    <t>REV088</t>
  </si>
  <si>
    <t>REV089</t>
  </si>
  <si>
    <t>REV090</t>
  </si>
  <si>
    <t>REV091</t>
  </si>
  <si>
    <t>REV092</t>
  </si>
  <si>
    <t>REV093</t>
  </si>
  <si>
    <t>REV094</t>
  </si>
  <si>
    <t>REV095</t>
  </si>
  <si>
    <t>REV096</t>
  </si>
  <si>
    <t>REV097</t>
  </si>
  <si>
    <t>REV098</t>
  </si>
  <si>
    <t>REV099</t>
  </si>
  <si>
    <t>REV100</t>
  </si>
  <si>
    <t>REV101</t>
  </si>
  <si>
    <t>REV102</t>
  </si>
  <si>
    <t>REV103</t>
  </si>
  <si>
    <t>REV104</t>
  </si>
  <si>
    <t>REV105</t>
  </si>
  <si>
    <t>REV106</t>
  </si>
  <si>
    <t>REV107</t>
  </si>
  <si>
    <t>REV108</t>
  </si>
  <si>
    <t>REV109</t>
  </si>
  <si>
    <t>REV110</t>
  </si>
  <si>
    <t>REV111</t>
  </si>
  <si>
    <t>REV112</t>
  </si>
  <si>
    <t>REV113</t>
  </si>
  <si>
    <t>REV114</t>
  </si>
  <si>
    <t>REV115</t>
  </si>
  <si>
    <t>REV116</t>
  </si>
  <si>
    <t>REV117</t>
  </si>
  <si>
    <t>REV118</t>
  </si>
  <si>
    <t>REV119</t>
  </si>
  <si>
    <t>REV120</t>
  </si>
  <si>
    <t>REV121</t>
  </si>
  <si>
    <t>REV122</t>
  </si>
  <si>
    <t>REV123</t>
  </si>
  <si>
    <t>REV124</t>
  </si>
  <si>
    <t>REV125</t>
  </si>
  <si>
    <t>REV126</t>
  </si>
  <si>
    <t>REV127</t>
  </si>
  <si>
    <t>REV128</t>
  </si>
  <si>
    <t>REV129</t>
  </si>
  <si>
    <t>REV130</t>
  </si>
  <si>
    <t>REV131</t>
  </si>
  <si>
    <t>REV132</t>
  </si>
  <si>
    <t>REV133</t>
  </si>
  <si>
    <t>REV134</t>
  </si>
  <si>
    <t>REV135</t>
  </si>
  <si>
    <t>REV136</t>
  </si>
  <si>
    <t>REV137</t>
  </si>
  <si>
    <t>REV138</t>
  </si>
  <si>
    <t>REV139</t>
  </si>
  <si>
    <t>REV140</t>
  </si>
  <si>
    <t>REV141</t>
  </si>
  <si>
    <t>REV142</t>
  </si>
  <si>
    <t>REV143</t>
  </si>
  <si>
    <t>REV144</t>
  </si>
  <si>
    <t>REV145</t>
  </si>
  <si>
    <t>REV146</t>
  </si>
  <si>
    <t>REV147</t>
  </si>
  <si>
    <t>REV148</t>
  </si>
  <si>
    <t>REV149</t>
  </si>
  <si>
    <t>REV150</t>
  </si>
  <si>
    <t>REV151</t>
  </si>
  <si>
    <t>REV152</t>
  </si>
  <si>
    <t>REV153</t>
  </si>
  <si>
    <t>REV154</t>
  </si>
  <si>
    <t>REV155</t>
  </si>
  <si>
    <t>REV156</t>
  </si>
  <si>
    <t>REV157</t>
  </si>
  <si>
    <t>REV158</t>
  </si>
  <si>
    <t>REV159</t>
  </si>
  <si>
    <t>REV160</t>
  </si>
  <si>
    <t>REV161</t>
  </si>
  <si>
    <t>REV162</t>
  </si>
  <si>
    <t>REV163</t>
  </si>
  <si>
    <t>REV164</t>
  </si>
  <si>
    <t>REV165</t>
  </si>
  <si>
    <t>REV166</t>
  </si>
  <si>
    <t>REV167</t>
  </si>
  <si>
    <t>REV168</t>
  </si>
  <si>
    <t>REV169</t>
  </si>
  <si>
    <t>REV170</t>
  </si>
  <si>
    <t>REV171</t>
  </si>
  <si>
    <t>REV172</t>
  </si>
  <si>
    <t>REV173</t>
  </si>
  <si>
    <t>REV174</t>
  </si>
  <si>
    <t>REV175</t>
  </si>
  <si>
    <t>REV176</t>
  </si>
  <si>
    <t>REV177</t>
  </si>
  <si>
    <t>REV178</t>
  </si>
  <si>
    <t>REV179</t>
  </si>
  <si>
    <t>REV180</t>
  </si>
  <si>
    <t>REV181</t>
  </si>
  <si>
    <t>REV182</t>
  </si>
  <si>
    <t>REV183</t>
  </si>
  <si>
    <t>REV184</t>
  </si>
  <si>
    <t>REV185</t>
  </si>
  <si>
    <t>REV186</t>
  </si>
  <si>
    <t>REV187</t>
  </si>
  <si>
    <t>REV188</t>
  </si>
  <si>
    <t>REV189</t>
  </si>
  <si>
    <t>REV190</t>
  </si>
  <si>
    <t>REV191</t>
  </si>
  <si>
    <t>REV192</t>
  </si>
  <si>
    <t>REV193</t>
  </si>
  <si>
    <t>REV194</t>
  </si>
  <si>
    <t>REV195</t>
  </si>
  <si>
    <t>REV196</t>
  </si>
  <si>
    <t>REV197</t>
  </si>
  <si>
    <t>REV198</t>
  </si>
  <si>
    <t>REV199</t>
  </si>
  <si>
    <t>REV200</t>
  </si>
  <si>
    <t>REV201</t>
  </si>
  <si>
    <t>REV202</t>
  </si>
  <si>
    <t>REV203</t>
  </si>
  <si>
    <t>REV204</t>
  </si>
  <si>
    <t>REV205</t>
  </si>
  <si>
    <t>REV206</t>
  </si>
  <si>
    <t>REV207</t>
  </si>
  <si>
    <t>REV208</t>
  </si>
  <si>
    <t>REV209</t>
  </si>
  <si>
    <t>REV210</t>
  </si>
  <si>
    <t>REV211</t>
  </si>
  <si>
    <t>REV212</t>
  </si>
  <si>
    <t>REV213</t>
  </si>
  <si>
    <t>REV214</t>
  </si>
  <si>
    <t>REV215</t>
  </si>
  <si>
    <t>REV216</t>
  </si>
  <si>
    <t>REV217</t>
  </si>
  <si>
    <t>REV218</t>
  </si>
  <si>
    <t>REV219</t>
  </si>
  <si>
    <t>REV220</t>
  </si>
  <si>
    <t>REV221</t>
  </si>
  <si>
    <t>REV222</t>
  </si>
  <si>
    <t>REV223</t>
  </si>
  <si>
    <t>REV224</t>
  </si>
  <si>
    <t>REV225</t>
  </si>
  <si>
    <t>REV226</t>
  </si>
  <si>
    <t>REV227</t>
  </si>
  <si>
    <t>REV228</t>
  </si>
  <si>
    <t>REV229</t>
  </si>
  <si>
    <t>REV230</t>
  </si>
  <si>
    <t>REV231</t>
  </si>
  <si>
    <t>REV232</t>
  </si>
  <si>
    <t>REV233</t>
  </si>
  <si>
    <t>REV234</t>
  </si>
  <si>
    <t>REV235</t>
  </si>
  <si>
    <t>REV236</t>
  </si>
  <si>
    <t>REV237</t>
  </si>
  <si>
    <t>REV238</t>
  </si>
  <si>
    <t>REV239</t>
  </si>
  <si>
    <t>REV240</t>
  </si>
  <si>
    <t>REV241</t>
  </si>
  <si>
    <t>REV242</t>
  </si>
  <si>
    <t>REV243</t>
  </si>
  <si>
    <t>REV244</t>
  </si>
  <si>
    <t>REV245</t>
  </si>
  <si>
    <t>REV246</t>
  </si>
  <si>
    <t>REV247</t>
  </si>
  <si>
    <t>REV248</t>
  </si>
  <si>
    <t>REV249</t>
  </si>
  <si>
    <t>REV250</t>
  </si>
  <si>
    <t>REV251</t>
  </si>
  <si>
    <t>REV252</t>
  </si>
  <si>
    <t>REV253</t>
  </si>
  <si>
    <t>REV254</t>
  </si>
  <si>
    <t>REV255</t>
  </si>
  <si>
    <t>REV256</t>
  </si>
  <si>
    <t>REV257</t>
  </si>
  <si>
    <t>REV258</t>
  </si>
  <si>
    <t>REV259</t>
  </si>
  <si>
    <t>REV260</t>
  </si>
  <si>
    <t>REV261</t>
  </si>
  <si>
    <t>REV262</t>
  </si>
  <si>
    <t>REV263</t>
  </si>
  <si>
    <t>REV264</t>
  </si>
  <si>
    <t>REV265</t>
  </si>
  <si>
    <t>REV266</t>
  </si>
  <si>
    <t>REV267</t>
  </si>
  <si>
    <t>REV268</t>
  </si>
  <si>
    <t>REV269</t>
  </si>
  <si>
    <t>REV270</t>
  </si>
  <si>
    <t>REV271</t>
  </si>
  <si>
    <t>REV272</t>
  </si>
  <si>
    <t>REV273</t>
  </si>
  <si>
    <t>REV274</t>
  </si>
  <si>
    <t>REV275</t>
  </si>
  <si>
    <t>REV276</t>
  </si>
  <si>
    <t>REV277</t>
  </si>
  <si>
    <t>REV278</t>
  </si>
  <si>
    <t>REV279</t>
  </si>
  <si>
    <t>REV280</t>
  </si>
  <si>
    <t>REV281</t>
  </si>
  <si>
    <t>REV282</t>
  </si>
  <si>
    <t>REV283</t>
  </si>
  <si>
    <t>REV284</t>
  </si>
  <si>
    <t>REV285</t>
  </si>
  <si>
    <t>REV286</t>
  </si>
  <si>
    <t>REV287</t>
  </si>
  <si>
    <t>REV288</t>
  </si>
  <si>
    <t>REV289</t>
  </si>
  <si>
    <t>REV290</t>
  </si>
  <si>
    <t>REV291</t>
  </si>
  <si>
    <t>REV292</t>
  </si>
  <si>
    <t>REV293</t>
  </si>
  <si>
    <t>REV294</t>
  </si>
  <si>
    <t>REV295</t>
  </si>
  <si>
    <t>REV296</t>
  </si>
  <si>
    <t>REV297</t>
  </si>
  <si>
    <t>REV298</t>
  </si>
  <si>
    <t>REV299</t>
  </si>
  <si>
    <t>REV300</t>
  </si>
  <si>
    <t>REV301</t>
  </si>
  <si>
    <t>REV302</t>
  </si>
  <si>
    <t>REV303</t>
  </si>
  <si>
    <t>REV304</t>
  </si>
  <si>
    <t>REV305</t>
  </si>
  <si>
    <t>REV306</t>
  </si>
  <si>
    <t>REV307</t>
  </si>
  <si>
    <t>REV308</t>
  </si>
  <si>
    <t>REV309</t>
  </si>
  <si>
    <t>REV310</t>
  </si>
  <si>
    <t>REV311</t>
  </si>
  <si>
    <t>REV312</t>
  </si>
  <si>
    <t>REV313</t>
  </si>
  <si>
    <t>REV314</t>
  </si>
  <si>
    <t>REV315</t>
  </si>
  <si>
    <t>REV316</t>
  </si>
  <si>
    <t>REV317</t>
  </si>
  <si>
    <t>REV318</t>
  </si>
  <si>
    <t>REV319</t>
  </si>
  <si>
    <t>REV320</t>
  </si>
  <si>
    <t>REV321</t>
  </si>
  <si>
    <t>REV322</t>
  </si>
  <si>
    <t>REV323</t>
  </si>
  <si>
    <t>REV324</t>
  </si>
  <si>
    <t>REV325</t>
  </si>
  <si>
    <t>REV326</t>
  </si>
  <si>
    <t>REV327</t>
  </si>
  <si>
    <t>REV328</t>
  </si>
  <si>
    <t>REV329</t>
  </si>
  <si>
    <t>REV330</t>
  </si>
  <si>
    <t>REV331</t>
  </si>
  <si>
    <t>REV332</t>
  </si>
  <si>
    <t>REV333</t>
  </si>
  <si>
    <t>REV334</t>
  </si>
  <si>
    <t>REV335</t>
  </si>
  <si>
    <t>REV336</t>
  </si>
  <si>
    <t>REV337</t>
  </si>
  <si>
    <t>REV338</t>
  </si>
  <si>
    <t>REV339</t>
  </si>
  <si>
    <t>REV340</t>
  </si>
  <si>
    <t>REV341</t>
  </si>
  <si>
    <t>REV342</t>
  </si>
  <si>
    <t>REV343</t>
  </si>
  <si>
    <t>REV344</t>
  </si>
  <si>
    <t>REV345</t>
  </si>
  <si>
    <t>REV346</t>
  </si>
  <si>
    <t>REV347</t>
  </si>
  <si>
    <t>REV348</t>
  </si>
  <si>
    <t>REV349</t>
  </si>
  <si>
    <t>REV350</t>
  </si>
  <si>
    <t>REV351</t>
  </si>
  <si>
    <t>REV352</t>
  </si>
  <si>
    <t>REV353</t>
  </si>
  <si>
    <t>REV354</t>
  </si>
  <si>
    <t>REV355</t>
  </si>
  <si>
    <t>REV356</t>
  </si>
  <si>
    <t>REV357</t>
  </si>
  <si>
    <t>REV358</t>
  </si>
  <si>
    <t>REV359</t>
  </si>
  <si>
    <t>REV360</t>
  </si>
  <si>
    <t>REV361</t>
  </si>
  <si>
    <t>REV362</t>
  </si>
  <si>
    <t>REV363</t>
  </si>
  <si>
    <t>REV364</t>
  </si>
  <si>
    <t>REV365</t>
  </si>
  <si>
    <t>REV366</t>
  </si>
  <si>
    <t>REV367</t>
  </si>
  <si>
    <t>REV368</t>
  </si>
  <si>
    <t>REV369</t>
  </si>
  <si>
    <t>REV370</t>
  </si>
  <si>
    <t>REV371</t>
  </si>
  <si>
    <t>REV372</t>
  </si>
  <si>
    <t>REV373</t>
  </si>
  <si>
    <t>REV374</t>
  </si>
  <si>
    <t>REV375</t>
  </si>
  <si>
    <t>REV376</t>
  </si>
  <si>
    <t>REV377</t>
  </si>
  <si>
    <t>REV378</t>
  </si>
  <si>
    <t>REV379</t>
  </si>
  <si>
    <t>REV380</t>
  </si>
  <si>
    <t>REV381</t>
  </si>
  <si>
    <t>REV382</t>
  </si>
  <si>
    <t>REV383</t>
  </si>
  <si>
    <t>REV384</t>
  </si>
  <si>
    <t>REV385</t>
  </si>
  <si>
    <t>REV386</t>
  </si>
  <si>
    <t>REV387</t>
  </si>
  <si>
    <t>REV388</t>
  </si>
  <si>
    <t>REV389</t>
  </si>
  <si>
    <t>REV390</t>
  </si>
  <si>
    <t>REV391</t>
  </si>
  <si>
    <t>REV392</t>
  </si>
  <si>
    <t>REV393</t>
  </si>
  <si>
    <t>REV394</t>
  </si>
  <si>
    <t>REV395</t>
  </si>
  <si>
    <t>REV396</t>
  </si>
  <si>
    <t>REV397</t>
  </si>
  <si>
    <t>REV398</t>
  </si>
  <si>
    <t>REV399</t>
  </si>
  <si>
    <t>REV400</t>
  </si>
  <si>
    <t>REV401</t>
  </si>
  <si>
    <t>REV402</t>
  </si>
  <si>
    <t>REV403</t>
  </si>
  <si>
    <t>REV404</t>
  </si>
  <si>
    <t>REV405</t>
  </si>
  <si>
    <t>REV406</t>
  </si>
  <si>
    <t>REV407</t>
  </si>
  <si>
    <t>REV408</t>
  </si>
  <si>
    <t>REV409</t>
  </si>
  <si>
    <t>REV410</t>
  </si>
  <si>
    <t>REV411</t>
  </si>
  <si>
    <t>REV412</t>
  </si>
  <si>
    <t>REV413</t>
  </si>
  <si>
    <t>REV414</t>
  </si>
  <si>
    <t>REV415</t>
  </si>
  <si>
    <t>REV416</t>
  </si>
  <si>
    <t>REV417</t>
  </si>
  <si>
    <t>REV418</t>
  </si>
  <si>
    <t>REV419</t>
  </si>
  <si>
    <t>REV420</t>
  </si>
  <si>
    <t>REV421</t>
  </si>
  <si>
    <t>REV422</t>
  </si>
  <si>
    <t>REV423</t>
  </si>
  <si>
    <t>REV424</t>
  </si>
  <si>
    <t>REV425</t>
  </si>
  <si>
    <t>REV426</t>
  </si>
  <si>
    <t>REV427</t>
  </si>
  <si>
    <t>REV428</t>
  </si>
  <si>
    <t>REV429</t>
  </si>
  <si>
    <t>REV430</t>
  </si>
  <si>
    <t>REV431</t>
  </si>
  <si>
    <t>REV432</t>
  </si>
  <si>
    <t>REV433</t>
  </si>
  <si>
    <t>REV434</t>
  </si>
  <si>
    <t>REV435</t>
  </si>
  <si>
    <t>REV436</t>
  </si>
  <si>
    <t>REV437</t>
  </si>
  <si>
    <t>REV438</t>
  </si>
  <si>
    <t>REV439</t>
  </si>
  <si>
    <t>REV440</t>
  </si>
  <si>
    <t>REV441</t>
  </si>
  <si>
    <t>REV442</t>
  </si>
  <si>
    <t>REV443</t>
  </si>
  <si>
    <t>REV444</t>
  </si>
  <si>
    <t>REV445</t>
  </si>
  <si>
    <t>REV446</t>
  </si>
  <si>
    <t>REV447</t>
  </si>
  <si>
    <t>REV448</t>
  </si>
  <si>
    <t>REV449</t>
  </si>
  <si>
    <t>REV450</t>
  </si>
  <si>
    <t>REV451</t>
  </si>
  <si>
    <t>REV452</t>
  </si>
  <si>
    <t>REV453</t>
  </si>
  <si>
    <t>REV454</t>
  </si>
  <si>
    <t>REV455</t>
  </si>
  <si>
    <t>REV456</t>
  </si>
  <si>
    <t>REV457</t>
  </si>
  <si>
    <t>REV458</t>
  </si>
  <si>
    <t>REV459</t>
  </si>
  <si>
    <t>REV460</t>
  </si>
  <si>
    <t>REV461</t>
  </si>
  <si>
    <t>REV462</t>
  </si>
  <si>
    <t>REV463</t>
  </si>
  <si>
    <t>REV464</t>
  </si>
  <si>
    <t>REV465</t>
  </si>
  <si>
    <t>REV466</t>
  </si>
  <si>
    <t>REV467</t>
  </si>
  <si>
    <t>REV468</t>
  </si>
  <si>
    <t>REV469</t>
  </si>
  <si>
    <t>REV470</t>
  </si>
  <si>
    <t>REV471</t>
  </si>
  <si>
    <t>REV472</t>
  </si>
  <si>
    <t>REV473</t>
  </si>
  <si>
    <t>REV474</t>
  </si>
  <si>
    <t>REV475</t>
  </si>
  <si>
    <t>REV476</t>
  </si>
  <si>
    <t>REV477</t>
  </si>
  <si>
    <t>REV478</t>
  </si>
  <si>
    <t>REV479</t>
  </si>
  <si>
    <t>REV480</t>
  </si>
  <si>
    <t>REV481</t>
  </si>
  <si>
    <t>REV482</t>
  </si>
  <si>
    <t>REV483</t>
  </si>
  <si>
    <t>REV484</t>
  </si>
  <si>
    <t>REV485</t>
  </si>
  <si>
    <t>REV486</t>
  </si>
  <si>
    <t>REV487</t>
  </si>
  <si>
    <t>REV488</t>
  </si>
  <si>
    <t>REV489</t>
  </si>
  <si>
    <t>REV490</t>
  </si>
  <si>
    <t>REV491</t>
  </si>
  <si>
    <t>REV492</t>
  </si>
  <si>
    <t>REV493</t>
  </si>
  <si>
    <t>REV494</t>
  </si>
  <si>
    <t>REV495</t>
  </si>
  <si>
    <t>REV496</t>
  </si>
  <si>
    <t>REV497</t>
  </si>
  <si>
    <t>REV498</t>
  </si>
  <si>
    <t>REV499</t>
  </si>
  <si>
    <t>REV500</t>
  </si>
  <si>
    <t>Revenue Per Mile</t>
  </si>
  <si>
    <t>Fuel Cost2</t>
  </si>
  <si>
    <t>Ticket price</t>
  </si>
  <si>
    <t>Passenger Boarded</t>
  </si>
  <si>
    <t>Distance Mile</t>
  </si>
  <si>
    <t>Average Fuel Cost</t>
  </si>
  <si>
    <t>📖  DATA DICTIONARY — AIRLINE DATASET</t>
  </si>
  <si>
    <t>Table</t>
  </si>
  <si>
    <t>Column Name</t>
  </si>
  <si>
    <t>Data Type</t>
  </si>
  <si>
    <t>Valid Values / Range</t>
  </si>
  <si>
    <t>Description</t>
  </si>
  <si>
    <t>Contains Issues?</t>
  </si>
  <si>
    <t>Key Type</t>
  </si>
  <si>
    <t>Dirty Data Notes</t>
  </si>
  <si>
    <t>flights</t>
  </si>
  <si>
    <t>flight_id</t>
  </si>
  <si>
    <t>Text</t>
  </si>
  <si>
    <t>FL001–FL500</t>
  </si>
  <si>
    <t>Unique identifier for each flight</t>
  </si>
  <si>
    <t>No</t>
  </si>
  <si>
    <t>Primary Key</t>
  </si>
  <si>
    <t>None</t>
  </si>
  <si>
    <t>flight_date</t>
  </si>
  <si>
    <t>Date</t>
  </si>
  <si>
    <t>2022-01-01 to 2024-12-31</t>
  </si>
  <si>
    <t>Date the flight was scheduled</t>
  </si>
  <si>
    <t>Yes (10 rows wrong format)</t>
  </si>
  <si>
    <t>–</t>
  </si>
  <si>
    <t>Check for DD/MM/YYYY vs YYYY-MM-DD</t>
  </si>
  <si>
    <t>airline</t>
  </si>
  <si>
    <t>Delta, United, American, Southwest, JetBlue, Alaska, Spirit, Frontier</t>
  </si>
  <si>
    <t>Airline operating the flight</t>
  </si>
  <si>
    <t>Some values in lowercase — standardize</t>
  </si>
  <si>
    <t>origin_city</t>
  </si>
  <si>
    <t>US city names</t>
  </si>
  <si>
    <t>City of departure</t>
  </si>
  <si>
    <t>origin_code</t>
  </si>
  <si>
    <t>IATA 3-letter code</t>
  </si>
  <si>
    <t>Airport code of departure</t>
  </si>
  <si>
    <t>Foreign Key → airports</t>
  </si>
  <si>
    <t>destination_city</t>
  </si>
  <si>
    <t>City of arrival</t>
  </si>
  <si>
    <t>destination_code</t>
  </si>
  <si>
    <t>Airport code of arrival</t>
  </si>
  <si>
    <t>departure_time</t>
  </si>
  <si>
    <t>HH:MM (00:00–23:45)</t>
  </si>
  <si>
    <t>Scheduled departure time</t>
  </si>
  <si>
    <t>arrival_time</t>
  </si>
  <si>
    <t>HH:MM (00:00–23:59)</t>
  </si>
  <si>
    <t>Scheduled arrival time</t>
  </si>
  <si>
    <t>flight_duration_min</t>
  </si>
  <si>
    <t>Integer</t>
  </si>
  <si>
    <t>90–480</t>
  </si>
  <si>
    <t>Flight duration in minutes</t>
  </si>
  <si>
    <t>distance_miles</t>
  </si>
  <si>
    <t>300–3000</t>
  </si>
  <si>
    <t>Distance between origin and destination</t>
  </si>
  <si>
    <t>ticket_price</t>
  </si>
  <si>
    <t>Decimal</t>
  </si>
  <si>
    <t>$80–$1200 (normal range)</t>
  </si>
  <si>
    <t>Price per ticket in USD</t>
  </si>
  <si>
    <t>Yes (~4% missing, 5 outliers)</t>
  </si>
  <si>
    <t>Outliers: -50, 0.5, 9999, 15000</t>
  </si>
  <si>
    <t>class</t>
  </si>
  <si>
    <t>Economy / Business / First Class</t>
  </si>
  <si>
    <t>Seat class of the ticket</t>
  </si>
  <si>
    <t>Yes (~4% missing)</t>
  </si>
  <si>
    <t>seats_available</t>
  </si>
  <si>
    <t>100–350</t>
  </si>
  <si>
    <t>Total seats on the aircraft</t>
  </si>
  <si>
    <t>passengers_boarded</t>
  </si>
  <si>
    <t>50–350</t>
  </si>
  <si>
    <t>Actual number of passengers who boarded</t>
  </si>
  <si>
    <t>Should be ≤ seats_available</t>
  </si>
  <si>
    <t>status</t>
  </si>
  <si>
    <t>On-Time / Delayed / Cancelled</t>
  </si>
  <si>
    <t>Flight status</t>
  </si>
  <si>
    <t>Some values in UPPERCASE — standardize</t>
  </si>
  <si>
    <t>delay_minutes</t>
  </si>
  <si>
    <t>0–180</t>
  </si>
  <si>
    <t>Minutes of delay (0 if On-Time/Cancelled)</t>
  </si>
  <si>
    <t>Yes (~4% missing, 6 negatives)</t>
  </si>
  <si>
    <t>Negative values are invalid</t>
  </si>
  <si>
    <t>airports</t>
  </si>
  <si>
    <t>airport_code</t>
  </si>
  <si>
    <t>Unique airport identifier</t>
  </si>
  <si>
    <t>airport_name</t>
  </si>
  <si>
    <t>Full name</t>
  </si>
  <si>
    <t>Official airport name</t>
  </si>
  <si>
    <t>city</t>
  </si>
  <si>
    <t>US city name</t>
  </si>
  <si>
    <t>City where airport is located</t>
  </si>
  <si>
    <t>country</t>
  </si>
  <si>
    <t>Country of airport</t>
  </si>
  <si>
    <t>All USA in this dataset</t>
  </si>
  <si>
    <t>terminals</t>
  </si>
  <si>
    <t>1–9</t>
  </si>
  <si>
    <t>Number of terminals at airport</t>
  </si>
  <si>
    <t>annual_capacity</t>
  </si>
  <si>
    <t>25M–107M</t>
  </si>
  <si>
    <t>Estimated annual passenger capacity</t>
  </si>
  <si>
    <t>revenue</t>
  </si>
  <si>
    <t>revenue_id</t>
  </si>
  <si>
    <t>REV001–REV300</t>
  </si>
  <si>
    <t>Unique revenue record identifier</t>
  </si>
  <si>
    <t>Links to flights table</t>
  </si>
  <si>
    <t>Foreign Key → flights</t>
  </si>
  <si>
    <t>IATA code</t>
  </si>
  <si>
    <t>Origin airport of the flight</t>
  </si>
  <si>
    <t>total_revenue</t>
  </si>
  <si>
    <t>$0–$400,000</t>
  </si>
  <si>
    <t>Total ticket revenue for the flight</t>
  </si>
  <si>
    <t>Yes (5 rows = 0)</t>
  </si>
  <si>
    <t>Zero values may indicate data entry error</t>
  </si>
  <si>
    <t>ancillary_revenue</t>
  </si>
  <si>
    <t>$500–$8,000</t>
  </si>
  <si>
    <t>Revenue from baggage, meals, extras</t>
  </si>
  <si>
    <t>fuel_cost</t>
  </si>
  <si>
    <t>$5,000–$40,000</t>
  </si>
  <si>
    <t>Fuel cost for the flight</t>
  </si>
  <si>
    <t>Yes (~8 missing)</t>
  </si>
  <si>
    <t>crew_cost</t>
  </si>
  <si>
    <t>$2,000–$15,000</t>
  </si>
  <si>
    <t>Staff and crew cost for the flight</t>
  </si>
  <si>
    <t>profit</t>
  </si>
  <si>
    <t>Varies (can be negative)</t>
  </si>
  <si>
    <t>Total revenue minus fuel and crew costs</t>
  </si>
  <si>
    <t>Calculated field</t>
  </si>
  <si>
    <t>profit = total_revenue + ancillary_revenue - fuel_cost - crew_cost</t>
  </si>
  <si>
    <t>payment_method</t>
  </si>
  <si>
    <t>Credit Card / Cash / Travel Points / Debit Card</t>
  </si>
  <si>
    <t>How ticket was paid</t>
  </si>
  <si>
    <t>📝  STUDENT TASKS — DATA CLEANING, ANALYSIS, PIVOT TABLES &amp; VISUALIZATION</t>
  </si>
  <si>
    <t xml:space="preserve">  DATA CLEANING</t>
  </si>
  <si>
    <t>Task #</t>
  </si>
  <si>
    <t>Task</t>
  </si>
  <si>
    <t>Instructions</t>
  </si>
  <si>
    <t>DC-01</t>
  </si>
  <si>
    <t>Fix inconsistent airline names (lowercase → Title Case)</t>
  </si>
  <si>
    <t>Use Find &amp; Replace or a formula. All airline names should start with a capital letter. E.g. 'delta' → 'Delta'</t>
  </si>
  <si>
    <t>DC-02</t>
  </si>
  <si>
    <t>Standardize the status column (UPPERCASE → Title Case)</t>
  </si>
  <si>
    <t>Values like 'ON-TIME' should be 'On-Time'. Use PROPER() or Find &amp; Replace.</t>
  </si>
  <si>
    <t>DC-03</t>
  </si>
  <si>
    <t>Fix date format inconsistencies</t>
  </si>
  <si>
    <t>Some dates are in DD/MM/YYYY format. Convert all to YYYY-MM-DD format.</t>
  </si>
  <si>
    <t>DC-04</t>
  </si>
  <si>
    <t>Remove duplicate rows</t>
  </si>
  <si>
    <t>Identify and delete the 8 duplicate rows. Use Excel's 'Remove Duplicates' feature.</t>
  </si>
  <si>
    <t>DC-05</t>
  </si>
  <si>
    <t>Handle missing ticket_price values</t>
  </si>
  <si>
    <t>Find blank cells in ticket_price. Replace with the median price per airline using MEDIAN() or fill manually.</t>
  </si>
  <si>
    <t>DC-06</t>
  </si>
  <si>
    <t>Handle missing passengers_boarded values</t>
  </si>
  <si>
    <t>Replace missing values with the average passengers per class using AVERAGEIF().</t>
  </si>
  <si>
    <t>DC-07</t>
  </si>
  <si>
    <t>Fix negative delay_minutes values</t>
  </si>
  <si>
    <t>Delay cannot be negative. Replace any negative delay with 0.</t>
  </si>
  <si>
    <t>DC-08</t>
  </si>
  <si>
    <t>Fix outlier ticket prices</t>
  </si>
  <si>
    <t>Prices of -50, 0.5, 9999, and 15000 are likely errors. Replace with the average ticket price for the same class.</t>
  </si>
  <si>
    <t>DC-09</t>
  </si>
  <si>
    <t>Handle missing fuel_cost in revenue</t>
  </si>
  <si>
    <t>Fill missing fuel_cost values with the average fuel cost using AVERAGE().</t>
  </si>
  <si>
    <t>DC-10</t>
  </si>
  <si>
    <t>Investigate zero total_revenue rows</t>
  </si>
  <si>
    <t>Five rows have total_revenue = 0. Flag these rows and either correct or remove them.</t>
  </si>
  <si>
    <t xml:space="preserve">  STATISTICAL ANALYSIS</t>
  </si>
  <si>
    <t>SA-01</t>
  </si>
  <si>
    <t>Calculate basic statistics for ticket_price</t>
  </si>
  <si>
    <t>Find the MIN, MAX, AVERAGE, MEDIAN, and STDEV of ticket_price. Use Excel functions.</t>
  </si>
  <si>
    <t>SA-02</t>
  </si>
  <si>
    <t>Count flights by status</t>
  </si>
  <si>
    <t>Count how many flights are On-Time, Delayed, and Cancelled using COUNTIF().</t>
  </si>
  <si>
    <t>SA-03</t>
  </si>
  <si>
    <t>Calculate average delay by airline</t>
  </si>
  <si>
    <t>Use AVERAGEIF() to find the average delay_minutes for each airline.</t>
  </si>
  <si>
    <t>SA-04</t>
  </si>
  <si>
    <t>Find the busiest routes</t>
  </si>
  <si>
    <t>Combine origin_city and destination_city. Count occurrences to find the top 5 busiest routes.</t>
  </si>
  <si>
    <t>SA-05</t>
  </si>
  <si>
    <t>Calculate average occupancy rate</t>
  </si>
  <si>
    <t>Occupancy = passengers_boarded / seats_available * 100. Create a new column and compute the average.</t>
  </si>
  <si>
    <t>SA-06</t>
  </si>
  <si>
    <t>Find total and average profit by airline</t>
  </si>
  <si>
    <t>Use SUMIF() and AVERAGEIF() to aggregate profit by airline (join via flight_id).</t>
  </si>
  <si>
    <t>SA-07</t>
  </si>
  <si>
    <t>Calculate revenue per mile</t>
  </si>
  <si>
    <t>Create a new column: revenue_per_mile = total_revenue / distance_miles (join flights table).</t>
  </si>
  <si>
    <t>SA-08</t>
  </si>
  <si>
    <t>Find the airport with the most departures</t>
  </si>
  <si>
    <t>Count origin_code occurrences to find the top 3 busiest departure airports.</t>
  </si>
  <si>
    <t xml:space="preserve">  PIVOT TABLES</t>
  </si>
  <si>
    <t>PT-01</t>
  </si>
  <si>
    <t>Flights by Airline and Status</t>
  </si>
  <si>
    <t>Create a pivot table showing count of flights for each airline, broken down by status (On-Time/Delayed/Cancelled).</t>
  </si>
  <si>
    <t>PT-02</t>
  </si>
  <si>
    <t>Average Ticket Price by Class and Airline</t>
  </si>
  <si>
    <t>Rows = Airline, Columns = Class. Values = Average ticket_price.</t>
  </si>
  <si>
    <t>PT-03</t>
  </si>
  <si>
    <t>Total Revenue by Airline</t>
  </si>
  <si>
    <t>Join flights and revenue. Pivot total_revenue summed by airline.</t>
  </si>
  <si>
    <t>PT-04</t>
  </si>
  <si>
    <t>Monthly Flight Count Trend</t>
  </si>
  <si>
    <t>Extract Month from flight_date. Rows = Month, Values = Count of flights.</t>
  </si>
  <si>
    <t>PT-05</t>
  </si>
  <si>
    <t>Average Delay by Origin City</t>
  </si>
  <si>
    <t>Rows = origin_city. Values = Average delay_minutes. Sort descending.</t>
  </si>
  <si>
    <t>PT-06</t>
  </si>
  <si>
    <t>Profit by Payment Method</t>
  </si>
  <si>
    <t>Rows = payment_method. Values = SUM of profit. Sort by highest profit.</t>
  </si>
  <si>
    <t xml:space="preserve">  DATA VISUALIZATION</t>
  </si>
  <si>
    <t>Chart Type</t>
  </si>
  <si>
    <t>DV-01</t>
  </si>
  <si>
    <t>Flight Status Distribution</t>
  </si>
  <si>
    <t>Pie Chart</t>
  </si>
  <si>
    <t>Show the proportion of On-Time vs Delayed vs Cancelled flights.</t>
  </si>
  <si>
    <t>DV-02</t>
  </si>
  <si>
    <t>Average Ticket Price by Class</t>
  </si>
  <si>
    <t>Bar Chart</t>
  </si>
  <si>
    <t>Compare average ticket price across Economy, Business, and First Class.</t>
  </si>
  <si>
    <t>DV-03</t>
  </si>
  <si>
    <t>Monthly Flights Over Time</t>
  </si>
  <si>
    <t>Line Chart</t>
  </si>
  <si>
    <t>Show how the number of flights changed month-by-month across 2022–2024.</t>
  </si>
  <si>
    <t>DV-04</t>
  </si>
  <si>
    <t>Top 5 Airlines by Total Revenue</t>
  </si>
  <si>
    <t>Horizontal Bar Chart</t>
  </si>
  <si>
    <t>Rank airlines from highest to lowest total revenue.</t>
  </si>
  <si>
    <t>DV-05</t>
  </si>
  <si>
    <t>Delay Minutes Distribution</t>
  </si>
  <si>
    <t>Histogram</t>
  </si>
  <si>
    <t>Show the distribution of delay_minutes to spot common delay ranges.</t>
  </si>
  <si>
    <t>DV-06</t>
  </si>
  <si>
    <t>Occupancy Rate by Airline</t>
  </si>
  <si>
    <t>Column Chart</t>
  </si>
  <si>
    <t>Compare average occupancy rate (%) across airlines.</t>
  </si>
  <si>
    <t>DV-07</t>
  </si>
  <si>
    <t>Profit vs Fuel Cost Scatter</t>
  </si>
  <si>
    <t>Scatter Plot</t>
  </si>
  <si>
    <t>Plot fuel_cost (x) vs profit (y) to identify any relationship.</t>
  </si>
  <si>
    <t>DV-08</t>
  </si>
  <si>
    <t>Revenue Breakdown by Airport</t>
  </si>
  <si>
    <t>Stacked Bar Chart</t>
  </si>
  <si>
    <t>Show total_revenue vs ancillary_revenue for the top 8 airports.</t>
  </si>
  <si>
    <t>Statistics</t>
  </si>
  <si>
    <t>Count</t>
  </si>
  <si>
    <t>Average Delay</t>
  </si>
  <si>
    <r>
      <rPr>
        <b/>
        <sz val="12"/>
        <color theme="1"/>
        <rFont val="Times New Roman"/>
        <charset val="134"/>
      </rPr>
      <t>Average</t>
    </r>
    <r>
      <rPr>
        <sz val="12"/>
        <color theme="1"/>
        <rFont val="Times New Roman"/>
        <charset val="134"/>
      </rPr>
      <t xml:space="preserve"> </t>
    </r>
    <r>
      <rPr>
        <sz val="12"/>
        <color theme="1"/>
        <rFont val="Times New Roman"/>
        <charset val="134"/>
      </rPr>
      <t>(AVERAGE)</t>
    </r>
  </si>
  <si>
    <r>
      <rPr>
        <b/>
        <sz val="12"/>
        <color theme="1"/>
        <rFont val="Times New Roman"/>
        <charset val="134"/>
      </rPr>
      <t>Median</t>
    </r>
    <r>
      <rPr>
        <sz val="12"/>
        <color theme="1"/>
        <rFont val="Times New Roman"/>
        <charset val="134"/>
      </rPr>
      <t xml:space="preserve"> </t>
    </r>
    <r>
      <rPr>
        <sz val="12"/>
        <color theme="1"/>
        <rFont val="Times New Roman"/>
        <charset val="134"/>
      </rPr>
      <t>(MEDIAN)</t>
    </r>
  </si>
  <si>
    <t>Chicago → Boston</t>
  </si>
  <si>
    <r>
      <rPr>
        <b/>
        <sz val="12"/>
        <color theme="1"/>
        <rFont val="Times New Roman"/>
        <charset val="134"/>
      </rPr>
      <t>Std Deviation</t>
    </r>
    <r>
      <rPr>
        <sz val="12"/>
        <color theme="1"/>
        <rFont val="Times New Roman"/>
        <charset val="134"/>
      </rPr>
      <t xml:space="preserve"> </t>
    </r>
    <r>
      <rPr>
        <sz val="12"/>
        <color theme="1"/>
        <rFont val="Times New Roman"/>
        <charset val="134"/>
      </rPr>
      <t>(STDEV)</t>
    </r>
  </si>
  <si>
    <t>San Francisco → Minneapolis</t>
  </si>
  <si>
    <r>
      <rPr>
        <b/>
        <sz val="12"/>
        <color theme="1"/>
        <rFont val="Times New Roman"/>
        <charset val="134"/>
      </rPr>
      <t>Minimum</t>
    </r>
    <r>
      <rPr>
        <sz val="12"/>
        <color theme="1"/>
        <rFont val="Times New Roman"/>
        <charset val="134"/>
      </rPr>
      <t xml:space="preserve"> </t>
    </r>
    <r>
      <rPr>
        <sz val="12"/>
        <color theme="1"/>
        <rFont val="Times New Roman"/>
        <charset val="134"/>
      </rPr>
      <t>(MIN)</t>
    </r>
  </si>
  <si>
    <t>San Diego → Chicago</t>
  </si>
  <si>
    <r>
      <rPr>
        <b/>
        <sz val="12"/>
        <color theme="1"/>
        <rFont val="Times New Roman"/>
        <charset val="134"/>
      </rPr>
      <t>Maximum</t>
    </r>
    <r>
      <rPr>
        <sz val="12"/>
        <color theme="1"/>
        <rFont val="Times New Roman"/>
        <charset val="134"/>
      </rPr>
      <t xml:space="preserve"> </t>
    </r>
    <r>
      <rPr>
        <sz val="12"/>
        <color theme="1"/>
        <rFont val="Times New Roman"/>
        <charset val="134"/>
      </rPr>
      <t>(MAX)</t>
    </r>
  </si>
  <si>
    <t>Houston → Las Vegas</t>
  </si>
  <si>
    <t>Chicago → Detroit</t>
  </si>
  <si>
    <t>Charlotte → San Francisco</t>
  </si>
  <si>
    <t>Charlotte → Newark</t>
  </si>
  <si>
    <t>Newark → Houston</t>
  </si>
  <si>
    <t>New York → San Francisco</t>
  </si>
  <si>
    <t>Miami → Chicago</t>
  </si>
  <si>
    <t>Los Angeles → Phoenix</t>
  </si>
  <si>
    <t>Detroit → Chicago</t>
  </si>
  <si>
    <t>Denver → San Diego</t>
  </si>
  <si>
    <t>Denver → Houston</t>
  </si>
  <si>
    <t>Total Profit</t>
  </si>
  <si>
    <t>Average Profit</t>
  </si>
  <si>
    <t>Dallas → Las Vegas</t>
  </si>
  <si>
    <t>Chicago → Seattle</t>
  </si>
  <si>
    <t>Chicago → Los Angeles</t>
  </si>
  <si>
    <t>Chicago → Atlanta</t>
  </si>
  <si>
    <t>Boston → Newark</t>
  </si>
  <si>
    <t>Atlanta → New York</t>
  </si>
  <si>
    <t>Atlanta → Chicago</t>
  </si>
  <si>
    <t>Atlanta → Charlotte</t>
  </si>
  <si>
    <r>
      <rPr>
        <b/>
        <sz val="11"/>
        <color theme="1"/>
        <rFont val="Calibri"/>
        <charset val="134"/>
        <scheme val="minor"/>
      </rPr>
      <t>ATL (Atlanta)</t>
    </r>
    <r>
      <rPr>
        <sz val="11"/>
        <color theme="1"/>
        <rFont val="Calibri"/>
        <charset val="134"/>
        <scheme val="minor"/>
      </rPr>
      <t xml:space="preserve"> — 35 departures</t>
    </r>
  </si>
  <si>
    <t>Seattle → Orlando</t>
  </si>
  <si>
    <r>
      <rPr>
        <b/>
        <sz val="11"/>
        <color theme="1"/>
        <rFont val="Calibri"/>
        <charset val="134"/>
        <scheme val="minor"/>
      </rPr>
      <t>LAX (Los Angeles)</t>
    </r>
    <r>
      <rPr>
        <sz val="11"/>
        <color theme="1"/>
        <rFont val="Calibri"/>
        <charset val="134"/>
        <scheme val="minor"/>
      </rPr>
      <t xml:space="preserve"> — 32 departures</t>
    </r>
  </si>
  <si>
    <t>Seattle → Chicago</t>
  </si>
  <si>
    <r>
      <rPr>
        <b/>
        <sz val="11"/>
        <color theme="1"/>
        <rFont val="Calibri"/>
        <charset val="134"/>
        <scheme val="minor"/>
      </rPr>
      <t>SAN (San Diego)</t>
    </r>
    <r>
      <rPr>
        <sz val="11"/>
        <color theme="1"/>
        <rFont val="Calibri"/>
        <charset val="134"/>
        <scheme val="minor"/>
      </rPr>
      <t xml:space="preserve"> — 30 departures</t>
    </r>
  </si>
  <si>
    <t>San Francisco → Detroit</t>
  </si>
  <si>
    <t>average ticket price per class</t>
  </si>
  <si>
    <t>San Francisco → Chicago</t>
  </si>
  <si>
    <t>San Diego → Newark</t>
  </si>
  <si>
    <t>Average Price</t>
  </si>
  <si>
    <t>San Diego → Los Angeles</t>
  </si>
  <si>
    <t>San Diego → Dallas</t>
  </si>
  <si>
    <t>Phoenix → Atlanta</t>
  </si>
  <si>
    <t>Orlando → San Francisco</t>
  </si>
  <si>
    <t>Orlando → Minneapolis</t>
  </si>
  <si>
    <t>Minneapolis → San Francisco</t>
  </si>
  <si>
    <t>Minneapolis → San Diego</t>
  </si>
  <si>
    <t>Minneapolis → Newark</t>
  </si>
  <si>
    <t>Sum of Total Revenue</t>
  </si>
  <si>
    <t>Minneapolis → Chicago</t>
  </si>
  <si>
    <t>Miami → Houston</t>
  </si>
  <si>
    <t>Los Angeles → San Francisco</t>
  </si>
  <si>
    <t>Los Angeles → Houston</t>
  </si>
  <si>
    <t>Los Angeles → Denver</t>
  </si>
  <si>
    <t>Los Angeles → Boston</t>
  </si>
  <si>
    <t>Las Vegas → New York</t>
  </si>
  <si>
    <t>Las Vegas → Los Angeles</t>
  </si>
  <si>
    <t>Las Vegas → Boston</t>
  </si>
  <si>
    <t>Houston → San Diego</t>
  </si>
  <si>
    <t>Delay Range</t>
  </si>
  <si>
    <t>Houston → Dallas</t>
  </si>
  <si>
    <t>0 Mins(No Delay)</t>
  </si>
  <si>
    <t>Detroit → Miami</t>
  </si>
  <si>
    <t>0-30 Mins</t>
  </si>
  <si>
    <t>Denver → Chicago</t>
  </si>
  <si>
    <t>31-60 Mins</t>
  </si>
  <si>
    <t>Dallas → Houston</t>
  </si>
  <si>
    <t>61-90 Mins</t>
  </si>
  <si>
    <t>Chicago → San Francisco</t>
  </si>
  <si>
    <t>91-120 Mins</t>
  </si>
  <si>
    <t>Chicago → San Diego</t>
  </si>
  <si>
    <t>121-150 Mins</t>
  </si>
  <si>
    <t>Chicago → Phoenix</t>
  </si>
  <si>
    <t>151-180 Mins</t>
  </si>
  <si>
    <t>Chicago → Orlando</t>
  </si>
  <si>
    <t>Chicago → Newark</t>
  </si>
  <si>
    <t>Occupancy Rate by Airline — Column Chart</t>
  </si>
  <si>
    <t>Chicago → Minneapolis</t>
  </si>
  <si>
    <t>Chicago → Las Vegas</t>
  </si>
  <si>
    <t>Avg Occupancy Rate %</t>
  </si>
  <si>
    <t>Charlotte → Los Angeles</t>
  </si>
  <si>
    <t>Charlotte → Chicago</t>
  </si>
  <si>
    <t>Boston → Los Angeles</t>
  </si>
  <si>
    <t>Atlanta → Minneapolis</t>
  </si>
  <si>
    <t>Atlanta → Miami</t>
  </si>
  <si>
    <t>Seattle → San Francisco</t>
  </si>
  <si>
    <t>Seattle → Newark</t>
  </si>
  <si>
    <t>San Francisco → Phoenix</t>
  </si>
  <si>
    <t>San Francisco → Orlando</t>
  </si>
  <si>
    <t>San Francisco → Houston</t>
  </si>
  <si>
    <t>San Francisco → Denver</t>
  </si>
  <si>
    <t>Revenue Breakdown by  Airports</t>
  </si>
  <si>
    <t>Revenue Breakdown by Top 8 Airports</t>
  </si>
  <si>
    <t>San Francisco → Boston</t>
  </si>
  <si>
    <t>San Francisco → Atlanta</t>
  </si>
  <si>
    <t>San Diego → New York</t>
  </si>
  <si>
    <t>San Diego → Minneapolis</t>
  </si>
  <si>
    <t>San Diego → Miami</t>
  </si>
  <si>
    <t>San Diego → Houston</t>
  </si>
  <si>
    <t>San Diego → Charlotte</t>
  </si>
  <si>
    <t>Phoenix → Seattle</t>
  </si>
  <si>
    <t>Phoenix → New York</t>
  </si>
  <si>
    <t>Phoenix → Minneapolis</t>
  </si>
  <si>
    <t>Phoenix → Los Angeles</t>
  </si>
  <si>
    <t>Phoenix → Las Vegas</t>
  </si>
  <si>
    <t>Phoenix → Houston</t>
  </si>
  <si>
    <t>Phoenix → Detroit</t>
  </si>
  <si>
    <t>Phoenix → Denver</t>
  </si>
  <si>
    <t>Phoenix → Chicago</t>
  </si>
  <si>
    <t>Phoenix → Boston</t>
  </si>
  <si>
    <t>Orlando → San Diego</t>
  </si>
  <si>
    <t>Orlando → Miami</t>
  </si>
  <si>
    <t>Orlando → Detroit</t>
  </si>
  <si>
    <t>Orlando → Boston</t>
  </si>
  <si>
    <t>Newark → San Francisco</t>
  </si>
  <si>
    <t>Newark → Orlando</t>
  </si>
  <si>
    <t>Newark → New York</t>
  </si>
  <si>
    <t>Newark → Minneapolis</t>
  </si>
  <si>
    <t>Newark → Los Angeles</t>
  </si>
  <si>
    <t>Newark → Las Vegas</t>
  </si>
  <si>
    <t>Newark → Dallas</t>
  </si>
  <si>
    <t>Newark → Boston</t>
  </si>
  <si>
    <t>New York → Phoenix</t>
  </si>
  <si>
    <t>New York → Orlando</t>
  </si>
  <si>
    <t>New York → Las Vegas</t>
  </si>
  <si>
    <t>New York → Houston</t>
  </si>
  <si>
    <t>New York → Dallas</t>
  </si>
  <si>
    <t>New York → Chicago</t>
  </si>
  <si>
    <t>New York → Boston</t>
  </si>
  <si>
    <t>New York → Atlanta</t>
  </si>
  <si>
    <t>Minneapolis → Phoenix</t>
  </si>
  <si>
    <t>Minneapolis → Los Angeles</t>
  </si>
  <si>
    <t>Minneapolis → Las Vegas</t>
  </si>
  <si>
    <t>Minneapolis → Denver</t>
  </si>
  <si>
    <t>Minneapolis → Charlotte</t>
  </si>
  <si>
    <t>Minneapolis → Boston</t>
  </si>
  <si>
    <t>Miami → Seattle</t>
  </si>
  <si>
    <t>Miami → Phoenix</t>
  </si>
  <si>
    <t>Miami → Denver</t>
  </si>
  <si>
    <t>Los Angeles → San Diego</t>
  </si>
  <si>
    <t>Los Angeles → Orlando</t>
  </si>
  <si>
    <t>Los Angeles → Minneapolis</t>
  </si>
  <si>
    <t>Los Angeles → Miami</t>
  </si>
  <si>
    <t>Los Angeles → Detroit</t>
  </si>
  <si>
    <t>Los Angeles → Chicago</t>
  </si>
  <si>
    <t>Las Vegas → San Francisco</t>
  </si>
  <si>
    <t>Las Vegas → Orlando</t>
  </si>
  <si>
    <t>Houston → San Francisco</t>
  </si>
  <si>
    <t>Houston → Chicago</t>
  </si>
  <si>
    <t>Detroit → San Diego</t>
  </si>
  <si>
    <t>Detroit → Phoenix</t>
  </si>
  <si>
    <t>Detroit → Newark</t>
  </si>
  <si>
    <t>Detroit → Las Vegas</t>
  </si>
  <si>
    <t>Detroit → Atlanta</t>
  </si>
  <si>
    <t>Denver → Newark</t>
  </si>
  <si>
    <t>Dallas → Seattle</t>
  </si>
  <si>
    <t>Dallas → Los Angeles</t>
  </si>
  <si>
    <t>Dallas → Denver</t>
  </si>
  <si>
    <t>Dallas → Atlanta</t>
  </si>
  <si>
    <t>Charlotte → Phoenix</t>
  </si>
  <si>
    <t>Boston → Seattle</t>
  </si>
  <si>
    <t>Boston → Phoenix</t>
  </si>
  <si>
    <t>Boston → New York</t>
  </si>
  <si>
    <t>Boston → Miami</t>
  </si>
  <si>
    <t>Boston → Houston</t>
  </si>
  <si>
    <t>Boston → Denver</t>
  </si>
  <si>
    <t>Boston → Chicago</t>
  </si>
  <si>
    <t>Atlanta → Seattle</t>
  </si>
  <si>
    <t>Atlanta → San Diego</t>
  </si>
  <si>
    <t>Atlanta → Newark</t>
  </si>
  <si>
    <t>Atlanta → Detroit</t>
  </si>
  <si>
    <t>Atlanta → Dallas</t>
  </si>
  <si>
    <t>Atlanta → Boston</t>
  </si>
  <si>
    <t>Seattle → Las Vegas</t>
  </si>
  <si>
    <t>Seattle → Houston</t>
  </si>
  <si>
    <t>Seattle → Detroit</t>
  </si>
  <si>
    <t>Seattle → Dallas</t>
  </si>
  <si>
    <t>Seattle → Boston</t>
  </si>
  <si>
    <t>Seattle → Atlanta</t>
  </si>
  <si>
    <t>San Francisco → Newark</t>
  </si>
  <si>
    <t>San Francisco → Miami</t>
  </si>
  <si>
    <t>San Francisco → Los Angeles</t>
  </si>
  <si>
    <t>San Francisco → Las Vegas</t>
  </si>
  <si>
    <t>San Francisco → Charlotte</t>
  </si>
  <si>
    <t>San Diego → San Francisco</t>
  </si>
  <si>
    <t>San Diego → Phoenix</t>
  </si>
  <si>
    <t>San Diego → Las Vegas</t>
  </si>
  <si>
    <t>San Diego → Detroit</t>
  </si>
  <si>
    <t>San Diego → Denver</t>
  </si>
  <si>
    <t>San Diego → Boston</t>
  </si>
  <si>
    <t>Phoenix → San Francisco</t>
  </si>
  <si>
    <t>Phoenix → Dallas</t>
  </si>
  <si>
    <t>Orlando → Phoenix</t>
  </si>
  <si>
    <t>Orlando → Newark</t>
  </si>
  <si>
    <t>Orlando → New York</t>
  </si>
  <si>
    <t>Orlando → Los Angeles</t>
  </si>
  <si>
    <t>Orlando → Las Vegas</t>
  </si>
  <si>
    <t>Orlando → Houston</t>
  </si>
  <si>
    <t>Orlando → Denver</t>
  </si>
  <si>
    <t>Orlando → Chicago</t>
  </si>
  <si>
    <t>Orlando → Charlotte</t>
  </si>
  <si>
    <t>Newark → Phoenix</t>
  </si>
  <si>
    <t>Newark → Denver</t>
  </si>
  <si>
    <t>Newark → Charlotte</t>
  </si>
  <si>
    <t>Newark → Atlanta</t>
  </si>
  <si>
    <t>New York → Seattle</t>
  </si>
  <si>
    <t>New York → Newark</t>
  </si>
  <si>
    <t>New York → Minneapolis</t>
  </si>
  <si>
    <t>New York → Los Angeles</t>
  </si>
  <si>
    <t>New York → Detroit</t>
  </si>
  <si>
    <t>New York → Charlotte</t>
  </si>
  <si>
    <t>Minneapolis → Orlando</t>
  </si>
  <si>
    <t>Minneapolis → New York</t>
  </si>
  <si>
    <t>Minneapolis → Detroit</t>
  </si>
  <si>
    <t>Miami → San Francisco</t>
  </si>
  <si>
    <t>Miami → San Diego</t>
  </si>
  <si>
    <t>Miami → Orlando</t>
  </si>
  <si>
    <t>Miami → New York</t>
  </si>
  <si>
    <t>Miami → Los Angeles</t>
  </si>
  <si>
    <t>Miami → Dallas</t>
  </si>
  <si>
    <t>Miami → Charlotte</t>
  </si>
  <si>
    <t>Miami → Atlanta</t>
  </si>
  <si>
    <t>Los Angeles → Seattle</t>
  </si>
  <si>
    <t>Los Angeles → New York</t>
  </si>
  <si>
    <t>Los Angeles → Las Vegas</t>
  </si>
  <si>
    <t>Los Angeles → Charlotte</t>
  </si>
  <si>
    <t>Las Vegas → Seattle</t>
  </si>
  <si>
    <t>Las Vegas → San Diego</t>
  </si>
  <si>
    <t>Las Vegas → Phoenix</t>
  </si>
  <si>
    <t>Las Vegas → Newark</t>
  </si>
  <si>
    <t>Las Vegas → Minneapolis</t>
  </si>
  <si>
    <t>Las Vegas → Detroit</t>
  </si>
  <si>
    <t>Las Vegas → Denver</t>
  </si>
  <si>
    <t>Las Vegas → Chicago</t>
  </si>
  <si>
    <t>Las Vegas → Charlotte</t>
  </si>
  <si>
    <t>Houston → Seattle</t>
  </si>
  <si>
    <t>Houston → New York</t>
  </si>
  <si>
    <t>Houston → Detroit</t>
  </si>
  <si>
    <t>Houston → Denver</t>
  </si>
  <si>
    <t>Houston → Charlotte</t>
  </si>
  <si>
    <t>Houston → Atlanta</t>
  </si>
  <si>
    <t>Detroit → Seattle</t>
  </si>
  <si>
    <t>Detroit → San Francisco</t>
  </si>
  <si>
    <t>Detroit → Orlando</t>
  </si>
  <si>
    <t>Detroit → Minneapolis</t>
  </si>
  <si>
    <t>Detroit → Los Angeles</t>
  </si>
  <si>
    <t>Detroit → Houston</t>
  </si>
  <si>
    <t>Detroit → Denver</t>
  </si>
  <si>
    <t>Detroit → Charlotte</t>
  </si>
  <si>
    <t>Detroit → Boston</t>
  </si>
  <si>
    <t>Denver → Seattle</t>
  </si>
  <si>
    <t>Denver → San Francisco</t>
  </si>
  <si>
    <t>Denver → Phoenix</t>
  </si>
  <si>
    <t>Denver → Orlando</t>
  </si>
  <si>
    <t>Denver → New York</t>
  </si>
  <si>
    <t>Denver → Detroit</t>
  </si>
  <si>
    <t>Denver → Boston</t>
  </si>
  <si>
    <t>Dallas → San Francisco</t>
  </si>
  <si>
    <t>Dallas → San Diego</t>
  </si>
  <si>
    <t>Dallas → Phoenix</t>
  </si>
  <si>
    <t>Dallas → Orlando</t>
  </si>
  <si>
    <t>Dallas → New York</t>
  </si>
  <si>
    <t>Dallas → Minneapolis</t>
  </si>
  <si>
    <t>Dallas → Miami</t>
  </si>
  <si>
    <t>Dallas → Chicago</t>
  </si>
  <si>
    <t>Dallas → Charlotte</t>
  </si>
  <si>
    <t>Chicago → Houston</t>
  </si>
  <si>
    <t>Chicago → Dallas</t>
  </si>
  <si>
    <t>Chicago → Chicago</t>
  </si>
  <si>
    <t>Chicago → Charlotte</t>
  </si>
  <si>
    <t>Charlotte → San Diego</t>
  </si>
  <si>
    <t>Charlotte → Orlando</t>
  </si>
  <si>
    <t>Charlotte → Miami</t>
  </si>
  <si>
    <t>Charlotte → Las Vegas</t>
  </si>
  <si>
    <t>Charlotte → Houston</t>
  </si>
  <si>
    <t>Charlotte → Detroit</t>
  </si>
  <si>
    <t>Charlotte → Dallas</t>
  </si>
  <si>
    <t>Charlotte → Boston</t>
  </si>
  <si>
    <t>Charlotte → Atlanta</t>
  </si>
  <si>
    <t>Boston → San Francisco</t>
  </si>
  <si>
    <t>Boston → Orlando</t>
  </si>
  <si>
    <t>Boston → Minneapolis</t>
  </si>
  <si>
    <t>Boston → Charlotte</t>
  </si>
  <si>
    <t>Boston → Atlanta</t>
  </si>
  <si>
    <t>Atlanta → Las Vegas</t>
  </si>
  <si>
    <t>Atlanta → Houston</t>
  </si>
  <si>
    <t>Atlanta → Denver</t>
  </si>
  <si>
    <t>Average of Ticket Price</t>
  </si>
  <si>
    <t>2022-01</t>
  </si>
  <si>
    <t>2022-02</t>
  </si>
  <si>
    <t>2022-03</t>
  </si>
  <si>
    <t>2022-04</t>
  </si>
  <si>
    <t>2022-05</t>
  </si>
  <si>
    <t>2022-06</t>
  </si>
  <si>
    <t>2022-07</t>
  </si>
  <si>
    <t>2022-08</t>
  </si>
  <si>
    <t>2022-09</t>
  </si>
  <si>
    <t>2022-10</t>
  </si>
  <si>
    <t>2022-11</t>
  </si>
  <si>
    <t>2022-12</t>
  </si>
  <si>
    <t>2023-01</t>
  </si>
  <si>
    <t>2023-02</t>
  </si>
  <si>
    <t>2023-03</t>
  </si>
  <si>
    <t>2023-04</t>
  </si>
  <si>
    <t>2023-05</t>
  </si>
  <si>
    <t>2023-06</t>
  </si>
  <si>
    <t>2023-07</t>
  </si>
  <si>
    <t>2023-08</t>
  </si>
  <si>
    <t>2023-09</t>
  </si>
  <si>
    <t>2023-10</t>
  </si>
  <si>
    <t>2023-11</t>
  </si>
  <si>
    <t>2023-12</t>
  </si>
  <si>
    <t>2024-01</t>
  </si>
  <si>
    <t>2024-02</t>
  </si>
  <si>
    <t>2024-03</t>
  </si>
  <si>
    <t>2024-04</t>
  </si>
  <si>
    <t>2024-05</t>
  </si>
  <si>
    <t>2024-06</t>
  </si>
  <si>
    <t>2024-07</t>
  </si>
  <si>
    <t>2024-08</t>
  </si>
  <si>
    <t>2024-09</t>
  </si>
  <si>
    <t>2024-10</t>
  </si>
  <si>
    <t>2024-11</t>
  </si>
  <si>
    <t>2024-12</t>
  </si>
  <si>
    <t>Average of Delay Minutes</t>
  </si>
  <si>
    <t>Sum of Profit</t>
  </si>
  <si>
    <t>Flight Status Distribution — Pie Chart</t>
  </si>
  <si>
    <t>Monthly Flights Over Time — Line Chart</t>
  </si>
  <si>
    <t>Profit vs Fuel Cost — Scatter Plot</t>
  </si>
  <si>
    <t>TOTAL FLIGHTS</t>
  </si>
  <si>
    <t>Avg Occupancy Rate</t>
  </si>
  <si>
    <t>Avg Delay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</si>
</sst>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0.00_);[Red]\(&quot;$&quot;#,##0.00\)"/>
    <numFmt numFmtId="44" formatCode="_(&quot;$&quot;* #,##0.00_);_(&quot;$&quot;* \(#,##0.00\);_(&quot;$&quot;* &quot;-&quot;??_);_(@_)"/>
    <numFmt numFmtId="43" formatCode="_(* #,##0.00_);_(* \(#,##0.00\);_(* &quot;-&quot;??_);_(@_)"/>
    <numFmt numFmtId="164" formatCode="_ * #,##0.00_ ;_ * \-#,##0.00_ ;_ * &quot;-&quot;??_ ;_ @_ "/>
    <numFmt numFmtId="166" formatCode="0.00_ "/>
    <numFmt numFmtId="167" formatCode="yyyy\-mm\-dd;@"/>
    <numFmt numFmtId="168" formatCode="0_ "/>
  </numFmts>
  <fonts count="20">
    <font>
      <sz val="11"/>
      <color theme="1"/>
      <name val="Calibri"/>
      <charset val="134"/>
      <scheme val="minor"/>
    </font>
    <font>
      <b/>
      <sz val="16"/>
      <color theme="1"/>
      <name val="Calibri"/>
      <charset val="134"/>
      <scheme val="minor"/>
    </font>
    <font>
      <b/>
      <sz val="20"/>
      <color theme="1"/>
      <name val="Calibri"/>
      <charset val="134"/>
      <scheme val="minor"/>
    </font>
    <font>
      <b/>
      <sz val="22"/>
      <color theme="1"/>
      <name val="Calibri"/>
      <charset val="134"/>
      <scheme val="minor"/>
    </font>
    <font>
      <b/>
      <sz val="24"/>
      <color theme="1"/>
      <name val="Calibri"/>
      <charset val="134"/>
      <scheme val="minor"/>
    </font>
    <font>
      <b/>
      <sz val="11"/>
      <color theme="1"/>
      <name val="Calibri"/>
      <charset val="134"/>
      <scheme val="minor"/>
    </font>
    <font>
      <b/>
      <u/>
      <sz val="11"/>
      <color theme="1"/>
      <name val="Calibri"/>
      <charset val="134"/>
      <scheme val="minor"/>
    </font>
    <font>
      <b/>
      <sz val="12"/>
      <color theme="1"/>
      <name val="Times New Roman"/>
      <charset val="134"/>
    </font>
    <font>
      <b/>
      <sz val="11"/>
      <color rgb="FF000000"/>
      <name val="Arial"/>
      <charset val="134"/>
    </font>
    <font>
      <b/>
      <u/>
      <sz val="12"/>
      <color theme="1"/>
      <name val="Calibri"/>
      <charset val="134"/>
    </font>
    <font>
      <sz val="11"/>
      <color rgb="FF141413"/>
      <name val="Calibri"/>
      <charset val="134"/>
      <scheme val="minor"/>
    </font>
    <font>
      <b/>
      <sz val="13"/>
      <color rgb="FFFFFFFF"/>
      <name val="Arial"/>
      <charset val="134"/>
    </font>
    <font>
      <b/>
      <sz val="12"/>
      <color rgb="FFFFFFFF"/>
      <name val="Arial"/>
      <charset val="134"/>
    </font>
    <font>
      <b/>
      <sz val="10"/>
      <color rgb="FFFFFFFF"/>
      <name val="Arial"/>
      <charset val="134"/>
    </font>
    <font>
      <b/>
      <sz val="10"/>
      <name val="Arial"/>
      <charset val="134"/>
    </font>
    <font>
      <sz val="10"/>
      <color rgb="FF000000"/>
      <name val="Arial"/>
      <charset val="134"/>
    </font>
    <font>
      <sz val="12"/>
      <color rgb="FF141413"/>
      <name val="Segoe UI"/>
      <charset val="134"/>
    </font>
    <font>
      <b/>
      <sz val="10"/>
      <color rgb="FFFF0000"/>
      <name val="Arial"/>
      <charset val="134"/>
    </font>
    <font>
      <sz val="12"/>
      <color theme="1"/>
      <name val="Times New Roman"/>
      <charset val="134"/>
    </font>
    <font>
      <sz val="11"/>
      <color theme="1"/>
      <name val="Calibri"/>
      <charset val="134"/>
      <scheme val="minor"/>
    </font>
  </fonts>
  <fills count="14">
    <fill>
      <patternFill patternType="none"/>
    </fill>
    <fill>
      <patternFill patternType="gray125"/>
    </fill>
    <fill>
      <patternFill patternType="solid">
        <fgColor rgb="FFFFFFFF"/>
        <bgColor indexed="64"/>
      </patternFill>
    </fill>
    <fill>
      <patternFill patternType="solid">
        <fgColor rgb="FFFFFF00"/>
        <bgColor indexed="64"/>
      </patternFill>
    </fill>
    <fill>
      <patternFill patternType="solid">
        <fgColor rgb="FF1F3864"/>
        <bgColor indexed="64"/>
      </patternFill>
    </fill>
    <fill>
      <patternFill patternType="solid">
        <fgColor rgb="FFC00000"/>
        <bgColor indexed="64"/>
      </patternFill>
    </fill>
    <fill>
      <patternFill patternType="solid">
        <fgColor rgb="FF595959"/>
        <bgColor indexed="64"/>
      </patternFill>
    </fill>
    <fill>
      <patternFill patternType="solid">
        <fgColor rgb="FFF2F2F2"/>
        <bgColor indexed="64"/>
      </patternFill>
    </fill>
    <fill>
      <patternFill patternType="solid">
        <fgColor rgb="FF2E75B6"/>
        <bgColor indexed="64"/>
      </patternFill>
    </fill>
    <fill>
      <patternFill patternType="solid">
        <fgColor rgb="FF375623"/>
        <bgColor indexed="64"/>
      </patternFill>
    </fill>
    <fill>
      <patternFill patternType="solid">
        <fgColor rgb="FFED7D31"/>
        <bgColor indexed="64"/>
      </patternFill>
    </fill>
    <fill>
      <patternFill patternType="solid">
        <fgColor rgb="FFFFFF00"/>
        <bgColor indexed="64"/>
      </patternFill>
    </fill>
    <fill>
      <patternFill patternType="solid">
        <fgColor rgb="FFBDD7EE"/>
        <bgColor indexed="64"/>
      </patternFill>
    </fill>
    <fill>
      <patternFill patternType="solid">
        <fgColor rgb="FFE2EFDA"/>
        <bgColor indexed="64"/>
      </patternFill>
    </fill>
  </fills>
  <borders count="11">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164" fontId="19" fillId="0" borderId="0" applyFont="0" applyFill="0" applyBorder="0" applyAlignment="0" applyProtection="0">
      <alignment vertical="center"/>
    </xf>
  </cellStyleXfs>
  <cellXfs count="74">
    <xf numFmtId="0" fontId="0" fillId="0" borderId="0" xfId="0"/>
    <xf numFmtId="0" fontId="1" fillId="0" borderId="0" xfId="0" applyFont="1" applyAlignment="1"/>
    <xf numFmtId="0" fontId="0" fillId="0" borderId="0" xfId="0" applyAlignment="1"/>
    <xf numFmtId="0" fontId="2" fillId="0" borderId="0" xfId="0" applyFont="1" applyAlignment="1">
      <alignment vertical="center"/>
    </xf>
    <xf numFmtId="0" fontId="2" fillId="0" borderId="0" xfId="0" applyFont="1" applyAlignment="1"/>
    <xf numFmtId="0" fontId="5" fillId="0" borderId="0" xfId="0" applyFont="1"/>
    <xf numFmtId="166"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164" fontId="0" fillId="0" borderId="0" xfId="1" applyAlignment="1"/>
    <xf numFmtId="0" fontId="0" fillId="0" borderId="0" xfId="0" applyAlignment="1"/>
    <xf numFmtId="0" fontId="7" fillId="0" borderId="0" xfId="0" applyFont="1" applyAlignment="1">
      <alignment horizontal="left" wrapText="1"/>
    </xf>
    <xf numFmtId="0" fontId="7" fillId="0" borderId="0" xfId="0" applyFont="1" applyAlignment="1">
      <alignment horizontal="center" wrapText="1"/>
    </xf>
    <xf numFmtId="0" fontId="8" fillId="2" borderId="0" xfId="0" applyFont="1" applyFill="1" applyAlignment="1">
      <alignment horizontal="center" vertical="center" wrapText="1"/>
    </xf>
    <xf numFmtId="43" fontId="0" fillId="0" borderId="0" xfId="1" applyNumberFormat="1" applyAlignment="1"/>
    <xf numFmtId="44" fontId="0" fillId="0" borderId="0" xfId="0" applyNumberFormat="1"/>
    <xf numFmtId="0" fontId="9" fillId="0" borderId="0" xfId="0" applyFont="1"/>
    <xf numFmtId="164" fontId="0" fillId="0" borderId="0" xfId="1" applyAlignment="1"/>
    <xf numFmtId="0" fontId="10" fillId="0" borderId="0" xfId="0" applyFont="1"/>
    <xf numFmtId="0" fontId="0" fillId="0" borderId="0" xfId="0" applyFont="1" applyAlignment="1"/>
    <xf numFmtId="164" fontId="0" fillId="0" borderId="0" xfId="1" applyAlignment="1"/>
    <xf numFmtId="0" fontId="0" fillId="3" borderId="0" xfId="0" applyFill="1"/>
    <xf numFmtId="0" fontId="13" fillId="6" borderId="10" xfId="0" applyFont="1" applyFill="1" applyBorder="1" applyAlignment="1">
      <alignment horizontal="center" vertical="center"/>
    </xf>
    <xf numFmtId="0" fontId="14" fillId="7" borderId="10" xfId="0" applyFont="1" applyFill="1" applyBorder="1" applyAlignment="1">
      <alignment vertical="center" wrapText="1"/>
    </xf>
    <xf numFmtId="0" fontId="15" fillId="7" borderId="10" xfId="0" applyFont="1" applyFill="1" applyBorder="1" applyAlignment="1">
      <alignment vertical="center" wrapText="1"/>
    </xf>
    <xf numFmtId="0" fontId="14" fillId="2" borderId="10" xfId="0" applyFont="1" applyFill="1" applyBorder="1" applyAlignment="1">
      <alignment vertical="center" wrapText="1"/>
    </xf>
    <xf numFmtId="0" fontId="15" fillId="2" borderId="10" xfId="0" applyFont="1" applyFill="1" applyBorder="1" applyAlignment="1">
      <alignment vertical="center" wrapText="1"/>
    </xf>
    <xf numFmtId="0" fontId="14" fillId="11" borderId="10" xfId="0" applyFont="1" applyFill="1" applyBorder="1" applyAlignment="1">
      <alignment vertical="center" wrapText="1"/>
    </xf>
    <xf numFmtId="0" fontId="15" fillId="11" borderId="10" xfId="0" applyFont="1" applyFill="1" applyBorder="1" applyAlignment="1">
      <alignment vertical="center" wrapText="1"/>
    </xf>
    <xf numFmtId="0" fontId="13" fillId="8" borderId="10" xfId="0" applyFont="1" applyFill="1" applyBorder="1" applyAlignment="1">
      <alignment horizontal="center" vertical="center"/>
    </xf>
    <xf numFmtId="0" fontId="15" fillId="12" borderId="10" xfId="0" applyFont="1" applyFill="1" applyBorder="1" applyAlignment="1">
      <alignment vertical="center" wrapText="1"/>
    </xf>
    <xf numFmtId="0" fontId="15" fillId="13" borderId="10" xfId="0" applyFont="1" applyFill="1" applyBorder="1" applyAlignment="1">
      <alignment vertical="center" wrapText="1"/>
    </xf>
    <xf numFmtId="0" fontId="13" fillId="9" borderId="10" xfId="0" applyFont="1" applyFill="1" applyBorder="1" applyAlignment="1">
      <alignment horizontal="center" vertical="center"/>
    </xf>
    <xf numFmtId="0" fontId="0" fillId="0" borderId="0" xfId="0" applyNumberFormat="1"/>
    <xf numFmtId="0" fontId="16" fillId="0" borderId="0" xfId="0" applyFont="1"/>
    <xf numFmtId="0" fontId="13" fillId="4" borderId="10" xfId="0" applyFont="1" applyFill="1" applyBorder="1" applyAlignment="1">
      <alignment horizontal="center" vertical="center"/>
    </xf>
    <xf numFmtId="167" fontId="0" fillId="0" borderId="0" xfId="0" applyNumberFormat="1"/>
    <xf numFmtId="167" fontId="13" fillId="8" borderId="10" xfId="0" applyNumberFormat="1" applyFont="1" applyFill="1" applyBorder="1" applyAlignment="1">
      <alignment horizontal="center" vertical="center"/>
    </xf>
    <xf numFmtId="167" fontId="15" fillId="2" borderId="10" xfId="0" applyNumberFormat="1" applyFont="1" applyFill="1" applyBorder="1" applyAlignment="1">
      <alignment vertical="center" wrapText="1"/>
    </xf>
    <xf numFmtId="166" fontId="15" fillId="2" borderId="10" xfId="0" applyNumberFormat="1" applyFont="1" applyFill="1" applyBorder="1" applyAlignment="1">
      <alignment vertical="center" wrapText="1"/>
    </xf>
    <xf numFmtId="0" fontId="15" fillId="2" borderId="10" xfId="0" applyNumberFormat="1" applyFont="1" applyFill="1" applyBorder="1" applyAlignment="1">
      <alignment vertical="center" wrapText="1"/>
    </xf>
    <xf numFmtId="167" fontId="15" fillId="12" borderId="10" xfId="0" applyNumberFormat="1" applyFont="1" applyFill="1" applyBorder="1" applyAlignment="1">
      <alignment vertical="center" wrapText="1"/>
    </xf>
    <xf numFmtId="0" fontId="15" fillId="12" borderId="10" xfId="0" applyNumberFormat="1" applyFont="1" applyFill="1" applyBorder="1" applyAlignment="1">
      <alignment vertical="center" wrapText="1"/>
    </xf>
    <xf numFmtId="168" fontId="15" fillId="2" borderId="10" xfId="0" applyNumberFormat="1" applyFont="1" applyFill="1" applyBorder="1" applyAlignment="1">
      <alignment vertical="center" wrapText="1"/>
    </xf>
    <xf numFmtId="0" fontId="0" fillId="0" borderId="0" xfId="0" applyFill="1"/>
    <xf numFmtId="167" fontId="0" fillId="0" borderId="0" xfId="0" applyNumberFormat="1" applyFill="1"/>
    <xf numFmtId="0" fontId="17" fillId="0" borderId="0" xfId="0" applyFont="1"/>
    <xf numFmtId="0" fontId="0" fillId="0" borderId="0" xfId="0" quotePrefix="1"/>
    <xf numFmtId="0" fontId="11" fillId="4" borderId="0" xfId="0" applyFont="1" applyFill="1" applyAlignment="1">
      <alignment horizontal="center" vertical="center"/>
    </xf>
    <xf numFmtId="0" fontId="0" fillId="0" borderId="0" xfId="0"/>
    <xf numFmtId="0" fontId="0" fillId="0" borderId="0" xfId="0" applyFont="1" applyFill="1" applyAlignment="1"/>
    <xf numFmtId="0" fontId="12" fillId="5" borderId="0" xfId="0" applyFont="1" applyFill="1" applyAlignment="1">
      <alignment vertical="center"/>
    </xf>
    <xf numFmtId="0" fontId="12" fillId="8" borderId="0" xfId="0" applyFont="1" applyFill="1" applyAlignment="1">
      <alignment vertical="center"/>
    </xf>
    <xf numFmtId="0" fontId="12" fillId="9" borderId="0" xfId="0" applyFont="1" applyFill="1" applyAlignment="1">
      <alignment vertical="center"/>
    </xf>
    <xf numFmtId="0" fontId="12" fillId="10" borderId="0" xfId="0" applyFont="1" applyFill="1" applyAlignment="1">
      <alignment vertical="center"/>
    </xf>
    <xf numFmtId="0" fontId="5" fillId="0" borderId="0" xfId="0" applyFont="1" applyAlignment="1">
      <alignment horizontal="center"/>
    </xf>
    <xf numFmtId="0" fontId="7" fillId="0" borderId="0" xfId="0" applyFont="1" applyAlignment="1">
      <alignment horizontal="center" wrapText="1"/>
    </xf>
    <xf numFmtId="0" fontId="6" fillId="0" borderId="0" xfId="0" applyFont="1" applyAlignment="1">
      <alignment horizontal="center"/>
    </xf>
    <xf numFmtId="0" fontId="0" fillId="0" borderId="0" xfId="0" applyAlignment="1">
      <alignment horizontal="center"/>
    </xf>
    <xf numFmtId="0" fontId="6" fillId="0" borderId="0" xfId="0" applyFont="1" applyAlignment="1">
      <alignment horizontal="center" wrapText="1"/>
    </xf>
    <xf numFmtId="0" fontId="5" fillId="0" borderId="0" xfId="0" applyFont="1" applyAlignment="1">
      <alignment horizontal="center" wrapText="1"/>
    </xf>
    <xf numFmtId="0" fontId="2" fillId="0" borderId="0" xfId="0" applyFont="1" applyAlignment="1">
      <alignment horizontal="center"/>
    </xf>
    <xf numFmtId="0" fontId="3" fillId="0" borderId="0" xfId="0" applyFont="1" applyAlignment="1">
      <alignment horizontal="center" vertical="center"/>
    </xf>
    <xf numFmtId="0" fontId="2" fillId="0" borderId="0" xfId="0" applyFont="1" applyAlignment="1">
      <alignment horizontal="center" vertical="center"/>
    </xf>
    <xf numFmtId="8" fontId="3" fillId="0" borderId="0" xfId="0" applyNumberFormat="1" applyFont="1" applyAlignment="1">
      <alignment horizontal="center" vertical="center"/>
    </xf>
    <xf numFmtId="166" fontId="2" fillId="0" borderId="0" xfId="0" applyNumberFormat="1" applyFont="1" applyAlignment="1">
      <alignment horizontal="center" vertical="center"/>
    </xf>
    <xf numFmtId="0" fontId="4" fillId="0" borderId="0" xfId="0" applyFont="1" applyAlignment="1">
      <alignment horizontal="center"/>
    </xf>
  </cellXfs>
  <cellStyles count="2">
    <cellStyle name="Comma" xfId="1" builtinId="3"/>
    <cellStyle name="Normal" xfId="0" builtinId="0"/>
  </cellStyles>
  <dxfs count="133">
    <dxf>
      <numFmt numFmtId="166" formatCode="0.00_ "/>
    </dxf>
    <dxf>
      <numFmt numFmtId="166" formatCode="0.00_ "/>
    </dxf>
    <dxf>
      <numFmt numFmtId="166" formatCode="0.00_ "/>
    </dxf>
    <dxf>
      <numFmt numFmtId="166" formatCode="0.00_ "/>
    </dxf>
    <dxf>
      <numFmt numFmtId="166" formatCode="0.00_ "/>
    </dxf>
    <dxf>
      <numFmt numFmtId="166" formatCode="0.00_ "/>
    </dxf>
    <dxf>
      <numFmt numFmtId="166" formatCode="0.00_ "/>
    </dxf>
    <dxf>
      <numFmt numFmtId="166" formatCode="0.00_ "/>
    </dxf>
    <dxf>
      <numFmt numFmtId="166" formatCode="0.00_ "/>
    </dxf>
    <dxf>
      <numFmt numFmtId="166" formatCode="0.00_ "/>
    </dxf>
    <dxf>
      <numFmt numFmtId="166" formatCode="0.00_ "/>
    </dxf>
    <dxf>
      <numFmt numFmtId="166" formatCode="0.00_ "/>
    </dxf>
    <dxf>
      <numFmt numFmtId="166" formatCode="0.00_ "/>
    </dxf>
    <dxf>
      <numFmt numFmtId="166" formatCode="0.00_ "/>
    </dxf>
    <dxf>
      <numFmt numFmtId="166" formatCode="0.00_ "/>
    </dxf>
    <dxf>
      <numFmt numFmtId="166" formatCode="0.00_ "/>
    </dxf>
    <dxf>
      <numFmt numFmtId="166" formatCode="0.00_ "/>
    </dxf>
    <dxf>
      <numFmt numFmtId="166" formatCode="0.00_ "/>
    </dxf>
    <dxf>
      <numFmt numFmtId="166" formatCode="0.00_ "/>
    </dxf>
    <dxf>
      <numFmt numFmtId="172" formatCode="0.000_ "/>
    </dxf>
    <dxf>
      <numFmt numFmtId="172" formatCode="0.000_ "/>
    </dxf>
    <dxf>
      <numFmt numFmtId="172" formatCode="0.000_ "/>
    </dxf>
    <dxf>
      <numFmt numFmtId="172" formatCode="0.000_ "/>
    </dxf>
    <dxf>
      <numFmt numFmtId="172" formatCode="0.000_ "/>
    </dxf>
    <dxf>
      <numFmt numFmtId="172" formatCode="0.000_ "/>
    </dxf>
    <dxf>
      <numFmt numFmtId="172" formatCode="0.000_ "/>
    </dxf>
    <dxf>
      <numFmt numFmtId="172" formatCode="0.000_ "/>
    </dxf>
    <dxf>
      <numFmt numFmtId="172" formatCode="0.000_ "/>
    </dxf>
    <dxf>
      <numFmt numFmtId="172" formatCode="0.000_ "/>
    </dxf>
    <dxf>
      <numFmt numFmtId="172" formatCode="0.000_ "/>
    </dxf>
    <dxf>
      <numFmt numFmtId="172" formatCode="0.000_ "/>
    </dxf>
    <dxf>
      <numFmt numFmtId="172" formatCode="0.000_ "/>
    </dxf>
    <dxf>
      <numFmt numFmtId="172" formatCode="0.000_ "/>
    </dxf>
    <dxf>
      <numFmt numFmtId="172" formatCode="0.000_ "/>
    </dxf>
    <dxf>
      <numFmt numFmtId="172" formatCode="0.000_ "/>
    </dxf>
    <dxf>
      <numFmt numFmtId="172" formatCode="0.000_ "/>
    </dxf>
    <dxf>
      <numFmt numFmtId="172" formatCode="0.000_ "/>
    </dxf>
    <dxf>
      <numFmt numFmtId="172" formatCode="0.000_ "/>
    </dxf>
    <dxf>
      <numFmt numFmtId="171" formatCode="0.0000_ "/>
    </dxf>
    <dxf>
      <numFmt numFmtId="171" formatCode="0.0000_ "/>
    </dxf>
    <dxf>
      <numFmt numFmtId="171" formatCode="0.0000_ "/>
    </dxf>
    <dxf>
      <numFmt numFmtId="171" formatCode="0.0000_ "/>
    </dxf>
    <dxf>
      <numFmt numFmtId="171" formatCode="0.0000_ "/>
    </dxf>
    <dxf>
      <numFmt numFmtId="171" formatCode="0.0000_ "/>
    </dxf>
    <dxf>
      <numFmt numFmtId="171" formatCode="0.0000_ "/>
    </dxf>
    <dxf>
      <numFmt numFmtId="171" formatCode="0.0000_ "/>
    </dxf>
    <dxf>
      <numFmt numFmtId="171" formatCode="0.0000_ "/>
    </dxf>
    <dxf>
      <numFmt numFmtId="171" formatCode="0.0000_ "/>
    </dxf>
    <dxf>
      <numFmt numFmtId="171" formatCode="0.0000_ "/>
    </dxf>
    <dxf>
      <numFmt numFmtId="171" formatCode="0.0000_ "/>
    </dxf>
    <dxf>
      <numFmt numFmtId="171" formatCode="0.0000_ "/>
    </dxf>
    <dxf>
      <numFmt numFmtId="171" formatCode="0.0000_ "/>
    </dxf>
    <dxf>
      <numFmt numFmtId="171" formatCode="0.0000_ "/>
    </dxf>
    <dxf>
      <numFmt numFmtId="171" formatCode="0.0000_ "/>
    </dxf>
    <dxf>
      <numFmt numFmtId="171" formatCode="0.0000_ "/>
    </dxf>
    <dxf>
      <numFmt numFmtId="171" formatCode="0.0000_ "/>
    </dxf>
    <dxf>
      <numFmt numFmtId="171" formatCode="0.0000_ "/>
    </dxf>
    <dxf>
      <numFmt numFmtId="170" formatCode="0.00000_ "/>
    </dxf>
    <dxf>
      <numFmt numFmtId="170" formatCode="0.00000_ "/>
    </dxf>
    <dxf>
      <numFmt numFmtId="170" formatCode="0.00000_ "/>
    </dxf>
    <dxf>
      <numFmt numFmtId="170" formatCode="0.00000_ "/>
    </dxf>
    <dxf>
      <numFmt numFmtId="170" formatCode="0.00000_ "/>
    </dxf>
    <dxf>
      <numFmt numFmtId="170" formatCode="0.00000_ "/>
    </dxf>
    <dxf>
      <numFmt numFmtId="170" formatCode="0.00000_ "/>
    </dxf>
    <dxf>
      <numFmt numFmtId="170" formatCode="0.00000_ "/>
    </dxf>
    <dxf>
      <numFmt numFmtId="170" formatCode="0.00000_ "/>
    </dxf>
    <dxf>
      <numFmt numFmtId="170" formatCode="0.00000_ "/>
    </dxf>
    <dxf>
      <numFmt numFmtId="170" formatCode="0.00000_ "/>
    </dxf>
    <dxf>
      <numFmt numFmtId="170" formatCode="0.00000_ "/>
    </dxf>
    <dxf>
      <numFmt numFmtId="170" formatCode="0.00000_ "/>
    </dxf>
    <dxf>
      <numFmt numFmtId="170" formatCode="0.00000_ "/>
    </dxf>
    <dxf>
      <numFmt numFmtId="170" formatCode="0.00000_ "/>
    </dxf>
    <dxf>
      <numFmt numFmtId="170" formatCode="0.00000_ "/>
    </dxf>
    <dxf>
      <numFmt numFmtId="170" formatCode="0.00000_ "/>
    </dxf>
    <dxf>
      <numFmt numFmtId="170" formatCode="0.00000_ "/>
    </dxf>
    <dxf>
      <numFmt numFmtId="170" formatCode="0.00000_ "/>
    </dxf>
    <dxf>
      <numFmt numFmtId="169" formatCode="0.000000_ "/>
    </dxf>
    <dxf>
      <numFmt numFmtId="169" formatCode="0.000000_ "/>
    </dxf>
    <dxf>
      <numFmt numFmtId="169" formatCode="0.000000_ "/>
    </dxf>
    <dxf>
      <numFmt numFmtId="169" formatCode="0.000000_ "/>
    </dxf>
    <dxf>
      <numFmt numFmtId="169" formatCode="0.000000_ "/>
    </dxf>
    <dxf>
      <numFmt numFmtId="169" formatCode="0.000000_ "/>
    </dxf>
    <dxf>
      <numFmt numFmtId="169" formatCode="0.000000_ "/>
    </dxf>
    <dxf>
      <numFmt numFmtId="169" formatCode="0.000000_ "/>
    </dxf>
    <dxf>
      <numFmt numFmtId="169" formatCode="0.000000_ "/>
    </dxf>
    <dxf>
      <numFmt numFmtId="169" formatCode="0.000000_ "/>
    </dxf>
    <dxf>
      <numFmt numFmtId="169" formatCode="0.000000_ "/>
    </dxf>
    <dxf>
      <numFmt numFmtId="169" formatCode="0.000000_ "/>
    </dxf>
    <dxf>
      <numFmt numFmtId="169" formatCode="0.000000_ "/>
    </dxf>
    <dxf>
      <numFmt numFmtId="169" formatCode="0.000000_ "/>
    </dxf>
    <dxf>
      <numFmt numFmtId="169" formatCode="0.000000_ "/>
    </dxf>
    <dxf>
      <numFmt numFmtId="169" formatCode="0.000000_ "/>
    </dxf>
    <dxf>
      <numFmt numFmtId="169" formatCode="0.000000_ "/>
    </dxf>
    <dxf>
      <numFmt numFmtId="169" formatCode="0.000000_ "/>
    </dxf>
    <dxf>
      <numFmt numFmtId="169" formatCode="0.000000_ "/>
    </dxf>
    <dxf>
      <numFmt numFmtId="173" formatCode="0.0000000_ "/>
    </dxf>
    <dxf>
      <numFmt numFmtId="173" formatCode="0.0000000_ "/>
    </dxf>
    <dxf>
      <numFmt numFmtId="173" formatCode="0.0000000_ "/>
    </dxf>
    <dxf>
      <numFmt numFmtId="173" formatCode="0.0000000_ "/>
    </dxf>
    <dxf>
      <numFmt numFmtId="173" formatCode="0.0000000_ "/>
    </dxf>
    <dxf>
      <numFmt numFmtId="173" formatCode="0.0000000_ "/>
    </dxf>
    <dxf>
      <numFmt numFmtId="173" formatCode="0.0000000_ "/>
    </dxf>
    <dxf>
      <numFmt numFmtId="173" formatCode="0.0000000_ "/>
    </dxf>
    <dxf>
      <numFmt numFmtId="173" formatCode="0.0000000_ "/>
    </dxf>
    <dxf>
      <numFmt numFmtId="173" formatCode="0.0000000_ "/>
    </dxf>
    <dxf>
      <numFmt numFmtId="173" formatCode="0.0000000_ "/>
    </dxf>
    <dxf>
      <numFmt numFmtId="173" formatCode="0.0000000_ "/>
    </dxf>
    <dxf>
      <numFmt numFmtId="173" formatCode="0.0000000_ "/>
    </dxf>
    <dxf>
      <numFmt numFmtId="173" formatCode="0.0000000_ "/>
    </dxf>
    <dxf>
      <numFmt numFmtId="173" formatCode="0.0000000_ "/>
    </dxf>
    <dxf>
      <numFmt numFmtId="173" formatCode="0.0000000_ "/>
    </dxf>
    <dxf>
      <numFmt numFmtId="173" formatCode="0.0000000_ "/>
    </dxf>
    <dxf>
      <numFmt numFmtId="173" formatCode="0.0000000_ "/>
    </dxf>
    <dxf>
      <numFmt numFmtId="173" formatCode="0.0000000_ "/>
    </dxf>
    <dxf>
      <numFmt numFmtId="166" formatCode="0.00_ "/>
    </dxf>
    <dxf>
      <numFmt numFmtId="172" formatCode="0.000_ "/>
    </dxf>
    <dxf>
      <numFmt numFmtId="171" formatCode="0.0000_ "/>
    </dxf>
    <dxf>
      <numFmt numFmtId="170" formatCode="0.00000_ "/>
    </dxf>
    <dxf>
      <numFmt numFmtId="169" formatCode="0.000000_ "/>
    </dxf>
    <dxf>
      <numFmt numFmtId="34" formatCode="_(&quot;$&quot;* #,##0.00_);_(&quot;$&quot;* \(#,##0.00\);_(&quot;$&quot;* &quot;-&quot;??_);_(@_)"/>
    </dxf>
    <dxf>
      <numFmt numFmtId="35" formatCode="_(* #,##0.00_);_(* \(#,##0.00\);_(* &quot;-&quot;??_);_(@_)"/>
    </dxf>
    <dxf>
      <numFmt numFmtId="166" formatCode="0.00_ "/>
    </dxf>
    <dxf>
      <numFmt numFmtId="166" formatCode="0.00_ "/>
    </dxf>
    <dxf>
      <font>
        <b/>
        <i val="0"/>
        <strike val="0"/>
        <u val="none"/>
        <sz val="12"/>
        <color theme="1"/>
        <name val="Times New Roman"/>
        <charset val="134"/>
        <scheme val="none"/>
      </font>
      <alignment horizontal="left" wrapText="1"/>
    </dxf>
    <dxf>
      <numFmt numFmtId="0" formatCode="General"/>
    </dxf>
    <dxf>
      <font>
        <b val="0"/>
        <i val="0"/>
        <strike val="0"/>
        <u val="none"/>
        <sz val="10"/>
        <color rgb="FF000000"/>
        <name val="Arial"/>
        <charset val="134"/>
        <scheme val="none"/>
      </font>
      <fill>
        <patternFill patternType="solid">
          <bgColor rgb="FFFFFFFF"/>
        </patternFill>
      </fill>
      <alignment vertical="center" wrapText="1"/>
      <border>
        <left style="thin">
          <color rgb="FFBFBFBF"/>
        </left>
        <right style="thin">
          <color rgb="FFBFBFBF"/>
        </right>
        <top style="thin">
          <color rgb="FFBFBFBF"/>
        </top>
        <bottom style="thin">
          <color rgb="FFBFBFBF"/>
        </bottom>
      </border>
    </dxf>
    <dxf>
      <font>
        <b val="0"/>
        <i val="0"/>
        <strike val="0"/>
        <u val="none"/>
        <sz val="10"/>
        <color rgb="FF000000"/>
        <name val="Arial"/>
        <charset val="134"/>
        <scheme val="none"/>
      </font>
      <fill>
        <patternFill patternType="solid">
          <bgColor rgb="FFFFFFFF"/>
        </patternFill>
      </fill>
      <alignment vertical="center" wrapText="1"/>
      <border>
        <left style="thin">
          <color rgb="FFBFBFBF"/>
        </left>
        <right style="thin">
          <color rgb="FFBFBFBF"/>
        </right>
        <top style="thin">
          <color rgb="FFBFBFBF"/>
        </top>
        <bottom style="thin">
          <color rgb="FFBFBFBF"/>
        </bottom>
      </border>
    </dxf>
    <dxf>
      <numFmt numFmtId="0" formatCode="General"/>
    </dxf>
    <dxf>
      <font>
        <b val="0"/>
        <i val="0"/>
        <strike val="0"/>
        <u val="none"/>
        <sz val="10"/>
        <color rgb="FF000000"/>
        <name val="Arial"/>
        <charset val="134"/>
        <scheme val="none"/>
      </font>
      <numFmt numFmtId="166" formatCode="0.00_ "/>
      <fill>
        <patternFill patternType="solid">
          <bgColor rgb="FFFFFFFF"/>
        </patternFill>
      </fill>
      <alignment vertical="center" wrapText="1"/>
      <border>
        <left style="thin">
          <color rgb="FFBFBFBF"/>
        </left>
        <right style="thin">
          <color rgb="FFBFBFBF"/>
        </right>
        <top style="thin">
          <color rgb="FFBFBFBF"/>
        </top>
        <bottom style="thin">
          <color rgb="FFBFBFBF"/>
        </bottom>
      </border>
    </dxf>
    <dxf>
      <font>
        <b val="0"/>
        <i val="0"/>
        <strike val="0"/>
        <u val="none"/>
        <sz val="10"/>
        <color rgb="FF000000"/>
        <name val="Arial"/>
        <charset val="134"/>
        <scheme val="none"/>
      </font>
      <fill>
        <patternFill patternType="solid">
          <bgColor rgb="FFFFFFFF"/>
        </patternFill>
      </fill>
      <alignment vertical="center" wrapText="1"/>
      <border>
        <left style="thin">
          <color rgb="FFBFBFBF"/>
        </left>
        <right style="thin">
          <color rgb="FFBFBFBF"/>
        </right>
        <top style="thin">
          <color rgb="FFBFBFBF"/>
        </top>
        <bottom style="thin">
          <color rgb="FFBFBFBF"/>
        </bottom>
      </border>
    </dxf>
    <dxf>
      <font>
        <b val="0"/>
        <i val="0"/>
        <strike val="0"/>
        <u val="none"/>
        <sz val="10"/>
        <color rgb="FF000000"/>
        <name val="Arial"/>
        <charset val="134"/>
        <scheme val="none"/>
      </font>
      <fill>
        <patternFill patternType="solid">
          <bgColor rgb="FFFFFFFF"/>
        </patternFill>
      </fill>
      <alignment vertical="center" wrapText="1"/>
      <border>
        <left style="thin">
          <color rgb="FFBFBFBF"/>
        </left>
        <right style="thin">
          <color rgb="FFBFBFBF"/>
        </right>
        <top style="thin">
          <color rgb="FFBFBFBF"/>
        </top>
        <bottom style="thin">
          <color rgb="FFBFBFBF"/>
        </bottom>
      </border>
    </dxf>
    <dxf>
      <font>
        <color rgb="FF9C6500"/>
      </font>
      <fill>
        <patternFill patternType="solid">
          <bgColor rgb="FFFFEB9C"/>
        </patternFill>
      </fill>
    </dxf>
    <dxf>
      <font>
        <color rgb="FF9C0006"/>
      </font>
      <fill>
        <patternFill patternType="solid">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Flight Status Distribution</a:t>
            </a:r>
          </a:p>
        </c:rich>
      </c:tx>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endParaRPr lang="en-US"/>
        </a:p>
      </c:txPr>
    </c:title>
    <c:autoTitleDeleted val="0"/>
    <c:plotArea>
      <c:layout/>
      <c:pieChart>
        <c:varyColors val="1"/>
        <c:ser>
          <c:idx val="0"/>
          <c:order val="0"/>
          <c:tx>
            <c:strRef>
              <c:f>'Stat Analysis'!$G$8</c:f>
              <c:strCache>
                <c:ptCount val="1"/>
                <c:pt idx="0">
                  <c:v>Count</c:v>
                </c:pt>
              </c:strCache>
            </c:strRef>
          </c:tx>
          <c:dPt>
            <c:idx val="0"/>
            <c:bubble3D val="0"/>
            <c:spPr>
              <a:solidFill>
                <a:schemeClr val="accent1"/>
              </a:solidFill>
              <a:ln>
                <a:solidFill>
                  <a:schemeClr val="bg1"/>
                </a:solidFill>
              </a:ln>
              <a:effectLst/>
            </c:spPr>
            <c:extLst>
              <c:ext xmlns:c16="http://schemas.microsoft.com/office/drawing/2014/chart" uri="{C3380CC4-5D6E-409C-BE32-E72D297353CC}">
                <c16:uniqueId val="{00000001-FC20-4FAE-9766-9EDF9DA49E56}"/>
              </c:ext>
            </c:extLst>
          </c:dPt>
          <c:dPt>
            <c:idx val="1"/>
            <c:bubble3D val="0"/>
            <c:spPr>
              <a:solidFill>
                <a:schemeClr val="accent2"/>
              </a:solidFill>
              <a:ln>
                <a:solidFill>
                  <a:schemeClr val="bg1"/>
                </a:solidFill>
              </a:ln>
              <a:effectLst/>
            </c:spPr>
            <c:extLst>
              <c:ext xmlns:c16="http://schemas.microsoft.com/office/drawing/2014/chart" uri="{C3380CC4-5D6E-409C-BE32-E72D297353CC}">
                <c16:uniqueId val="{00000003-FC20-4FAE-9766-9EDF9DA49E56}"/>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FC20-4FAE-9766-9EDF9DA49E56}"/>
              </c:ext>
            </c:extLst>
          </c:dPt>
          <c:dLbls>
            <c:spPr>
              <a:solidFill>
                <a:schemeClr val="accent6">
                  <a:lumMod val="40000"/>
                  <a:lumOff val="60000"/>
                </a:schemeClr>
              </a:solidFill>
              <a:ln>
                <a:noFill/>
              </a:ln>
              <a:effectLst/>
            </c:spPr>
            <c:txPr>
              <a:bodyPr rot="0" spcFirstLastPara="0" vertOverflow="ellipsis" vert="horz" wrap="square" lIns="38100" tIns="19050" rIns="38100" bIns="19050" anchor="ctr" anchorCtr="1"/>
              <a:lstStyle/>
              <a:p>
                <a:pPr>
                  <a:defRPr lang="en-US"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 Analysis'!$F$9:$F$11</c:f>
              <c:strCache>
                <c:ptCount val="3"/>
                <c:pt idx="0">
                  <c:v>On-Time</c:v>
                </c:pt>
                <c:pt idx="1">
                  <c:v>Delayed</c:v>
                </c:pt>
                <c:pt idx="2">
                  <c:v>Cancelled</c:v>
                </c:pt>
              </c:strCache>
            </c:strRef>
          </c:cat>
          <c:val>
            <c:numRef>
              <c:f>'Stat Analysis'!$G$9:$G$11</c:f>
              <c:numCache>
                <c:formatCode>General</c:formatCode>
                <c:ptCount val="3"/>
                <c:pt idx="0">
                  <c:v>335</c:v>
                </c:pt>
                <c:pt idx="1">
                  <c:v>139</c:v>
                </c:pt>
                <c:pt idx="2">
                  <c:v>26</c:v>
                </c:pt>
              </c:numCache>
            </c:numRef>
          </c:val>
          <c:extLst>
            <c:ext xmlns:c16="http://schemas.microsoft.com/office/drawing/2014/chart" uri="{C3380CC4-5D6E-409C-BE32-E72D297353CC}">
              <c16:uniqueId val="{00000006-FC20-4FAE-9766-9EDF9DA49E56}"/>
            </c:ext>
          </c:extLst>
        </c:ser>
        <c:dLbls>
          <c:showLegendKey val="0"/>
          <c:showVal val="1"/>
          <c:showCatName val="0"/>
          <c:showSerName val="0"/>
          <c:showPercent val="1"/>
          <c:showBubbleSize val="0"/>
          <c:showLeaderLines val="1"/>
        </c:dLbls>
        <c:firstSliceAng val="0"/>
      </c:pieChart>
      <c:spPr>
        <a:noFill/>
        <a:ln>
          <a:noFill/>
        </a:ln>
        <a:effectLst/>
      </c:spPr>
    </c:plotArea>
    <c:legend>
      <c:legendPos val="t"/>
      <c:layout>
        <c:manualLayout>
          <c:xMode val="edge"/>
          <c:yMode val="edge"/>
          <c:x val="0.55921052631578905"/>
          <c:y val="0.86921296296296302"/>
        </c:manualLayout>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0f6ccba0-4aef-4cc3-8007-13788e18773d}"/>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Average Ticket Price by Class</a:t>
            </a:r>
          </a:p>
        </c:rich>
      </c:tx>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endParaRPr lang="en-US"/>
        </a:p>
      </c:txPr>
    </c:title>
    <c:autoTitleDeleted val="0"/>
    <c:plotArea>
      <c:layout/>
      <c:barChart>
        <c:barDir val="bar"/>
        <c:grouping val="stacked"/>
        <c:varyColors val="0"/>
        <c:ser>
          <c:idx val="0"/>
          <c:order val="0"/>
          <c:tx>
            <c:strRef>
              <c:f>'Stat Analysis'!$C$37</c:f>
              <c:strCache>
                <c:ptCount val="1"/>
                <c:pt idx="0">
                  <c:v>Average Price</c:v>
                </c:pt>
              </c:strCache>
            </c:strRef>
          </c:tx>
          <c:spPr>
            <a:solidFill>
              <a:schemeClr val="tx2">
                <a:lumMod val="60000"/>
                <a:lumOff val="40000"/>
              </a:schemeClr>
            </a:solidFill>
            <a:ln>
              <a:noFill/>
            </a:ln>
            <a:effectLst/>
          </c:spPr>
          <c:invertIfNegative val="0"/>
          <c:cat>
            <c:strRef>
              <c:f>'Stat Analysis'!$B$38:$B$40</c:f>
              <c:strCache>
                <c:ptCount val="3"/>
                <c:pt idx="0">
                  <c:v>Economy</c:v>
                </c:pt>
                <c:pt idx="1">
                  <c:v>Business</c:v>
                </c:pt>
                <c:pt idx="2">
                  <c:v>First Class</c:v>
                </c:pt>
              </c:strCache>
            </c:strRef>
          </c:cat>
          <c:val>
            <c:numRef>
              <c:f>'Stat Analysis'!$C$38:$C$40</c:f>
              <c:numCache>
                <c:formatCode>General</c:formatCode>
                <c:ptCount val="3"/>
                <c:pt idx="0">
                  <c:v>586.99406028368799</c:v>
                </c:pt>
                <c:pt idx="1">
                  <c:v>624.39862942066895</c:v>
                </c:pt>
                <c:pt idx="2">
                  <c:v>634.106501203991</c:v>
                </c:pt>
              </c:numCache>
            </c:numRef>
          </c:val>
          <c:extLst>
            <c:ext xmlns:c16="http://schemas.microsoft.com/office/drawing/2014/chart" uri="{C3380CC4-5D6E-409C-BE32-E72D297353CC}">
              <c16:uniqueId val="{00000000-4997-414D-89D9-B6A6B381382A}"/>
            </c:ext>
          </c:extLst>
        </c:ser>
        <c:dLbls>
          <c:showLegendKey val="0"/>
          <c:showVal val="0"/>
          <c:showCatName val="0"/>
          <c:showSerName val="0"/>
          <c:showPercent val="0"/>
          <c:showBubbleSize val="0"/>
        </c:dLbls>
        <c:gapWidth val="140"/>
        <c:overlap val="100"/>
        <c:axId val="214043949"/>
        <c:axId val="301961830"/>
      </c:barChart>
      <c:catAx>
        <c:axId val="214043949"/>
        <c:scaling>
          <c:orientation val="minMax"/>
        </c:scaling>
        <c:delete val="0"/>
        <c:axPos val="l"/>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301961830"/>
        <c:crosses val="autoZero"/>
        <c:auto val="1"/>
        <c:lblAlgn val="ctr"/>
        <c:lblOffset val="100"/>
        <c:noMultiLvlLbl val="0"/>
      </c:catAx>
      <c:valAx>
        <c:axId val="301961830"/>
        <c:scaling>
          <c:orientation val="minMax"/>
        </c:scaling>
        <c:delete val="0"/>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214043949"/>
        <c:crosses val="autoZero"/>
        <c:crossBetween val="between"/>
      </c:valAx>
      <c:spPr>
        <a:noFill/>
        <a:ln>
          <a:noFill/>
        </a:ln>
        <a:effectLst/>
      </c:spPr>
    </c:plotArea>
    <c:legend>
      <c:legendPos val="b"/>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d0d16980-608a-4d2a-8d1a-bd2d4c599c29}"/>
      </c:ext>
    </c:extLst>
  </c:chart>
  <c:spPr>
    <a:solidFill>
      <a:schemeClr val="bg2"/>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 2 airline_dataset (2).xlsx]Pivot Tables!PivotTable7</c:name>
    <c:fmtId val="0"/>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Monthly Flight Count 2022-2024</a:t>
            </a:r>
          </a:p>
        </c:rich>
      </c:tx>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Tables'!$C$46</c:f>
              <c:strCache>
                <c:ptCount val="1"/>
                <c:pt idx="0">
                  <c:v>Total</c:v>
                </c:pt>
              </c:strCache>
            </c:strRef>
          </c:tx>
          <c:spPr>
            <a:ln w="28575" cap="rnd">
              <a:solidFill>
                <a:schemeClr val="accent1"/>
              </a:solidFill>
              <a:round/>
            </a:ln>
            <a:effectLst/>
          </c:spPr>
          <c:marker>
            <c:symbol val="none"/>
          </c:marker>
          <c:cat>
            <c:strRef>
              <c:f>'Pivot Tables'!$B$47:$B$82</c:f>
              <c:strCache>
                <c:ptCount val="36"/>
                <c:pt idx="0">
                  <c:v>2022-01</c:v>
                </c:pt>
                <c:pt idx="1">
                  <c:v>2022-02</c:v>
                </c:pt>
                <c:pt idx="2">
                  <c:v>2022-03</c:v>
                </c:pt>
                <c:pt idx="3">
                  <c:v>2022-04</c:v>
                </c:pt>
                <c:pt idx="4">
                  <c:v>2022-05</c:v>
                </c:pt>
                <c:pt idx="5">
                  <c:v>2022-06</c:v>
                </c:pt>
                <c:pt idx="6">
                  <c:v>2022-07</c:v>
                </c:pt>
                <c:pt idx="7">
                  <c:v>2022-08</c:v>
                </c:pt>
                <c:pt idx="8">
                  <c:v>2022-09</c:v>
                </c:pt>
                <c:pt idx="9">
                  <c:v>2022-10</c:v>
                </c:pt>
                <c:pt idx="10">
                  <c:v>2022-11</c:v>
                </c:pt>
                <c:pt idx="11">
                  <c:v>2022-12</c:v>
                </c:pt>
                <c:pt idx="12">
                  <c:v>2023-01</c:v>
                </c:pt>
                <c:pt idx="13">
                  <c:v>2023-02</c:v>
                </c:pt>
                <c:pt idx="14">
                  <c:v>2023-03</c:v>
                </c:pt>
                <c:pt idx="15">
                  <c:v>2023-04</c:v>
                </c:pt>
                <c:pt idx="16">
                  <c:v>2023-05</c:v>
                </c:pt>
                <c:pt idx="17">
                  <c:v>2023-06</c:v>
                </c:pt>
                <c:pt idx="18">
                  <c:v>2023-07</c:v>
                </c:pt>
                <c:pt idx="19">
                  <c:v>2023-08</c:v>
                </c:pt>
                <c:pt idx="20">
                  <c:v>2023-09</c:v>
                </c:pt>
                <c:pt idx="21">
                  <c:v>2023-10</c:v>
                </c:pt>
                <c:pt idx="22">
                  <c:v>2023-11</c:v>
                </c:pt>
                <c:pt idx="23">
                  <c:v>2023-12</c:v>
                </c:pt>
                <c:pt idx="24">
                  <c:v>2024-01</c:v>
                </c:pt>
                <c:pt idx="25">
                  <c:v>2024-02</c:v>
                </c:pt>
                <c:pt idx="26">
                  <c:v>2024-03</c:v>
                </c:pt>
                <c:pt idx="27">
                  <c:v>2024-04</c:v>
                </c:pt>
                <c:pt idx="28">
                  <c:v>2024-05</c:v>
                </c:pt>
                <c:pt idx="29">
                  <c:v>2024-06</c:v>
                </c:pt>
                <c:pt idx="30">
                  <c:v>2024-07</c:v>
                </c:pt>
                <c:pt idx="31">
                  <c:v>2024-08</c:v>
                </c:pt>
                <c:pt idx="32">
                  <c:v>2024-09</c:v>
                </c:pt>
                <c:pt idx="33">
                  <c:v>2024-10</c:v>
                </c:pt>
                <c:pt idx="34">
                  <c:v>2024-11</c:v>
                </c:pt>
                <c:pt idx="35">
                  <c:v>2024-12</c:v>
                </c:pt>
              </c:strCache>
            </c:strRef>
          </c:cat>
          <c:val>
            <c:numRef>
              <c:f>'Pivot Tables'!$C$47:$C$82</c:f>
              <c:numCache>
                <c:formatCode>General</c:formatCode>
                <c:ptCount val="36"/>
                <c:pt idx="0">
                  <c:v>12</c:v>
                </c:pt>
                <c:pt idx="1">
                  <c:v>11</c:v>
                </c:pt>
                <c:pt idx="2">
                  <c:v>17</c:v>
                </c:pt>
                <c:pt idx="3">
                  <c:v>17</c:v>
                </c:pt>
                <c:pt idx="4">
                  <c:v>11</c:v>
                </c:pt>
                <c:pt idx="5">
                  <c:v>18</c:v>
                </c:pt>
                <c:pt idx="6">
                  <c:v>21</c:v>
                </c:pt>
                <c:pt idx="7">
                  <c:v>14</c:v>
                </c:pt>
                <c:pt idx="8">
                  <c:v>14</c:v>
                </c:pt>
                <c:pt idx="9">
                  <c:v>18</c:v>
                </c:pt>
                <c:pt idx="10">
                  <c:v>15</c:v>
                </c:pt>
                <c:pt idx="11">
                  <c:v>12</c:v>
                </c:pt>
                <c:pt idx="12">
                  <c:v>11</c:v>
                </c:pt>
                <c:pt idx="13">
                  <c:v>9</c:v>
                </c:pt>
                <c:pt idx="14">
                  <c:v>15</c:v>
                </c:pt>
                <c:pt idx="15">
                  <c:v>7</c:v>
                </c:pt>
                <c:pt idx="16">
                  <c:v>19</c:v>
                </c:pt>
                <c:pt idx="17">
                  <c:v>12</c:v>
                </c:pt>
                <c:pt idx="18">
                  <c:v>13</c:v>
                </c:pt>
                <c:pt idx="19">
                  <c:v>10</c:v>
                </c:pt>
                <c:pt idx="20">
                  <c:v>12</c:v>
                </c:pt>
                <c:pt idx="21">
                  <c:v>14</c:v>
                </c:pt>
                <c:pt idx="22">
                  <c:v>16</c:v>
                </c:pt>
                <c:pt idx="23">
                  <c:v>13</c:v>
                </c:pt>
                <c:pt idx="24">
                  <c:v>16</c:v>
                </c:pt>
                <c:pt idx="25">
                  <c:v>15</c:v>
                </c:pt>
                <c:pt idx="26">
                  <c:v>15</c:v>
                </c:pt>
                <c:pt idx="27">
                  <c:v>9</c:v>
                </c:pt>
                <c:pt idx="28">
                  <c:v>21</c:v>
                </c:pt>
                <c:pt idx="29">
                  <c:v>15</c:v>
                </c:pt>
                <c:pt idx="30">
                  <c:v>13</c:v>
                </c:pt>
                <c:pt idx="31">
                  <c:v>14</c:v>
                </c:pt>
                <c:pt idx="32">
                  <c:v>12</c:v>
                </c:pt>
                <c:pt idx="33">
                  <c:v>10</c:v>
                </c:pt>
                <c:pt idx="34">
                  <c:v>13</c:v>
                </c:pt>
                <c:pt idx="35">
                  <c:v>16</c:v>
                </c:pt>
              </c:numCache>
            </c:numRef>
          </c:val>
          <c:smooth val="0"/>
          <c:extLst>
            <c:ext xmlns:c16="http://schemas.microsoft.com/office/drawing/2014/chart" uri="{C3380CC4-5D6E-409C-BE32-E72D297353CC}">
              <c16:uniqueId val="{00000000-AFBB-4728-BBCD-0978BF2F552B}"/>
            </c:ext>
          </c:extLst>
        </c:ser>
        <c:dLbls>
          <c:showLegendKey val="0"/>
          <c:showVal val="0"/>
          <c:showCatName val="0"/>
          <c:showSerName val="0"/>
          <c:showPercent val="0"/>
          <c:showBubbleSize val="0"/>
        </c:dLbls>
        <c:smooth val="0"/>
        <c:axId val="27646864"/>
        <c:axId val="453901895"/>
      </c:lineChart>
      <c:catAx>
        <c:axId val="27646864"/>
        <c:scaling>
          <c:orientation val="minMax"/>
        </c:scaling>
        <c:delete val="0"/>
        <c:axPos val="b"/>
        <c:title>
          <c:tx>
            <c:rich>
              <a:bodyPr rot="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t>Month</a:t>
                </a:r>
              </a:p>
            </c:rich>
          </c:tx>
          <c:overlay val="0"/>
          <c:spPr>
            <a:noFill/>
            <a:ln>
              <a:noFill/>
            </a:ln>
            <a:effectLst/>
          </c:spPr>
          <c:txPr>
            <a:bodyPr rot="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453901895"/>
        <c:crosses val="autoZero"/>
        <c:auto val="1"/>
        <c:lblAlgn val="ctr"/>
        <c:lblOffset val="100"/>
        <c:noMultiLvlLbl val="0"/>
      </c:catAx>
      <c:valAx>
        <c:axId val="453901895"/>
        <c:scaling>
          <c:orientation val="minMax"/>
        </c:scaling>
        <c:delete val="0"/>
        <c:axPos val="l"/>
        <c:majorGridlines>
          <c:spPr>
            <a:ln w="9525" cap="flat" cmpd="sng" algn="ctr">
              <a:solidFill>
                <a:schemeClr val="lt1">
                  <a:lumMod val="90200"/>
                </a:schemeClr>
              </a:solidFill>
              <a:round/>
            </a:ln>
            <a:effectLst/>
          </c:spPr>
        </c:majorGridlines>
        <c:title>
          <c:tx>
            <c:rich>
              <a:bodyPr rot="-540000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t>Number of Flights</a:t>
                </a:r>
              </a:p>
            </c:rich>
          </c:tx>
          <c:overlay val="0"/>
          <c:spPr>
            <a:noFill/>
            <a:ln>
              <a:noFill/>
            </a:ln>
            <a:effectLst/>
          </c:spPr>
          <c:txPr>
            <a:bodyPr rot="-540000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27646864"/>
        <c:crosses val="autoZero"/>
        <c:crossBetween val="between"/>
      </c:valAx>
      <c:spPr>
        <a:noFill/>
        <a:ln>
          <a:noFill/>
        </a:ln>
        <a:effectLst/>
      </c:spPr>
    </c:plotArea>
    <c:plotVisOnly val="1"/>
    <c:dispBlanksAs val="gap"/>
    <c:showDLblsOverMax val="0"/>
    <c:extLst>
      <c:ext uri="{0b15fc19-7d7d-44ad-8c2d-2c3a37ce22c3}">
        <chartProps xmlns="https://web.wps.cn/et/2018/main" chartId="{fb45fcf2-f875-4ff7-b512-20e5b2ffef4c}"/>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rPr b="1"/>
              <a:t>Top 5 Airlines by Total Revenue</a:t>
            </a:r>
          </a:p>
        </c:rich>
      </c:tx>
      <c:layout>
        <c:manualLayout>
          <c:xMode val="edge"/>
          <c:yMode val="edge"/>
          <c:x val="0.20921052631578901"/>
          <c:y val="6.25E-2"/>
        </c:manualLayout>
      </c:layout>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tx>
            <c:strRef>
              <c:f>'Stat Analysis'!$C$45</c:f>
              <c:strCache>
                <c:ptCount val="1"/>
                <c:pt idx="0">
                  <c:v>Sum of Total Revenue</c:v>
                </c:pt>
              </c:strCache>
            </c:strRef>
          </c:tx>
          <c:spPr>
            <a:solidFill>
              <a:schemeClr val="accent1"/>
            </a:solidFill>
            <a:ln>
              <a:noFill/>
            </a:ln>
            <a:effectLst/>
          </c:spPr>
          <c:invertIfNegative val="0"/>
          <c:dLbls>
            <c:numFmt formatCode="&quot;$&quot;#,##0.00_);[Red]\(&quot;$&quot;#,##0.00\)" sourceLinked="0"/>
            <c:spPr>
              <a:solidFill>
                <a:schemeClr val="accent6">
                  <a:lumMod val="40000"/>
                  <a:lumOff val="60000"/>
                </a:schemeClr>
              </a:solidFill>
              <a:ln>
                <a:noFill/>
              </a:ln>
              <a:effectLst/>
            </c:spPr>
            <c:txPr>
              <a:bodyPr rot="0" spcFirstLastPara="0" vertOverflow="ellipsis" vert="horz" wrap="square" lIns="38100" tIns="19050" rIns="38100" bIns="19050" anchor="ctr" anchorCtr="1"/>
              <a:lstStyle/>
              <a:p>
                <a:pPr>
                  <a:defRPr lang="en-US"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'[1]Stat Analysis'!$B$46:$B$50</c:f>
              <c:strCache>
                <c:ptCount val="5"/>
                <c:pt idx="0">
                  <c:v>United</c:v>
                </c:pt>
                <c:pt idx="1">
                  <c:v>American</c:v>
                </c:pt>
                <c:pt idx="2">
                  <c:v>Alaska</c:v>
                </c:pt>
                <c:pt idx="3">
                  <c:v>Spirit</c:v>
                </c:pt>
                <c:pt idx="4">
                  <c:v>Southwest</c:v>
                </c:pt>
              </c:strCache>
            </c:strRef>
          </c:cat>
          <c:val>
            <c:numRef>
              <c:f>'[1]Stat Analysis'!$C$46:$C$50</c:f>
              <c:numCache>
                <c:formatCode>_ * #,##0.00_ ;_ * \-#,##0.00_ ;_ * "-"??_ ;_ @_ </c:formatCode>
                <c:ptCount val="5"/>
                <c:pt idx="0">
                  <c:v>5204994.5633430202</c:v>
                </c:pt>
                <c:pt idx="1">
                  <c:v>5403300.8071366297</c:v>
                </c:pt>
                <c:pt idx="2">
                  <c:v>5660190.6780701801</c:v>
                </c:pt>
                <c:pt idx="3">
                  <c:v>6084130.6482848804</c:v>
                </c:pt>
                <c:pt idx="4">
                  <c:v>6470138.3600000003</c:v>
                </c:pt>
              </c:numCache>
            </c:numRef>
          </c:val>
          <c:extLst>
            <c:ext xmlns:c16="http://schemas.microsoft.com/office/drawing/2014/chart" uri="{C3380CC4-5D6E-409C-BE32-E72D297353CC}">
              <c16:uniqueId val="{00000000-E5EA-4ED5-A31A-2CDDE5E8BC34}"/>
            </c:ext>
          </c:extLst>
        </c:ser>
        <c:dLbls>
          <c:showLegendKey val="0"/>
          <c:showVal val="1"/>
          <c:showCatName val="0"/>
          <c:showSerName val="0"/>
          <c:showPercent val="0"/>
          <c:showBubbleSize val="0"/>
        </c:dLbls>
        <c:gapWidth val="140"/>
        <c:overlap val="-40"/>
        <c:axId val="70980376"/>
        <c:axId val="142618009"/>
      </c:barChart>
      <c:catAx>
        <c:axId val="70980376"/>
        <c:scaling>
          <c:orientation val="minMax"/>
        </c:scaling>
        <c:delete val="0"/>
        <c:axPos val="l"/>
        <c:title>
          <c:tx>
            <c:rich>
              <a:bodyPr rot="-5400000" spcFirstLastPara="0" vertOverflow="ellipsis" vert="horz" wrap="square" anchor="ctr" anchorCtr="1"/>
              <a:lstStyle/>
              <a:p>
                <a:pPr defTabSz="914400">
                  <a:defRPr lang="en-US" sz="1000" b="1" i="0" u="none" strike="noStrike" kern="1200" baseline="0">
                    <a:solidFill>
                      <a:schemeClr val="tx1">
                        <a:lumMod val="65000"/>
                        <a:lumOff val="35000"/>
                      </a:schemeClr>
                    </a:solidFill>
                    <a:latin typeface="+mn-lt"/>
                    <a:ea typeface="+mn-ea"/>
                    <a:cs typeface="+mn-cs"/>
                  </a:defRPr>
                </a:pPr>
                <a:r>
                  <a:rPr b="1"/>
                  <a:t>Airline</a:t>
                </a:r>
              </a:p>
            </c:rich>
          </c:tx>
          <c:overlay val="0"/>
          <c:spPr>
            <a:noFill/>
            <a:ln>
              <a:noFill/>
            </a:ln>
            <a:effectLst/>
          </c:spPr>
          <c:txPr>
            <a:bodyPr rot="-5400000" spcFirstLastPara="0" vertOverflow="ellipsis" vert="horz" wrap="square" anchor="ctr" anchorCtr="1"/>
            <a:lstStyle/>
            <a:p>
              <a:pPr defTabSz="914400">
                <a:defRPr lang="en-US"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endParaRPr lang="en-US"/>
          </a:p>
        </c:txPr>
        <c:crossAx val="142618009"/>
        <c:crosses val="autoZero"/>
        <c:auto val="1"/>
        <c:lblAlgn val="ctr"/>
        <c:lblOffset val="100"/>
        <c:noMultiLvlLbl val="0"/>
      </c:catAx>
      <c:valAx>
        <c:axId val="142618009"/>
        <c:scaling>
          <c:orientation val="minMax"/>
        </c:scaling>
        <c:delete val="1"/>
        <c:axPos val="b"/>
        <c:majorGridlines>
          <c:spPr>
            <a:ln w="9525" cap="flat" cmpd="sng" algn="ctr">
              <a:solidFill>
                <a:schemeClr val="lt1">
                  <a:lumMod val="90200"/>
                </a:schemeClr>
              </a:solidFill>
              <a:round/>
            </a:ln>
            <a:effectLst/>
          </c:spPr>
        </c:majorGridlines>
        <c:title>
          <c:tx>
            <c:rich>
              <a:bodyPr rot="0" spcFirstLastPara="0" vertOverflow="ellipsis" vert="horz" wrap="square" anchor="ctr" anchorCtr="1"/>
              <a:lstStyle/>
              <a:p>
                <a:pPr defTabSz="914400">
                  <a:defRPr lang="en-US" sz="1000" b="1" i="0" u="none" strike="noStrike" kern="1200" baseline="0">
                    <a:solidFill>
                      <a:schemeClr val="tx1">
                        <a:lumMod val="65000"/>
                        <a:lumOff val="35000"/>
                      </a:schemeClr>
                    </a:solidFill>
                    <a:latin typeface="+mn-lt"/>
                    <a:ea typeface="+mn-ea"/>
                    <a:cs typeface="+mn-cs"/>
                  </a:defRPr>
                </a:pPr>
                <a:r>
                  <a:rPr b="1"/>
                  <a:t>Total Revenue ($)</a:t>
                </a:r>
              </a:p>
            </c:rich>
          </c:tx>
          <c:overlay val="0"/>
          <c:spPr>
            <a:noFill/>
            <a:ln>
              <a:noFill/>
            </a:ln>
            <a:effectLst/>
          </c:spPr>
          <c:txPr>
            <a:bodyPr rot="0" spcFirstLastPara="0" vertOverflow="ellipsis" vert="horz" wrap="square" anchor="ctr" anchorCtr="1"/>
            <a:lstStyle/>
            <a:p>
              <a:pPr defTabSz="914400">
                <a:defRPr lang="en-US" sz="1000" b="1" i="0" u="none" strike="noStrike" kern="1200" baseline="0">
                  <a:solidFill>
                    <a:schemeClr val="tx1">
                      <a:lumMod val="65000"/>
                      <a:lumOff val="35000"/>
                    </a:schemeClr>
                  </a:solidFill>
                  <a:latin typeface="+mn-lt"/>
                  <a:ea typeface="+mn-ea"/>
                  <a:cs typeface="+mn-cs"/>
                </a:defRPr>
              </a:pPr>
              <a:endParaRPr lang="en-US"/>
            </a:p>
          </c:txPr>
        </c:title>
        <c:numFmt formatCode="_ * #,##0.00_ ;_ * \-#,##0.00_ ;_ * &quot;-&quot;??_ ;_ @_ " sourceLinked="1"/>
        <c:majorTickMark val="none"/>
        <c:minorTickMark val="none"/>
        <c:tickLblPos val="nextTo"/>
        <c:crossAx val="70980376"/>
        <c:crosses val="autoZero"/>
        <c:crossBetween val="between"/>
      </c:valAx>
      <c:spPr>
        <a:noFill/>
        <a:ln>
          <a:noFill/>
        </a:ln>
        <a:effectLst/>
      </c:spPr>
    </c:plotArea>
    <c:plotVisOnly val="1"/>
    <c:dispBlanksAs val="gap"/>
    <c:showDLblsOverMax val="0"/>
    <c:extLst>
      <c:ext uri="{0b15fc19-7d7d-44ad-8c2d-2c3a37ce22c3}">
        <chartProps xmlns="https://web.wps.cn/et/2018/main" chartId="{702f7a50-dfe0-4a21-acd9-3dc388737185}"/>
      </c:ext>
    </c:extLst>
  </c:chart>
  <c:spPr>
    <a:solidFill>
      <a:schemeClr val="bg1"/>
    </a:solidFill>
    <a:ln w="9525" cap="flat" cmpd="sng" algn="ctr">
      <a:solidFill>
        <a:schemeClr val="tx1">
          <a:lumMod val="15000"/>
          <a:lumOff val="85000"/>
        </a:schemeClr>
      </a:solidFill>
      <a:round/>
    </a:ln>
    <a:effectLst/>
  </c:spPr>
  <c:txPr>
    <a:bodyPr/>
    <a:lstStyle/>
    <a:p>
      <a:pPr>
        <a:defRPr lang="en-US" b="1"/>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rPr b="1"/>
              <a:t>Delay Minutes Distribution</a:t>
            </a:r>
          </a:p>
        </c:rich>
      </c:tx>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strRef>
              <c:f>'Stat Analysis'!$C$55</c:f>
              <c:strCache>
                <c:ptCount val="1"/>
                <c:pt idx="0">
                  <c:v>Count</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 Analysis'!$B$56:$B$62</c:f>
              <c:strCache>
                <c:ptCount val="7"/>
                <c:pt idx="0">
                  <c:v>0 Mins(No Delay)</c:v>
                </c:pt>
                <c:pt idx="1">
                  <c:v>0-30 Mins</c:v>
                </c:pt>
                <c:pt idx="2">
                  <c:v>31-60 Mins</c:v>
                </c:pt>
                <c:pt idx="3">
                  <c:v>61-90 Mins</c:v>
                </c:pt>
                <c:pt idx="4">
                  <c:v>91-120 Mins</c:v>
                </c:pt>
                <c:pt idx="5">
                  <c:v>121-150 Mins</c:v>
                </c:pt>
                <c:pt idx="6">
                  <c:v>151-180 Mins</c:v>
                </c:pt>
              </c:strCache>
            </c:strRef>
          </c:cat>
          <c:val>
            <c:numRef>
              <c:f>'Stat Analysis'!$C$56:$C$62</c:f>
              <c:numCache>
                <c:formatCode>General</c:formatCode>
                <c:ptCount val="7"/>
                <c:pt idx="0">
                  <c:v>367</c:v>
                </c:pt>
                <c:pt idx="1">
                  <c:v>15</c:v>
                </c:pt>
                <c:pt idx="2">
                  <c:v>27</c:v>
                </c:pt>
                <c:pt idx="3">
                  <c:v>23</c:v>
                </c:pt>
                <c:pt idx="4">
                  <c:v>23</c:v>
                </c:pt>
                <c:pt idx="5">
                  <c:v>21</c:v>
                </c:pt>
                <c:pt idx="6">
                  <c:v>24</c:v>
                </c:pt>
              </c:numCache>
            </c:numRef>
          </c:val>
          <c:extLst>
            <c:ext xmlns:c16="http://schemas.microsoft.com/office/drawing/2014/chart" uri="{C3380CC4-5D6E-409C-BE32-E72D297353CC}">
              <c16:uniqueId val="{00000000-0F67-462E-A1D6-7C5D0FAB67E7}"/>
            </c:ext>
          </c:extLst>
        </c:ser>
        <c:dLbls>
          <c:showLegendKey val="0"/>
          <c:showVal val="1"/>
          <c:showCatName val="0"/>
          <c:showSerName val="0"/>
          <c:showPercent val="0"/>
          <c:showBubbleSize val="0"/>
        </c:dLbls>
        <c:gapWidth val="0"/>
        <c:overlap val="-28"/>
        <c:axId val="481121815"/>
        <c:axId val="896192437"/>
      </c:barChart>
      <c:catAx>
        <c:axId val="481121815"/>
        <c:scaling>
          <c:orientation val="minMax"/>
        </c:scaling>
        <c:delete val="0"/>
        <c:axPos val="b"/>
        <c:title>
          <c:tx>
            <c:rich>
              <a:bodyPr rot="0" spcFirstLastPara="0" vertOverflow="ellipsis" vert="horz" wrap="square" anchor="ctr" anchorCtr="1"/>
              <a:lstStyle/>
              <a:p>
                <a:pPr defTabSz="914400">
                  <a:defRPr lang="en-US" sz="1000" b="1" i="0" u="none" strike="noStrike" kern="1200" baseline="0">
                    <a:solidFill>
                      <a:schemeClr val="tx1">
                        <a:lumMod val="65000"/>
                        <a:lumOff val="35000"/>
                      </a:schemeClr>
                    </a:solidFill>
                    <a:latin typeface="+mn-lt"/>
                    <a:ea typeface="+mn-ea"/>
                    <a:cs typeface="+mn-cs"/>
                  </a:defRPr>
                </a:pPr>
                <a:r>
                  <a:rPr b="1"/>
                  <a:t>Delay Range</a:t>
                </a:r>
              </a:p>
            </c:rich>
          </c:tx>
          <c:overlay val="0"/>
          <c:spPr>
            <a:noFill/>
            <a:ln>
              <a:noFill/>
            </a:ln>
            <a:effectLst/>
          </c:spPr>
          <c:txPr>
            <a:bodyPr rot="0" spcFirstLastPara="0" vertOverflow="ellipsis" vert="horz" wrap="square" anchor="ctr" anchorCtr="1"/>
            <a:lstStyle/>
            <a:p>
              <a:pPr defTabSz="914400">
                <a:defRPr lang="en-US"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endParaRPr lang="en-US"/>
          </a:p>
        </c:txPr>
        <c:crossAx val="896192437"/>
        <c:crosses val="autoZero"/>
        <c:auto val="1"/>
        <c:lblAlgn val="ctr"/>
        <c:lblOffset val="100"/>
        <c:noMultiLvlLbl val="0"/>
      </c:catAx>
      <c:valAx>
        <c:axId val="896192437"/>
        <c:scaling>
          <c:orientation val="minMax"/>
        </c:scaling>
        <c:delete val="1"/>
        <c:axPos val="l"/>
        <c:majorGridlines>
          <c:spPr>
            <a:ln w="9525" cap="flat" cmpd="sng" algn="ctr">
              <a:solidFill>
                <a:schemeClr val="lt1">
                  <a:lumMod val="90200"/>
                </a:schemeClr>
              </a:solidFill>
              <a:round/>
            </a:ln>
            <a:effectLst/>
          </c:spPr>
        </c:majorGridlines>
        <c:title>
          <c:tx>
            <c:rich>
              <a:bodyPr rot="-5400000" spcFirstLastPara="0" vertOverflow="ellipsis" vert="horz" wrap="square" anchor="ctr" anchorCtr="1"/>
              <a:lstStyle/>
              <a:p>
                <a:pPr defTabSz="914400">
                  <a:defRPr lang="en-US" sz="1000" b="1" i="0" u="none" strike="noStrike" kern="1200" baseline="0">
                    <a:solidFill>
                      <a:schemeClr val="tx1">
                        <a:lumMod val="65000"/>
                        <a:lumOff val="35000"/>
                      </a:schemeClr>
                    </a:solidFill>
                    <a:latin typeface="+mn-lt"/>
                    <a:ea typeface="+mn-ea"/>
                    <a:cs typeface="+mn-cs"/>
                  </a:defRPr>
                </a:pPr>
                <a:r>
                  <a:rPr b="1"/>
                  <a:t>Number of Flights</a:t>
                </a:r>
              </a:p>
            </c:rich>
          </c:tx>
          <c:overlay val="0"/>
          <c:spPr>
            <a:noFill/>
            <a:ln>
              <a:noFill/>
            </a:ln>
            <a:effectLst/>
          </c:spPr>
          <c:txPr>
            <a:bodyPr rot="-5400000" spcFirstLastPara="0" vertOverflow="ellipsis" vert="horz" wrap="square" anchor="ctr" anchorCtr="1"/>
            <a:lstStyle/>
            <a:p>
              <a:pPr defTabSz="914400">
                <a:defRPr lang="en-US"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481121815"/>
        <c:crosses val="autoZero"/>
        <c:crossBetween val="between"/>
      </c:valAx>
      <c:spPr>
        <a:noFill/>
        <a:ln>
          <a:noFill/>
        </a:ln>
        <a:effectLst/>
      </c:spPr>
    </c:plotArea>
    <c:plotVisOnly val="1"/>
    <c:dispBlanksAs val="gap"/>
    <c:showDLblsOverMax val="0"/>
    <c:extLst>
      <c:ext uri="{0b15fc19-7d7d-44ad-8c2d-2c3a37ce22c3}">
        <chartProps xmlns="https://web.wps.cn/et/2018/main" chartId="{b12c06fc-3108-43bc-abc5-4cd402794ea3}"/>
      </c:ext>
    </c:extLst>
  </c:chart>
  <c:spPr>
    <a:solidFill>
      <a:schemeClr val="bg1"/>
    </a:solidFill>
    <a:ln w="9525" cap="flat" cmpd="sng" algn="ctr">
      <a:solidFill>
        <a:schemeClr val="tx1">
          <a:lumMod val="15000"/>
          <a:lumOff val="85000"/>
        </a:schemeClr>
      </a:solidFill>
      <a:round/>
    </a:ln>
    <a:effectLst/>
  </c:spPr>
  <c:txPr>
    <a:bodyPr/>
    <a:lstStyle/>
    <a:p>
      <a:pPr>
        <a:defRPr lang="en-US" b="1"/>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rPr b="1"/>
              <a:t>Average Occupancy Rate by Airline</a:t>
            </a:r>
          </a:p>
        </c:rich>
      </c:tx>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strRef>
              <c:f>'Stat Analysis'!$C$66</c:f>
              <c:strCache>
                <c:ptCount val="1"/>
                <c:pt idx="0">
                  <c:v>Avg Occupancy Rate %</c:v>
                </c:pt>
              </c:strCache>
            </c:strRef>
          </c:tx>
          <c:spPr>
            <a:solidFill>
              <a:schemeClr val="accent1"/>
            </a:solidFill>
            <a:ln>
              <a:noFill/>
            </a:ln>
            <a:effectLst/>
          </c:spPr>
          <c:invertIfNegative val="0"/>
          <c:cat>
            <c:strRef>
              <c:f>'Stat Analysis'!$B$67:$B$74</c:f>
              <c:strCache>
                <c:ptCount val="8"/>
                <c:pt idx="0">
                  <c:v>Southwest</c:v>
                </c:pt>
                <c:pt idx="1">
                  <c:v>Alaska</c:v>
                </c:pt>
                <c:pt idx="2">
                  <c:v>Delta</c:v>
                </c:pt>
                <c:pt idx="3">
                  <c:v>Frontier</c:v>
                </c:pt>
                <c:pt idx="4">
                  <c:v>American</c:v>
                </c:pt>
                <c:pt idx="5">
                  <c:v>United</c:v>
                </c:pt>
                <c:pt idx="6">
                  <c:v>Spirit</c:v>
                </c:pt>
                <c:pt idx="7">
                  <c:v>JetBlue</c:v>
                </c:pt>
              </c:strCache>
            </c:strRef>
          </c:cat>
          <c:val>
            <c:numRef>
              <c:f>'Stat Analysis'!$C$67:$C$74</c:f>
              <c:numCache>
                <c:formatCode>General</c:formatCode>
                <c:ptCount val="8"/>
                <c:pt idx="0">
                  <c:v>66.331758914475998</c:v>
                </c:pt>
                <c:pt idx="1">
                  <c:v>64.463336382171207</c:v>
                </c:pt>
                <c:pt idx="2">
                  <c:v>62.6785982827572</c:v>
                </c:pt>
                <c:pt idx="3">
                  <c:v>62.0681507541629</c:v>
                </c:pt>
                <c:pt idx="4">
                  <c:v>61.675340287807302</c:v>
                </c:pt>
                <c:pt idx="5">
                  <c:v>61.6163376932479</c:v>
                </c:pt>
                <c:pt idx="6">
                  <c:v>60.596170760131898</c:v>
                </c:pt>
                <c:pt idx="7">
                  <c:v>58.717656198185097</c:v>
                </c:pt>
              </c:numCache>
            </c:numRef>
          </c:val>
          <c:extLst>
            <c:ext xmlns:c16="http://schemas.microsoft.com/office/drawing/2014/chart" uri="{C3380CC4-5D6E-409C-BE32-E72D297353CC}">
              <c16:uniqueId val="{00000000-6794-42FE-B348-96B6D4331033}"/>
            </c:ext>
          </c:extLst>
        </c:ser>
        <c:dLbls>
          <c:showLegendKey val="0"/>
          <c:showVal val="0"/>
          <c:showCatName val="0"/>
          <c:showSerName val="0"/>
          <c:showPercent val="0"/>
          <c:showBubbleSize val="0"/>
        </c:dLbls>
        <c:gapWidth val="246"/>
        <c:overlap val="-28"/>
        <c:axId val="777136667"/>
        <c:axId val="980289022"/>
      </c:barChart>
      <c:catAx>
        <c:axId val="777136667"/>
        <c:scaling>
          <c:orientation val="minMax"/>
        </c:scaling>
        <c:delete val="0"/>
        <c:axPos val="b"/>
        <c:title>
          <c:tx>
            <c:rich>
              <a:bodyPr rot="0" spcFirstLastPara="0" vertOverflow="ellipsis" vert="horz" wrap="square" anchor="ctr" anchorCtr="1"/>
              <a:lstStyle/>
              <a:p>
                <a:pPr defTabSz="914400">
                  <a:defRPr lang="en-US" sz="1000" b="1" i="0" u="none" strike="noStrike" kern="1200" baseline="0">
                    <a:solidFill>
                      <a:schemeClr val="tx1">
                        <a:lumMod val="65000"/>
                        <a:lumOff val="35000"/>
                      </a:schemeClr>
                    </a:solidFill>
                    <a:latin typeface="+mn-lt"/>
                    <a:ea typeface="+mn-ea"/>
                    <a:cs typeface="+mn-cs"/>
                  </a:defRPr>
                </a:pPr>
                <a:r>
                  <a:rPr b="1"/>
                  <a:t>Airline</a:t>
                </a:r>
              </a:p>
            </c:rich>
          </c:tx>
          <c:overlay val="0"/>
          <c:spPr>
            <a:noFill/>
            <a:ln>
              <a:noFill/>
            </a:ln>
            <a:effectLst/>
          </c:spPr>
          <c:txPr>
            <a:bodyPr rot="0" spcFirstLastPara="0" vertOverflow="ellipsis" vert="horz" wrap="square" anchor="ctr" anchorCtr="1"/>
            <a:lstStyle/>
            <a:p>
              <a:pPr defTabSz="914400">
                <a:defRPr lang="en-US"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endParaRPr lang="en-US"/>
          </a:p>
        </c:txPr>
        <c:crossAx val="980289022"/>
        <c:crosses val="autoZero"/>
        <c:auto val="1"/>
        <c:lblAlgn val="ctr"/>
        <c:lblOffset val="100"/>
        <c:noMultiLvlLbl val="0"/>
      </c:catAx>
      <c:valAx>
        <c:axId val="980289022"/>
        <c:scaling>
          <c:orientation val="minMax"/>
        </c:scaling>
        <c:delete val="0"/>
        <c:axPos val="l"/>
        <c:majorGridlines>
          <c:spPr>
            <a:ln w="9525" cap="flat" cmpd="sng" algn="ctr">
              <a:solidFill>
                <a:schemeClr val="lt1">
                  <a:lumMod val="90200"/>
                </a:schemeClr>
              </a:solidFill>
              <a:round/>
            </a:ln>
            <a:effectLst/>
          </c:spPr>
        </c:majorGridlines>
        <c:title>
          <c:tx>
            <c:rich>
              <a:bodyPr rot="-5400000" spcFirstLastPara="0" vertOverflow="ellipsis" vert="horz" wrap="square" anchor="ctr" anchorCtr="1"/>
              <a:lstStyle/>
              <a:p>
                <a:pPr defTabSz="914400">
                  <a:defRPr lang="en-US" sz="1000" b="1" i="0" u="none" strike="noStrike" kern="1200" baseline="0">
                    <a:solidFill>
                      <a:schemeClr val="tx1">
                        <a:lumMod val="65000"/>
                        <a:lumOff val="35000"/>
                      </a:schemeClr>
                    </a:solidFill>
                    <a:latin typeface="+mn-lt"/>
                    <a:ea typeface="+mn-ea"/>
                    <a:cs typeface="+mn-cs"/>
                  </a:defRPr>
                </a:pPr>
                <a:r>
                  <a:rPr b="1"/>
                  <a:t>Occupancy Rate (%)</a:t>
                </a:r>
              </a:p>
            </c:rich>
          </c:tx>
          <c:overlay val="0"/>
          <c:spPr>
            <a:noFill/>
            <a:ln>
              <a:noFill/>
            </a:ln>
            <a:effectLst/>
          </c:spPr>
          <c:txPr>
            <a:bodyPr rot="-5400000" spcFirstLastPara="0" vertOverflow="ellipsis" vert="horz" wrap="square" anchor="ctr" anchorCtr="1"/>
            <a:lstStyle/>
            <a:p>
              <a:pPr defTabSz="914400">
                <a:defRPr lang="en-US"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endParaRPr lang="en-US"/>
          </a:p>
        </c:txPr>
        <c:crossAx val="777136667"/>
        <c:crosses val="autoZero"/>
        <c:crossBetween val="between"/>
      </c:valAx>
      <c:spPr>
        <a:noFill/>
        <a:ln>
          <a:noFill/>
        </a:ln>
        <a:effectLst/>
      </c:spPr>
    </c:plotArea>
    <c:plotVisOnly val="1"/>
    <c:dispBlanksAs val="gap"/>
    <c:showDLblsOverMax val="0"/>
    <c:extLst>
      <c:ext uri="{0b15fc19-7d7d-44ad-8c2d-2c3a37ce22c3}">
        <chartProps xmlns="https://web.wps.cn/et/2018/main" chartId="{59f28c5e-d330-4d7f-b54b-9f92657c8b3c}"/>
      </c:ext>
    </c:extLst>
  </c:chart>
  <c:spPr>
    <a:solidFill>
      <a:schemeClr val="bg1"/>
    </a:solidFill>
    <a:ln w="9525" cap="flat" cmpd="sng" algn="ctr">
      <a:solidFill>
        <a:schemeClr val="tx1">
          <a:lumMod val="15000"/>
          <a:lumOff val="85000"/>
        </a:schemeClr>
      </a:solidFill>
      <a:round/>
    </a:ln>
    <a:effectLst/>
  </c:spPr>
  <c:txPr>
    <a:bodyPr/>
    <a:lstStyle/>
    <a:p>
      <a:pPr>
        <a:defRPr lang="en-US" b="1"/>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rPr b="1"/>
              <a:t>Profit vs Fuel Cost</a:t>
            </a:r>
          </a:p>
        </c:rich>
      </c:tx>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endParaRPr lang="en-US"/>
        </a:p>
      </c:txPr>
    </c:title>
    <c:autoTitleDeleted val="0"/>
    <c:plotArea>
      <c:layout/>
      <c:scatterChart>
        <c:scatterStyle val="lineMarker"/>
        <c:varyColors val="0"/>
        <c:ser>
          <c:idx val="0"/>
          <c:order val="0"/>
          <c:tx>
            <c:strRef>
              <c:f>'💰 Revenue (2)'!$J$1</c:f>
              <c:strCache>
                <c:ptCount val="1"/>
                <c:pt idx="0">
                  <c:v>Profit</c:v>
                </c:pt>
              </c:strCache>
            </c:strRef>
          </c:tx>
          <c:spPr>
            <a:ln w="19050" cap="rnd">
              <a:noFill/>
              <a:round/>
            </a:ln>
            <a:effectLst/>
          </c:spPr>
          <c:marker>
            <c:symbol val="circle"/>
            <c:size val="5"/>
            <c:spPr>
              <a:solidFill>
                <a:schemeClr val="accent1"/>
              </a:solidFill>
              <a:ln w="9525">
                <a:solidFill>
                  <a:schemeClr val="accent1"/>
                </a:solidFill>
              </a:ln>
              <a:effectLst/>
            </c:spPr>
          </c:marker>
          <c:xVal>
            <c:numRef>
              <c:f>'💰 Revenue (2)'!$I$2:$I$509</c:f>
              <c:numCache>
                <c:formatCode>General</c:formatCode>
                <c:ptCount val="508"/>
                <c:pt idx="0">
                  <c:v>8636.75</c:v>
                </c:pt>
                <c:pt idx="1">
                  <c:v>13816.36</c:v>
                </c:pt>
                <c:pt idx="2">
                  <c:v>25794.85</c:v>
                </c:pt>
                <c:pt idx="3">
                  <c:v>27332.9</c:v>
                </c:pt>
                <c:pt idx="4">
                  <c:v>26164</c:v>
                </c:pt>
                <c:pt idx="5">
                  <c:v>29347.88</c:v>
                </c:pt>
                <c:pt idx="6">
                  <c:v>7650</c:v>
                </c:pt>
                <c:pt idx="7">
                  <c:v>29227.75</c:v>
                </c:pt>
                <c:pt idx="8">
                  <c:v>32325.599999999999</c:v>
                </c:pt>
                <c:pt idx="9">
                  <c:v>16642.919999999998</c:v>
                </c:pt>
                <c:pt idx="10">
                  <c:v>7428.95</c:v>
                </c:pt>
                <c:pt idx="11">
                  <c:v>11245.48</c:v>
                </c:pt>
                <c:pt idx="12">
                  <c:v>20093.88</c:v>
                </c:pt>
                <c:pt idx="13">
                  <c:v>30039.01</c:v>
                </c:pt>
                <c:pt idx="14">
                  <c:v>30464.080000000002</c:v>
                </c:pt>
                <c:pt idx="15">
                  <c:v>10209.9</c:v>
                </c:pt>
                <c:pt idx="16">
                  <c:v>14325.28</c:v>
                </c:pt>
                <c:pt idx="17">
                  <c:v>23038.41</c:v>
                </c:pt>
                <c:pt idx="18">
                  <c:v>19136.95</c:v>
                </c:pt>
                <c:pt idx="19">
                  <c:v>5115.76</c:v>
                </c:pt>
                <c:pt idx="20">
                  <c:v>23735.64</c:v>
                </c:pt>
                <c:pt idx="21">
                  <c:v>28864.25</c:v>
                </c:pt>
                <c:pt idx="22">
                  <c:v>34866.97</c:v>
                </c:pt>
                <c:pt idx="23">
                  <c:v>15148.55</c:v>
                </c:pt>
                <c:pt idx="24">
                  <c:v>28125.69</c:v>
                </c:pt>
                <c:pt idx="25">
                  <c:v>27071.599999999999</c:v>
                </c:pt>
                <c:pt idx="26">
                  <c:v>20329.43</c:v>
                </c:pt>
                <c:pt idx="27">
                  <c:v>30190.87</c:v>
                </c:pt>
                <c:pt idx="28">
                  <c:v>32745.87</c:v>
                </c:pt>
                <c:pt idx="29">
                  <c:v>34198.76</c:v>
                </c:pt>
                <c:pt idx="30">
                  <c:v>6961.91</c:v>
                </c:pt>
                <c:pt idx="31">
                  <c:v>12408.74</c:v>
                </c:pt>
                <c:pt idx="32">
                  <c:v>35457</c:v>
                </c:pt>
                <c:pt idx="33">
                  <c:v>6290.72</c:v>
                </c:pt>
                <c:pt idx="34">
                  <c:v>37130.67</c:v>
                </c:pt>
                <c:pt idx="35">
                  <c:v>27143.15</c:v>
                </c:pt>
                <c:pt idx="36">
                  <c:v>10974.13</c:v>
                </c:pt>
                <c:pt idx="37">
                  <c:v>25824.21</c:v>
                </c:pt>
                <c:pt idx="38">
                  <c:v>19917.400000000001</c:v>
                </c:pt>
                <c:pt idx="39">
                  <c:v>39154.86</c:v>
                </c:pt>
                <c:pt idx="40">
                  <c:v>38764.230000000003</c:v>
                </c:pt>
                <c:pt idx="41">
                  <c:v>16742.63</c:v>
                </c:pt>
                <c:pt idx="42">
                  <c:v>10881.78</c:v>
                </c:pt>
                <c:pt idx="43">
                  <c:v>37398.639999999999</c:v>
                </c:pt>
                <c:pt idx="44">
                  <c:v>27126.81</c:v>
                </c:pt>
                <c:pt idx="45">
                  <c:v>22043.86</c:v>
                </c:pt>
                <c:pt idx="46">
                  <c:v>29735.94</c:v>
                </c:pt>
                <c:pt idx="47">
                  <c:v>33259.410000000003</c:v>
                </c:pt>
                <c:pt idx="48">
                  <c:v>27393.9</c:v>
                </c:pt>
                <c:pt idx="49">
                  <c:v>11109.21</c:v>
                </c:pt>
                <c:pt idx="50">
                  <c:v>26421.74</c:v>
                </c:pt>
                <c:pt idx="51">
                  <c:v>5159.95</c:v>
                </c:pt>
                <c:pt idx="52">
                  <c:v>39187.699999999997</c:v>
                </c:pt>
                <c:pt idx="53">
                  <c:v>26926.25</c:v>
                </c:pt>
                <c:pt idx="54">
                  <c:v>32881.449999999997</c:v>
                </c:pt>
                <c:pt idx="55">
                  <c:v>10591.59</c:v>
                </c:pt>
                <c:pt idx="56">
                  <c:v>27570.13</c:v>
                </c:pt>
                <c:pt idx="57">
                  <c:v>26588.68</c:v>
                </c:pt>
                <c:pt idx="58">
                  <c:v>30914.59</c:v>
                </c:pt>
                <c:pt idx="59">
                  <c:v>6017.28</c:v>
                </c:pt>
                <c:pt idx="60">
                  <c:v>30249.11</c:v>
                </c:pt>
                <c:pt idx="61">
                  <c:v>22778.588495934899</c:v>
                </c:pt>
                <c:pt idx="62">
                  <c:v>8854.65</c:v>
                </c:pt>
                <c:pt idx="63">
                  <c:v>35446.019999999997</c:v>
                </c:pt>
                <c:pt idx="64">
                  <c:v>25478.23</c:v>
                </c:pt>
                <c:pt idx="65">
                  <c:v>37476.050000000003</c:v>
                </c:pt>
                <c:pt idx="66">
                  <c:v>21020.91</c:v>
                </c:pt>
                <c:pt idx="67">
                  <c:v>12077.38</c:v>
                </c:pt>
                <c:pt idx="68">
                  <c:v>8888.82</c:v>
                </c:pt>
                <c:pt idx="69">
                  <c:v>17025.16</c:v>
                </c:pt>
                <c:pt idx="70">
                  <c:v>27329.97</c:v>
                </c:pt>
                <c:pt idx="71">
                  <c:v>24346.45</c:v>
                </c:pt>
                <c:pt idx="72">
                  <c:v>22122.47</c:v>
                </c:pt>
                <c:pt idx="73">
                  <c:v>14770.98</c:v>
                </c:pt>
                <c:pt idx="74">
                  <c:v>20198.71</c:v>
                </c:pt>
                <c:pt idx="75">
                  <c:v>36438.81</c:v>
                </c:pt>
                <c:pt idx="76">
                  <c:v>21472.84</c:v>
                </c:pt>
                <c:pt idx="77">
                  <c:v>19899.419999999998</c:v>
                </c:pt>
                <c:pt idx="78">
                  <c:v>13417.9</c:v>
                </c:pt>
                <c:pt idx="79">
                  <c:v>19231.63</c:v>
                </c:pt>
                <c:pt idx="80">
                  <c:v>27667.41</c:v>
                </c:pt>
                <c:pt idx="81">
                  <c:v>28416.25</c:v>
                </c:pt>
                <c:pt idx="82">
                  <c:v>31155.03</c:v>
                </c:pt>
                <c:pt idx="83">
                  <c:v>9851.84</c:v>
                </c:pt>
                <c:pt idx="84">
                  <c:v>17964.72</c:v>
                </c:pt>
                <c:pt idx="85">
                  <c:v>7474.45</c:v>
                </c:pt>
                <c:pt idx="86">
                  <c:v>15380.65</c:v>
                </c:pt>
                <c:pt idx="87">
                  <c:v>7833.57</c:v>
                </c:pt>
                <c:pt idx="88">
                  <c:v>36850.14</c:v>
                </c:pt>
                <c:pt idx="89">
                  <c:v>17795.68</c:v>
                </c:pt>
                <c:pt idx="90">
                  <c:v>17825.150000000001</c:v>
                </c:pt>
                <c:pt idx="91">
                  <c:v>22778.588495934899</c:v>
                </c:pt>
                <c:pt idx="92">
                  <c:v>8974.52</c:v>
                </c:pt>
                <c:pt idx="93">
                  <c:v>31631.01</c:v>
                </c:pt>
                <c:pt idx="94">
                  <c:v>19802.52</c:v>
                </c:pt>
                <c:pt idx="95">
                  <c:v>22017.94</c:v>
                </c:pt>
                <c:pt idx="96">
                  <c:v>23616.66</c:v>
                </c:pt>
                <c:pt idx="97">
                  <c:v>17885.099999999999</c:v>
                </c:pt>
                <c:pt idx="98">
                  <c:v>35939.26</c:v>
                </c:pt>
                <c:pt idx="99">
                  <c:v>15093.04</c:v>
                </c:pt>
                <c:pt idx="100">
                  <c:v>8920.86</c:v>
                </c:pt>
                <c:pt idx="101">
                  <c:v>23224.07</c:v>
                </c:pt>
                <c:pt idx="102">
                  <c:v>28884.12</c:v>
                </c:pt>
                <c:pt idx="103">
                  <c:v>20535.099999999999</c:v>
                </c:pt>
                <c:pt idx="104">
                  <c:v>5771.28</c:v>
                </c:pt>
                <c:pt idx="105">
                  <c:v>16997.740000000002</c:v>
                </c:pt>
                <c:pt idx="106">
                  <c:v>28304.94</c:v>
                </c:pt>
                <c:pt idx="107">
                  <c:v>24853.81</c:v>
                </c:pt>
                <c:pt idx="108">
                  <c:v>14100.26</c:v>
                </c:pt>
                <c:pt idx="109">
                  <c:v>6656.16</c:v>
                </c:pt>
                <c:pt idx="110">
                  <c:v>26652.06</c:v>
                </c:pt>
                <c:pt idx="111">
                  <c:v>11137.58</c:v>
                </c:pt>
                <c:pt idx="112">
                  <c:v>9092.11</c:v>
                </c:pt>
                <c:pt idx="113">
                  <c:v>17938.53</c:v>
                </c:pt>
                <c:pt idx="114">
                  <c:v>39230.79</c:v>
                </c:pt>
                <c:pt idx="115">
                  <c:v>10690.92</c:v>
                </c:pt>
                <c:pt idx="116">
                  <c:v>22479.59</c:v>
                </c:pt>
                <c:pt idx="117">
                  <c:v>10461.86</c:v>
                </c:pt>
                <c:pt idx="118">
                  <c:v>15344.49</c:v>
                </c:pt>
                <c:pt idx="119">
                  <c:v>30499.03</c:v>
                </c:pt>
                <c:pt idx="120">
                  <c:v>30607.42</c:v>
                </c:pt>
                <c:pt idx="121">
                  <c:v>9090.66</c:v>
                </c:pt>
                <c:pt idx="122">
                  <c:v>8236.84</c:v>
                </c:pt>
                <c:pt idx="123">
                  <c:v>12775.03</c:v>
                </c:pt>
                <c:pt idx="124">
                  <c:v>7925.63</c:v>
                </c:pt>
                <c:pt idx="125">
                  <c:v>18804.830000000002</c:v>
                </c:pt>
                <c:pt idx="126">
                  <c:v>17637.27</c:v>
                </c:pt>
                <c:pt idx="127">
                  <c:v>18049.09</c:v>
                </c:pt>
                <c:pt idx="128">
                  <c:v>20595.16</c:v>
                </c:pt>
                <c:pt idx="129">
                  <c:v>20547.71</c:v>
                </c:pt>
                <c:pt idx="130">
                  <c:v>33198.550000000003</c:v>
                </c:pt>
                <c:pt idx="131">
                  <c:v>19496.78</c:v>
                </c:pt>
                <c:pt idx="132">
                  <c:v>15613.09</c:v>
                </c:pt>
                <c:pt idx="133">
                  <c:v>38603.339999999997</c:v>
                </c:pt>
                <c:pt idx="134">
                  <c:v>27358.21</c:v>
                </c:pt>
                <c:pt idx="135">
                  <c:v>29858.65</c:v>
                </c:pt>
                <c:pt idx="136">
                  <c:v>11974.01</c:v>
                </c:pt>
                <c:pt idx="137">
                  <c:v>6478.15</c:v>
                </c:pt>
                <c:pt idx="138">
                  <c:v>30894.959999999999</c:v>
                </c:pt>
                <c:pt idx="139">
                  <c:v>15505.93</c:v>
                </c:pt>
                <c:pt idx="140">
                  <c:v>28306.97</c:v>
                </c:pt>
                <c:pt idx="141">
                  <c:v>29074.51</c:v>
                </c:pt>
                <c:pt idx="142">
                  <c:v>22256.76</c:v>
                </c:pt>
                <c:pt idx="143">
                  <c:v>24795.11</c:v>
                </c:pt>
                <c:pt idx="144">
                  <c:v>33639.83</c:v>
                </c:pt>
                <c:pt idx="145">
                  <c:v>10699.65</c:v>
                </c:pt>
                <c:pt idx="146">
                  <c:v>21136.54</c:v>
                </c:pt>
                <c:pt idx="147">
                  <c:v>14543.46</c:v>
                </c:pt>
                <c:pt idx="148">
                  <c:v>15208.24</c:v>
                </c:pt>
                <c:pt idx="149">
                  <c:v>31825.49</c:v>
                </c:pt>
                <c:pt idx="150">
                  <c:v>10849.76</c:v>
                </c:pt>
                <c:pt idx="151">
                  <c:v>28973.85</c:v>
                </c:pt>
                <c:pt idx="152">
                  <c:v>25301.63</c:v>
                </c:pt>
                <c:pt idx="153">
                  <c:v>14849.62</c:v>
                </c:pt>
                <c:pt idx="154">
                  <c:v>36877.58</c:v>
                </c:pt>
                <c:pt idx="155">
                  <c:v>34105.07</c:v>
                </c:pt>
                <c:pt idx="156">
                  <c:v>37061.089999999997</c:v>
                </c:pt>
                <c:pt idx="157">
                  <c:v>21783.14</c:v>
                </c:pt>
                <c:pt idx="158">
                  <c:v>20467.830000000002</c:v>
                </c:pt>
                <c:pt idx="159">
                  <c:v>15663.95</c:v>
                </c:pt>
                <c:pt idx="160">
                  <c:v>34988.53</c:v>
                </c:pt>
                <c:pt idx="161">
                  <c:v>22778.588495934899</c:v>
                </c:pt>
                <c:pt idx="162">
                  <c:v>32441.040000000001</c:v>
                </c:pt>
                <c:pt idx="163">
                  <c:v>31506.69</c:v>
                </c:pt>
                <c:pt idx="164">
                  <c:v>28092.61</c:v>
                </c:pt>
                <c:pt idx="165">
                  <c:v>13855.44</c:v>
                </c:pt>
                <c:pt idx="166">
                  <c:v>32382.98</c:v>
                </c:pt>
                <c:pt idx="167">
                  <c:v>12000.85</c:v>
                </c:pt>
                <c:pt idx="168">
                  <c:v>34605.15</c:v>
                </c:pt>
                <c:pt idx="169">
                  <c:v>34929.83</c:v>
                </c:pt>
                <c:pt idx="170">
                  <c:v>7391.8</c:v>
                </c:pt>
                <c:pt idx="171">
                  <c:v>30053.41</c:v>
                </c:pt>
                <c:pt idx="172">
                  <c:v>22778.588495934899</c:v>
                </c:pt>
                <c:pt idx="173">
                  <c:v>37216.699999999997</c:v>
                </c:pt>
                <c:pt idx="174">
                  <c:v>25628.32</c:v>
                </c:pt>
                <c:pt idx="175">
                  <c:v>17418.78</c:v>
                </c:pt>
                <c:pt idx="176">
                  <c:v>19265.23</c:v>
                </c:pt>
                <c:pt idx="177">
                  <c:v>8861.07</c:v>
                </c:pt>
                <c:pt idx="178">
                  <c:v>24499.62</c:v>
                </c:pt>
                <c:pt idx="179">
                  <c:v>22279.95</c:v>
                </c:pt>
                <c:pt idx="180">
                  <c:v>15920.24</c:v>
                </c:pt>
                <c:pt idx="181">
                  <c:v>19254.88</c:v>
                </c:pt>
                <c:pt idx="182">
                  <c:v>7436.32</c:v>
                </c:pt>
                <c:pt idx="183">
                  <c:v>17860.45</c:v>
                </c:pt>
                <c:pt idx="184">
                  <c:v>28523.34</c:v>
                </c:pt>
                <c:pt idx="185">
                  <c:v>18818.400000000001</c:v>
                </c:pt>
                <c:pt idx="186">
                  <c:v>36234.97</c:v>
                </c:pt>
                <c:pt idx="187">
                  <c:v>16852.11</c:v>
                </c:pt>
                <c:pt idx="188">
                  <c:v>34333.82</c:v>
                </c:pt>
                <c:pt idx="189">
                  <c:v>31809.03</c:v>
                </c:pt>
                <c:pt idx="190">
                  <c:v>28333.7</c:v>
                </c:pt>
                <c:pt idx="191">
                  <c:v>10158.09</c:v>
                </c:pt>
                <c:pt idx="192">
                  <c:v>22404.58</c:v>
                </c:pt>
                <c:pt idx="193">
                  <c:v>30822.94</c:v>
                </c:pt>
                <c:pt idx="194">
                  <c:v>39022.54</c:v>
                </c:pt>
                <c:pt idx="195">
                  <c:v>26768.84</c:v>
                </c:pt>
                <c:pt idx="196">
                  <c:v>23198.21</c:v>
                </c:pt>
                <c:pt idx="197">
                  <c:v>28173.26</c:v>
                </c:pt>
                <c:pt idx="198">
                  <c:v>33331.86</c:v>
                </c:pt>
                <c:pt idx="199">
                  <c:v>6105.95</c:v>
                </c:pt>
                <c:pt idx="200">
                  <c:v>16009.57</c:v>
                </c:pt>
                <c:pt idx="201">
                  <c:v>11190.42</c:v>
                </c:pt>
                <c:pt idx="202">
                  <c:v>10745.05</c:v>
                </c:pt>
                <c:pt idx="203">
                  <c:v>22060.92</c:v>
                </c:pt>
                <c:pt idx="204">
                  <c:v>28988.1</c:v>
                </c:pt>
                <c:pt idx="205">
                  <c:v>10470.879999999999</c:v>
                </c:pt>
                <c:pt idx="206">
                  <c:v>38980.480000000003</c:v>
                </c:pt>
                <c:pt idx="207">
                  <c:v>14955.31</c:v>
                </c:pt>
                <c:pt idx="208">
                  <c:v>17824.349999999999</c:v>
                </c:pt>
                <c:pt idx="209">
                  <c:v>26880.36</c:v>
                </c:pt>
                <c:pt idx="210">
                  <c:v>17507.810000000001</c:v>
                </c:pt>
                <c:pt idx="211">
                  <c:v>27682.9</c:v>
                </c:pt>
                <c:pt idx="212">
                  <c:v>9006.5</c:v>
                </c:pt>
                <c:pt idx="213">
                  <c:v>28021.87</c:v>
                </c:pt>
                <c:pt idx="214">
                  <c:v>29358.55</c:v>
                </c:pt>
                <c:pt idx="215">
                  <c:v>18660.53</c:v>
                </c:pt>
                <c:pt idx="216">
                  <c:v>28628.9</c:v>
                </c:pt>
                <c:pt idx="217">
                  <c:v>15483.23</c:v>
                </c:pt>
                <c:pt idx="218">
                  <c:v>34656.69</c:v>
                </c:pt>
                <c:pt idx="219">
                  <c:v>6663.6</c:v>
                </c:pt>
                <c:pt idx="220">
                  <c:v>26860.03</c:v>
                </c:pt>
                <c:pt idx="221">
                  <c:v>14567.77</c:v>
                </c:pt>
                <c:pt idx="222">
                  <c:v>17156.080000000002</c:v>
                </c:pt>
                <c:pt idx="223">
                  <c:v>15496.82</c:v>
                </c:pt>
                <c:pt idx="224">
                  <c:v>19080.53</c:v>
                </c:pt>
                <c:pt idx="225">
                  <c:v>24164.69</c:v>
                </c:pt>
                <c:pt idx="226">
                  <c:v>25189.52</c:v>
                </c:pt>
                <c:pt idx="227">
                  <c:v>27327.42</c:v>
                </c:pt>
                <c:pt idx="228">
                  <c:v>30431.53</c:v>
                </c:pt>
                <c:pt idx="229">
                  <c:v>10171.030000000001</c:v>
                </c:pt>
                <c:pt idx="230">
                  <c:v>19359.11</c:v>
                </c:pt>
                <c:pt idx="231">
                  <c:v>34608.839999999997</c:v>
                </c:pt>
                <c:pt idx="232">
                  <c:v>13975.63</c:v>
                </c:pt>
                <c:pt idx="233">
                  <c:v>10248.68</c:v>
                </c:pt>
                <c:pt idx="234">
                  <c:v>24593.88</c:v>
                </c:pt>
                <c:pt idx="235">
                  <c:v>14544.92</c:v>
                </c:pt>
                <c:pt idx="236">
                  <c:v>11159.48</c:v>
                </c:pt>
                <c:pt idx="237">
                  <c:v>6936.45</c:v>
                </c:pt>
                <c:pt idx="238">
                  <c:v>35351.01</c:v>
                </c:pt>
                <c:pt idx="239">
                  <c:v>28508.52</c:v>
                </c:pt>
                <c:pt idx="240">
                  <c:v>30348.21</c:v>
                </c:pt>
                <c:pt idx="241">
                  <c:v>22508.7</c:v>
                </c:pt>
                <c:pt idx="242">
                  <c:v>8158.71</c:v>
                </c:pt>
                <c:pt idx="243">
                  <c:v>25451.42</c:v>
                </c:pt>
                <c:pt idx="244">
                  <c:v>12630.29</c:v>
                </c:pt>
                <c:pt idx="245">
                  <c:v>20381.64</c:v>
                </c:pt>
                <c:pt idx="246">
                  <c:v>18114.669999999998</c:v>
                </c:pt>
                <c:pt idx="247">
                  <c:v>21619.89</c:v>
                </c:pt>
                <c:pt idx="248">
                  <c:v>37794.03</c:v>
                </c:pt>
                <c:pt idx="249">
                  <c:v>5737.6</c:v>
                </c:pt>
                <c:pt idx="250">
                  <c:v>28177.82</c:v>
                </c:pt>
                <c:pt idx="251">
                  <c:v>18464.16</c:v>
                </c:pt>
                <c:pt idx="252">
                  <c:v>36610.5</c:v>
                </c:pt>
                <c:pt idx="253">
                  <c:v>18596.490000000002</c:v>
                </c:pt>
                <c:pt idx="254">
                  <c:v>37127.43</c:v>
                </c:pt>
                <c:pt idx="255">
                  <c:v>35079.589999999997</c:v>
                </c:pt>
                <c:pt idx="256">
                  <c:v>35781.35</c:v>
                </c:pt>
                <c:pt idx="257">
                  <c:v>14591.28</c:v>
                </c:pt>
                <c:pt idx="258">
                  <c:v>19453.650000000001</c:v>
                </c:pt>
                <c:pt idx="259">
                  <c:v>33708.449999999997</c:v>
                </c:pt>
                <c:pt idx="260">
                  <c:v>17314.97</c:v>
                </c:pt>
                <c:pt idx="261">
                  <c:v>20864.16</c:v>
                </c:pt>
                <c:pt idx="262">
                  <c:v>11430.89</c:v>
                </c:pt>
                <c:pt idx="263">
                  <c:v>12002.64</c:v>
                </c:pt>
                <c:pt idx="264">
                  <c:v>8878.99</c:v>
                </c:pt>
                <c:pt idx="265">
                  <c:v>29001.37</c:v>
                </c:pt>
                <c:pt idx="266">
                  <c:v>35572.699999999997</c:v>
                </c:pt>
                <c:pt idx="267">
                  <c:v>33936.9</c:v>
                </c:pt>
                <c:pt idx="268">
                  <c:v>17865.98</c:v>
                </c:pt>
                <c:pt idx="269">
                  <c:v>35951.949999999997</c:v>
                </c:pt>
                <c:pt idx="270">
                  <c:v>27648.73</c:v>
                </c:pt>
                <c:pt idx="271">
                  <c:v>11939.32</c:v>
                </c:pt>
                <c:pt idx="272">
                  <c:v>26630.14</c:v>
                </c:pt>
                <c:pt idx="273">
                  <c:v>17877.21</c:v>
                </c:pt>
                <c:pt idx="274">
                  <c:v>23404.32</c:v>
                </c:pt>
                <c:pt idx="275">
                  <c:v>22295.22</c:v>
                </c:pt>
                <c:pt idx="276">
                  <c:v>35167.79</c:v>
                </c:pt>
                <c:pt idx="277">
                  <c:v>18372.57</c:v>
                </c:pt>
                <c:pt idx="278">
                  <c:v>39832.26</c:v>
                </c:pt>
                <c:pt idx="279">
                  <c:v>22778.588495934899</c:v>
                </c:pt>
                <c:pt idx="280">
                  <c:v>13242</c:v>
                </c:pt>
                <c:pt idx="281">
                  <c:v>28949.35</c:v>
                </c:pt>
                <c:pt idx="282">
                  <c:v>35500.519999999997</c:v>
                </c:pt>
                <c:pt idx="283">
                  <c:v>29966.76</c:v>
                </c:pt>
                <c:pt idx="284">
                  <c:v>24495</c:v>
                </c:pt>
                <c:pt idx="285">
                  <c:v>17400.560000000001</c:v>
                </c:pt>
                <c:pt idx="286">
                  <c:v>22658.97</c:v>
                </c:pt>
                <c:pt idx="287">
                  <c:v>9628.34</c:v>
                </c:pt>
                <c:pt idx="288">
                  <c:v>14110.21</c:v>
                </c:pt>
                <c:pt idx="289">
                  <c:v>9617.18</c:v>
                </c:pt>
                <c:pt idx="290">
                  <c:v>9089.4699999999993</c:v>
                </c:pt>
                <c:pt idx="291">
                  <c:v>39068</c:v>
                </c:pt>
                <c:pt idx="292">
                  <c:v>14902.39</c:v>
                </c:pt>
                <c:pt idx="293">
                  <c:v>20252.14</c:v>
                </c:pt>
                <c:pt idx="294">
                  <c:v>10294.27</c:v>
                </c:pt>
                <c:pt idx="295">
                  <c:v>10201.73</c:v>
                </c:pt>
                <c:pt idx="296">
                  <c:v>10724.42</c:v>
                </c:pt>
                <c:pt idx="297">
                  <c:v>37452.22</c:v>
                </c:pt>
                <c:pt idx="298">
                  <c:v>24629.91</c:v>
                </c:pt>
                <c:pt idx="299">
                  <c:v>35340.78</c:v>
                </c:pt>
                <c:pt idx="300">
                  <c:v>14944.08</c:v>
                </c:pt>
                <c:pt idx="301">
                  <c:v>28209.82</c:v>
                </c:pt>
                <c:pt idx="302">
                  <c:v>24977.57</c:v>
                </c:pt>
                <c:pt idx="303">
                  <c:v>22433.88</c:v>
                </c:pt>
                <c:pt idx="304">
                  <c:v>28845.93</c:v>
                </c:pt>
                <c:pt idx="305">
                  <c:v>37520.199999999997</c:v>
                </c:pt>
                <c:pt idx="306">
                  <c:v>7837.21</c:v>
                </c:pt>
                <c:pt idx="307">
                  <c:v>38432.050000000003</c:v>
                </c:pt>
                <c:pt idx="308">
                  <c:v>6534.64</c:v>
                </c:pt>
                <c:pt idx="309">
                  <c:v>30604.080000000002</c:v>
                </c:pt>
                <c:pt idx="310">
                  <c:v>6703.88</c:v>
                </c:pt>
                <c:pt idx="311">
                  <c:v>31033</c:v>
                </c:pt>
                <c:pt idx="312">
                  <c:v>13930.74</c:v>
                </c:pt>
                <c:pt idx="313">
                  <c:v>34832.1</c:v>
                </c:pt>
                <c:pt idx="314">
                  <c:v>31339.55</c:v>
                </c:pt>
                <c:pt idx="315">
                  <c:v>15449.13</c:v>
                </c:pt>
                <c:pt idx="316">
                  <c:v>26122.98</c:v>
                </c:pt>
                <c:pt idx="317">
                  <c:v>22942.86</c:v>
                </c:pt>
                <c:pt idx="318">
                  <c:v>24707</c:v>
                </c:pt>
                <c:pt idx="319">
                  <c:v>26485.37</c:v>
                </c:pt>
                <c:pt idx="320">
                  <c:v>22966.95</c:v>
                </c:pt>
                <c:pt idx="321">
                  <c:v>29977.24</c:v>
                </c:pt>
                <c:pt idx="322">
                  <c:v>20307.439999999999</c:v>
                </c:pt>
                <c:pt idx="323">
                  <c:v>22778.588495934899</c:v>
                </c:pt>
                <c:pt idx="324">
                  <c:v>23308.22</c:v>
                </c:pt>
                <c:pt idx="325">
                  <c:v>37105.57</c:v>
                </c:pt>
                <c:pt idx="326">
                  <c:v>21262.98</c:v>
                </c:pt>
                <c:pt idx="327">
                  <c:v>25494.880000000001</c:v>
                </c:pt>
                <c:pt idx="328">
                  <c:v>28155.24</c:v>
                </c:pt>
                <c:pt idx="329">
                  <c:v>6584.06</c:v>
                </c:pt>
                <c:pt idx="330">
                  <c:v>30343.31</c:v>
                </c:pt>
                <c:pt idx="331">
                  <c:v>14277.6</c:v>
                </c:pt>
                <c:pt idx="332">
                  <c:v>7737.72</c:v>
                </c:pt>
                <c:pt idx="333">
                  <c:v>8721.57</c:v>
                </c:pt>
                <c:pt idx="334">
                  <c:v>5465.66</c:v>
                </c:pt>
                <c:pt idx="335">
                  <c:v>35407.32</c:v>
                </c:pt>
                <c:pt idx="336">
                  <c:v>33459.64</c:v>
                </c:pt>
                <c:pt idx="337">
                  <c:v>8067.23</c:v>
                </c:pt>
                <c:pt idx="338">
                  <c:v>5555.98</c:v>
                </c:pt>
                <c:pt idx="339">
                  <c:v>27701.81</c:v>
                </c:pt>
                <c:pt idx="340">
                  <c:v>35036.629999999997</c:v>
                </c:pt>
                <c:pt idx="341">
                  <c:v>21219.89</c:v>
                </c:pt>
                <c:pt idx="342">
                  <c:v>36584.54</c:v>
                </c:pt>
                <c:pt idx="343">
                  <c:v>21502.12</c:v>
                </c:pt>
                <c:pt idx="344">
                  <c:v>24930.07</c:v>
                </c:pt>
                <c:pt idx="345">
                  <c:v>8593.2199999999993</c:v>
                </c:pt>
                <c:pt idx="346">
                  <c:v>34701.57</c:v>
                </c:pt>
                <c:pt idx="347">
                  <c:v>18988.810000000001</c:v>
                </c:pt>
                <c:pt idx="348">
                  <c:v>7124.66</c:v>
                </c:pt>
                <c:pt idx="349">
                  <c:v>14374.71</c:v>
                </c:pt>
                <c:pt idx="350">
                  <c:v>26794.38</c:v>
                </c:pt>
                <c:pt idx="351">
                  <c:v>5728.24</c:v>
                </c:pt>
                <c:pt idx="352">
                  <c:v>20333.87</c:v>
                </c:pt>
                <c:pt idx="353">
                  <c:v>34870.879999999997</c:v>
                </c:pt>
                <c:pt idx="354">
                  <c:v>15268.79</c:v>
                </c:pt>
                <c:pt idx="355">
                  <c:v>28558.76</c:v>
                </c:pt>
                <c:pt idx="356">
                  <c:v>34558.589999999997</c:v>
                </c:pt>
                <c:pt idx="357">
                  <c:v>8016.72</c:v>
                </c:pt>
                <c:pt idx="358">
                  <c:v>26201.22</c:v>
                </c:pt>
                <c:pt idx="359">
                  <c:v>22280.38</c:v>
                </c:pt>
                <c:pt idx="360">
                  <c:v>17557.54</c:v>
                </c:pt>
                <c:pt idx="361">
                  <c:v>35081.160000000003</c:v>
                </c:pt>
                <c:pt idx="362">
                  <c:v>8988.93</c:v>
                </c:pt>
                <c:pt idx="363">
                  <c:v>39778.199999999997</c:v>
                </c:pt>
                <c:pt idx="364">
                  <c:v>24495.78</c:v>
                </c:pt>
                <c:pt idx="365">
                  <c:v>37432.120000000003</c:v>
                </c:pt>
                <c:pt idx="366">
                  <c:v>31451.75</c:v>
                </c:pt>
                <c:pt idx="367">
                  <c:v>6468.93</c:v>
                </c:pt>
                <c:pt idx="368">
                  <c:v>36884.5</c:v>
                </c:pt>
                <c:pt idx="369">
                  <c:v>31668.76</c:v>
                </c:pt>
                <c:pt idx="370">
                  <c:v>22778.588495934899</c:v>
                </c:pt>
                <c:pt idx="371">
                  <c:v>20368.8</c:v>
                </c:pt>
                <c:pt idx="372">
                  <c:v>33320.080000000002</c:v>
                </c:pt>
                <c:pt idx="373">
                  <c:v>18035.27</c:v>
                </c:pt>
                <c:pt idx="374">
                  <c:v>13590.79</c:v>
                </c:pt>
                <c:pt idx="375">
                  <c:v>9829.7999999999993</c:v>
                </c:pt>
                <c:pt idx="376">
                  <c:v>38314.42</c:v>
                </c:pt>
                <c:pt idx="377">
                  <c:v>20490.25</c:v>
                </c:pt>
                <c:pt idx="378">
                  <c:v>16018.16</c:v>
                </c:pt>
                <c:pt idx="379">
                  <c:v>20192.53</c:v>
                </c:pt>
                <c:pt idx="380">
                  <c:v>27451.3</c:v>
                </c:pt>
                <c:pt idx="381">
                  <c:v>39301.65</c:v>
                </c:pt>
                <c:pt idx="382">
                  <c:v>36002.400000000001</c:v>
                </c:pt>
                <c:pt idx="383">
                  <c:v>15979.33</c:v>
                </c:pt>
                <c:pt idx="384">
                  <c:v>26364.04</c:v>
                </c:pt>
                <c:pt idx="385">
                  <c:v>12179.67</c:v>
                </c:pt>
                <c:pt idx="386">
                  <c:v>36068.620000000003</c:v>
                </c:pt>
                <c:pt idx="387">
                  <c:v>35834.11</c:v>
                </c:pt>
                <c:pt idx="388">
                  <c:v>30160.82</c:v>
                </c:pt>
                <c:pt idx="389">
                  <c:v>22908.51</c:v>
                </c:pt>
                <c:pt idx="390">
                  <c:v>10600.96</c:v>
                </c:pt>
                <c:pt idx="391">
                  <c:v>32095.52</c:v>
                </c:pt>
                <c:pt idx="392">
                  <c:v>34455.42</c:v>
                </c:pt>
                <c:pt idx="393">
                  <c:v>31479.599999999999</c:v>
                </c:pt>
                <c:pt idx="394">
                  <c:v>30790.05</c:v>
                </c:pt>
                <c:pt idx="395">
                  <c:v>39615</c:v>
                </c:pt>
                <c:pt idx="396">
                  <c:v>14958.74</c:v>
                </c:pt>
                <c:pt idx="397">
                  <c:v>23188.33</c:v>
                </c:pt>
                <c:pt idx="398">
                  <c:v>11739.43</c:v>
                </c:pt>
                <c:pt idx="399">
                  <c:v>8429.57</c:v>
                </c:pt>
                <c:pt idx="400">
                  <c:v>7176.78</c:v>
                </c:pt>
                <c:pt idx="401">
                  <c:v>7732.54</c:v>
                </c:pt>
                <c:pt idx="402">
                  <c:v>23163.07</c:v>
                </c:pt>
                <c:pt idx="403">
                  <c:v>27276.14</c:v>
                </c:pt>
                <c:pt idx="404">
                  <c:v>19592.28</c:v>
                </c:pt>
                <c:pt idx="405">
                  <c:v>21019.95</c:v>
                </c:pt>
                <c:pt idx="406">
                  <c:v>20940.13</c:v>
                </c:pt>
                <c:pt idx="407">
                  <c:v>17926.62</c:v>
                </c:pt>
                <c:pt idx="408">
                  <c:v>17935.509999999998</c:v>
                </c:pt>
                <c:pt idx="409">
                  <c:v>15672.36</c:v>
                </c:pt>
                <c:pt idx="410">
                  <c:v>32692.13</c:v>
                </c:pt>
                <c:pt idx="411">
                  <c:v>36298.85</c:v>
                </c:pt>
                <c:pt idx="412">
                  <c:v>30888.11</c:v>
                </c:pt>
                <c:pt idx="413">
                  <c:v>6563.89</c:v>
                </c:pt>
                <c:pt idx="414">
                  <c:v>36510.06</c:v>
                </c:pt>
                <c:pt idx="415">
                  <c:v>34178.92</c:v>
                </c:pt>
                <c:pt idx="416">
                  <c:v>21132.77</c:v>
                </c:pt>
                <c:pt idx="417">
                  <c:v>30475.25</c:v>
                </c:pt>
                <c:pt idx="418">
                  <c:v>18553.23</c:v>
                </c:pt>
                <c:pt idx="419">
                  <c:v>38532.78</c:v>
                </c:pt>
                <c:pt idx="420">
                  <c:v>35308.379999999997</c:v>
                </c:pt>
                <c:pt idx="421">
                  <c:v>9332.36</c:v>
                </c:pt>
                <c:pt idx="422">
                  <c:v>23964.2</c:v>
                </c:pt>
                <c:pt idx="423">
                  <c:v>31269.55</c:v>
                </c:pt>
                <c:pt idx="424">
                  <c:v>37766.36</c:v>
                </c:pt>
                <c:pt idx="425">
                  <c:v>12203.17</c:v>
                </c:pt>
                <c:pt idx="426">
                  <c:v>23674.04</c:v>
                </c:pt>
                <c:pt idx="427">
                  <c:v>37684.71</c:v>
                </c:pt>
                <c:pt idx="428">
                  <c:v>35087.69</c:v>
                </c:pt>
                <c:pt idx="429">
                  <c:v>39292.51</c:v>
                </c:pt>
                <c:pt idx="430">
                  <c:v>13944.41</c:v>
                </c:pt>
                <c:pt idx="431">
                  <c:v>28751.3</c:v>
                </c:pt>
                <c:pt idx="432">
                  <c:v>29965.52</c:v>
                </c:pt>
                <c:pt idx="433">
                  <c:v>19448.8</c:v>
                </c:pt>
                <c:pt idx="434">
                  <c:v>36482.550000000003</c:v>
                </c:pt>
                <c:pt idx="435">
                  <c:v>25511.02</c:v>
                </c:pt>
                <c:pt idx="436">
                  <c:v>14425.06</c:v>
                </c:pt>
                <c:pt idx="437">
                  <c:v>6011.73</c:v>
                </c:pt>
                <c:pt idx="438">
                  <c:v>38721.61</c:v>
                </c:pt>
                <c:pt idx="439">
                  <c:v>27804.28</c:v>
                </c:pt>
                <c:pt idx="440">
                  <c:v>34619.72</c:v>
                </c:pt>
                <c:pt idx="441">
                  <c:v>39485.81</c:v>
                </c:pt>
                <c:pt idx="442">
                  <c:v>38647.32</c:v>
                </c:pt>
                <c:pt idx="443">
                  <c:v>21262.82</c:v>
                </c:pt>
                <c:pt idx="444">
                  <c:v>10858.36</c:v>
                </c:pt>
                <c:pt idx="445">
                  <c:v>14565.6</c:v>
                </c:pt>
                <c:pt idx="446">
                  <c:v>34485.35</c:v>
                </c:pt>
                <c:pt idx="447">
                  <c:v>30871.4</c:v>
                </c:pt>
                <c:pt idx="448">
                  <c:v>29445.03</c:v>
                </c:pt>
                <c:pt idx="449">
                  <c:v>12379.76</c:v>
                </c:pt>
                <c:pt idx="450">
                  <c:v>38089.300000000003</c:v>
                </c:pt>
                <c:pt idx="451">
                  <c:v>28179.7</c:v>
                </c:pt>
                <c:pt idx="452">
                  <c:v>25982.98</c:v>
                </c:pt>
                <c:pt idx="453">
                  <c:v>27625.52</c:v>
                </c:pt>
                <c:pt idx="454">
                  <c:v>5335.25</c:v>
                </c:pt>
                <c:pt idx="455">
                  <c:v>22778.588495934899</c:v>
                </c:pt>
                <c:pt idx="456">
                  <c:v>36240.03</c:v>
                </c:pt>
                <c:pt idx="457">
                  <c:v>17354.82</c:v>
                </c:pt>
                <c:pt idx="458">
                  <c:v>34370.1</c:v>
                </c:pt>
                <c:pt idx="459">
                  <c:v>17966.82</c:v>
                </c:pt>
                <c:pt idx="460">
                  <c:v>5692.36</c:v>
                </c:pt>
                <c:pt idx="461">
                  <c:v>33569.83</c:v>
                </c:pt>
                <c:pt idx="462">
                  <c:v>22283.3</c:v>
                </c:pt>
                <c:pt idx="463">
                  <c:v>29641.67</c:v>
                </c:pt>
                <c:pt idx="464">
                  <c:v>33739.32</c:v>
                </c:pt>
                <c:pt idx="465">
                  <c:v>22290.400000000001</c:v>
                </c:pt>
                <c:pt idx="466">
                  <c:v>9488.6200000000008</c:v>
                </c:pt>
                <c:pt idx="467">
                  <c:v>34941.760000000002</c:v>
                </c:pt>
                <c:pt idx="468">
                  <c:v>28729.26</c:v>
                </c:pt>
                <c:pt idx="469">
                  <c:v>35908.57</c:v>
                </c:pt>
                <c:pt idx="470">
                  <c:v>38007.599999999999</c:v>
                </c:pt>
                <c:pt idx="471">
                  <c:v>39828.730000000003</c:v>
                </c:pt>
                <c:pt idx="472">
                  <c:v>22345.119999999999</c:v>
                </c:pt>
                <c:pt idx="473">
                  <c:v>12859.19</c:v>
                </c:pt>
                <c:pt idx="474">
                  <c:v>16068.47</c:v>
                </c:pt>
                <c:pt idx="475">
                  <c:v>25013.69</c:v>
                </c:pt>
                <c:pt idx="476">
                  <c:v>19833.71</c:v>
                </c:pt>
                <c:pt idx="477">
                  <c:v>16522.86</c:v>
                </c:pt>
                <c:pt idx="478">
                  <c:v>20118.21</c:v>
                </c:pt>
                <c:pt idx="479">
                  <c:v>13650.37</c:v>
                </c:pt>
                <c:pt idx="480">
                  <c:v>34138.11</c:v>
                </c:pt>
                <c:pt idx="481">
                  <c:v>32151.23</c:v>
                </c:pt>
                <c:pt idx="482">
                  <c:v>25262.71</c:v>
                </c:pt>
                <c:pt idx="483">
                  <c:v>18208.830000000002</c:v>
                </c:pt>
                <c:pt idx="484">
                  <c:v>7170.08</c:v>
                </c:pt>
                <c:pt idx="485">
                  <c:v>26916.48</c:v>
                </c:pt>
                <c:pt idx="486">
                  <c:v>15322.09</c:v>
                </c:pt>
                <c:pt idx="487">
                  <c:v>19388.78</c:v>
                </c:pt>
                <c:pt idx="488">
                  <c:v>21247.32</c:v>
                </c:pt>
                <c:pt idx="489">
                  <c:v>37815.47</c:v>
                </c:pt>
                <c:pt idx="490">
                  <c:v>25573.47</c:v>
                </c:pt>
                <c:pt idx="491">
                  <c:v>7364.06</c:v>
                </c:pt>
                <c:pt idx="492">
                  <c:v>9409.36</c:v>
                </c:pt>
                <c:pt idx="493">
                  <c:v>30361.81</c:v>
                </c:pt>
                <c:pt idx="494">
                  <c:v>6542.48</c:v>
                </c:pt>
                <c:pt idx="495">
                  <c:v>27809.67</c:v>
                </c:pt>
                <c:pt idx="496">
                  <c:v>15803.6</c:v>
                </c:pt>
                <c:pt idx="497">
                  <c:v>38959.49</c:v>
                </c:pt>
                <c:pt idx="498">
                  <c:v>22748.78</c:v>
                </c:pt>
                <c:pt idx="499">
                  <c:v>11839.25</c:v>
                </c:pt>
              </c:numCache>
            </c:numRef>
          </c:xVal>
          <c:yVal>
            <c:numRef>
              <c:f>'💰 Revenue (2)'!$J$2:$J$509</c:f>
              <c:numCache>
                <c:formatCode>General</c:formatCode>
                <c:ptCount val="508"/>
                <c:pt idx="0">
                  <c:v>71940.34</c:v>
                </c:pt>
                <c:pt idx="1">
                  <c:v>128145.06</c:v>
                </c:pt>
                <c:pt idx="2">
                  <c:v>31787.07</c:v>
                </c:pt>
                <c:pt idx="3">
                  <c:v>109477.59</c:v>
                </c:pt>
                <c:pt idx="4">
                  <c:v>93689.600000000006</c:v>
                </c:pt>
                <c:pt idx="5">
                  <c:v>-8544.77</c:v>
                </c:pt>
                <c:pt idx="6">
                  <c:v>107958.37</c:v>
                </c:pt>
                <c:pt idx="7">
                  <c:v>10568.84</c:v>
                </c:pt>
                <c:pt idx="8">
                  <c:v>58499.28</c:v>
                </c:pt>
                <c:pt idx="9">
                  <c:v>141386.35</c:v>
                </c:pt>
                <c:pt idx="10">
                  <c:v>69648.3</c:v>
                </c:pt>
                <c:pt idx="11">
                  <c:v>132836.44</c:v>
                </c:pt>
                <c:pt idx="12">
                  <c:v>55983.199999999997</c:v>
                </c:pt>
                <c:pt idx="13">
                  <c:v>104514.73</c:v>
                </c:pt>
                <c:pt idx="14">
                  <c:v>7995.21</c:v>
                </c:pt>
                <c:pt idx="15">
                  <c:v>100807.48</c:v>
                </c:pt>
                <c:pt idx="16">
                  <c:v>106857.84</c:v>
                </c:pt>
                <c:pt idx="17">
                  <c:v>-7408.15</c:v>
                </c:pt>
                <c:pt idx="18">
                  <c:v>89810.52</c:v>
                </c:pt>
                <c:pt idx="19">
                  <c:v>60698.69</c:v>
                </c:pt>
                <c:pt idx="20">
                  <c:v>80306.47</c:v>
                </c:pt>
                <c:pt idx="21">
                  <c:v>-36072.239999999998</c:v>
                </c:pt>
                <c:pt idx="22">
                  <c:v>30849.85</c:v>
                </c:pt>
                <c:pt idx="23">
                  <c:v>110759.8</c:v>
                </c:pt>
                <c:pt idx="24">
                  <c:v>26462.43</c:v>
                </c:pt>
                <c:pt idx="25">
                  <c:v>-346.23</c:v>
                </c:pt>
                <c:pt idx="26">
                  <c:v>-7828.87</c:v>
                </c:pt>
                <c:pt idx="27">
                  <c:v>94041.5</c:v>
                </c:pt>
                <c:pt idx="28">
                  <c:v>119910.8</c:v>
                </c:pt>
                <c:pt idx="29">
                  <c:v>131724.59</c:v>
                </c:pt>
                <c:pt idx="30">
                  <c:v>3930.72</c:v>
                </c:pt>
                <c:pt idx="31">
                  <c:v>18056.39</c:v>
                </c:pt>
                <c:pt idx="32">
                  <c:v>196039.35</c:v>
                </c:pt>
                <c:pt idx="33">
                  <c:v>31987.75</c:v>
                </c:pt>
                <c:pt idx="34">
                  <c:v>28012.44</c:v>
                </c:pt>
                <c:pt idx="35">
                  <c:v>42931.3</c:v>
                </c:pt>
                <c:pt idx="36">
                  <c:v>113107.02</c:v>
                </c:pt>
                <c:pt idx="37">
                  <c:v>-7516.63</c:v>
                </c:pt>
                <c:pt idx="38">
                  <c:v>-7917.51</c:v>
                </c:pt>
                <c:pt idx="39">
                  <c:v>47325.21</c:v>
                </c:pt>
                <c:pt idx="40">
                  <c:v>70934.960000000006</c:v>
                </c:pt>
                <c:pt idx="41">
                  <c:v>15197.87</c:v>
                </c:pt>
                <c:pt idx="42">
                  <c:v>50480.31</c:v>
                </c:pt>
                <c:pt idx="43">
                  <c:v>159639.76999999999</c:v>
                </c:pt>
                <c:pt idx="44">
                  <c:v>48697.26</c:v>
                </c:pt>
                <c:pt idx="45">
                  <c:v>7853.63</c:v>
                </c:pt>
                <c:pt idx="46">
                  <c:v>-12431.25</c:v>
                </c:pt>
                <c:pt idx="47">
                  <c:v>43667.94</c:v>
                </c:pt>
                <c:pt idx="48">
                  <c:v>7875.8</c:v>
                </c:pt>
                <c:pt idx="49">
                  <c:v>94782.06</c:v>
                </c:pt>
                <c:pt idx="50">
                  <c:v>189704.22</c:v>
                </c:pt>
                <c:pt idx="51">
                  <c:v>290186.12</c:v>
                </c:pt>
                <c:pt idx="52">
                  <c:v>137994.1</c:v>
                </c:pt>
                <c:pt idx="53">
                  <c:v>30115.360000000001</c:v>
                </c:pt>
                <c:pt idx="54">
                  <c:v>157928.37</c:v>
                </c:pt>
                <c:pt idx="55">
                  <c:v>47720.42</c:v>
                </c:pt>
                <c:pt idx="56">
                  <c:v>-33275.97</c:v>
                </c:pt>
                <c:pt idx="57">
                  <c:v>-1535.95</c:v>
                </c:pt>
                <c:pt idx="58">
                  <c:v>-3598</c:v>
                </c:pt>
                <c:pt idx="59">
                  <c:v>23335.81</c:v>
                </c:pt>
                <c:pt idx="60">
                  <c:v>109676.87</c:v>
                </c:pt>
                <c:pt idx="61">
                  <c:v>-31379.45</c:v>
                </c:pt>
                <c:pt idx="62">
                  <c:v>15481.2</c:v>
                </c:pt>
                <c:pt idx="63">
                  <c:v>-6746.63</c:v>
                </c:pt>
                <c:pt idx="64">
                  <c:v>-6655.73</c:v>
                </c:pt>
                <c:pt idx="65">
                  <c:v>156096.93</c:v>
                </c:pt>
                <c:pt idx="66">
                  <c:v>141498.98000000001</c:v>
                </c:pt>
                <c:pt idx="67">
                  <c:v>300803.18</c:v>
                </c:pt>
                <c:pt idx="68">
                  <c:v>168819.92</c:v>
                </c:pt>
                <c:pt idx="69">
                  <c:v>336384.46</c:v>
                </c:pt>
                <c:pt idx="70">
                  <c:v>34700.400000000001</c:v>
                </c:pt>
                <c:pt idx="71">
                  <c:v>41421.49</c:v>
                </c:pt>
                <c:pt idx="72">
                  <c:v>128558.04</c:v>
                </c:pt>
                <c:pt idx="73">
                  <c:v>149742.81</c:v>
                </c:pt>
                <c:pt idx="74">
                  <c:v>77017.399999999994</c:v>
                </c:pt>
                <c:pt idx="75">
                  <c:v>75627.839999999997</c:v>
                </c:pt>
                <c:pt idx="76">
                  <c:v>-14263</c:v>
                </c:pt>
                <c:pt idx="77">
                  <c:v>-27025.58</c:v>
                </c:pt>
                <c:pt idx="78">
                  <c:v>101217.68</c:v>
                </c:pt>
                <c:pt idx="79">
                  <c:v>20632.87</c:v>
                </c:pt>
                <c:pt idx="80">
                  <c:v>22225.35</c:v>
                </c:pt>
                <c:pt idx="81">
                  <c:v>-32519.69</c:v>
                </c:pt>
                <c:pt idx="82">
                  <c:v>1584.46</c:v>
                </c:pt>
                <c:pt idx="83">
                  <c:v>240231.73</c:v>
                </c:pt>
                <c:pt idx="84">
                  <c:v>55758.26</c:v>
                </c:pt>
                <c:pt idx="85">
                  <c:v>39904.51</c:v>
                </c:pt>
                <c:pt idx="86">
                  <c:v>101266.79</c:v>
                </c:pt>
                <c:pt idx="87">
                  <c:v>88485.79</c:v>
                </c:pt>
                <c:pt idx="88">
                  <c:v>191919.69</c:v>
                </c:pt>
                <c:pt idx="89">
                  <c:v>-7815.02</c:v>
                </c:pt>
                <c:pt idx="90">
                  <c:v>-28251.39</c:v>
                </c:pt>
                <c:pt idx="91">
                  <c:v>78526.45</c:v>
                </c:pt>
                <c:pt idx="92">
                  <c:v>4699.8100000000004</c:v>
                </c:pt>
                <c:pt idx="93">
                  <c:v>-12529.55</c:v>
                </c:pt>
                <c:pt idx="94">
                  <c:v>-698.13</c:v>
                </c:pt>
                <c:pt idx="95">
                  <c:v>256941.89</c:v>
                </c:pt>
                <c:pt idx="96">
                  <c:v>5425.64</c:v>
                </c:pt>
                <c:pt idx="97">
                  <c:v>112792.64</c:v>
                </c:pt>
                <c:pt idx="98">
                  <c:v>10230.58</c:v>
                </c:pt>
                <c:pt idx="99">
                  <c:v>59441.9</c:v>
                </c:pt>
                <c:pt idx="100">
                  <c:v>151936.89000000001</c:v>
                </c:pt>
                <c:pt idx="101">
                  <c:v>26292.48</c:v>
                </c:pt>
                <c:pt idx="102">
                  <c:v>-20441.36</c:v>
                </c:pt>
                <c:pt idx="103">
                  <c:v>33603.65</c:v>
                </c:pt>
                <c:pt idx="104">
                  <c:v>50669.05</c:v>
                </c:pt>
                <c:pt idx="105">
                  <c:v>45311.040000000001</c:v>
                </c:pt>
                <c:pt idx="106">
                  <c:v>2444.16</c:v>
                </c:pt>
                <c:pt idx="107">
                  <c:v>23068.2</c:v>
                </c:pt>
                <c:pt idx="108">
                  <c:v>184322.37</c:v>
                </c:pt>
                <c:pt idx="109">
                  <c:v>132924.24</c:v>
                </c:pt>
                <c:pt idx="110">
                  <c:v>62052.17</c:v>
                </c:pt>
                <c:pt idx="111">
                  <c:v>10514.61</c:v>
                </c:pt>
                <c:pt idx="112">
                  <c:v>81717.75</c:v>
                </c:pt>
                <c:pt idx="113">
                  <c:v>-9176.58</c:v>
                </c:pt>
                <c:pt idx="114">
                  <c:v>43898.13</c:v>
                </c:pt>
                <c:pt idx="115">
                  <c:v>1848.12</c:v>
                </c:pt>
                <c:pt idx="116">
                  <c:v>127864.88</c:v>
                </c:pt>
                <c:pt idx="117">
                  <c:v>94597.85</c:v>
                </c:pt>
                <c:pt idx="118">
                  <c:v>34078.33</c:v>
                </c:pt>
                <c:pt idx="119">
                  <c:v>303310.37</c:v>
                </c:pt>
                <c:pt idx="120">
                  <c:v>95115.47</c:v>
                </c:pt>
                <c:pt idx="121">
                  <c:v>45902.18</c:v>
                </c:pt>
                <c:pt idx="122">
                  <c:v>133962.12</c:v>
                </c:pt>
                <c:pt idx="123">
                  <c:v>38594.18</c:v>
                </c:pt>
                <c:pt idx="124">
                  <c:v>145754.88</c:v>
                </c:pt>
                <c:pt idx="125">
                  <c:v>43913.03</c:v>
                </c:pt>
                <c:pt idx="126">
                  <c:v>178242.08</c:v>
                </c:pt>
                <c:pt idx="127">
                  <c:v>2023.08</c:v>
                </c:pt>
                <c:pt idx="128">
                  <c:v>35914.400000000001</c:v>
                </c:pt>
                <c:pt idx="129">
                  <c:v>-1604.37</c:v>
                </c:pt>
                <c:pt idx="130">
                  <c:v>16289.85</c:v>
                </c:pt>
                <c:pt idx="131">
                  <c:v>147331.26999999999</c:v>
                </c:pt>
                <c:pt idx="132">
                  <c:v>194109.95</c:v>
                </c:pt>
                <c:pt idx="133">
                  <c:v>15616.49</c:v>
                </c:pt>
                <c:pt idx="134">
                  <c:v>42335.51</c:v>
                </c:pt>
                <c:pt idx="135">
                  <c:v>-21906.7</c:v>
                </c:pt>
                <c:pt idx="136">
                  <c:v>-24793.7</c:v>
                </c:pt>
                <c:pt idx="137">
                  <c:v>152377.24</c:v>
                </c:pt>
                <c:pt idx="138">
                  <c:v>105401.68</c:v>
                </c:pt>
                <c:pt idx="139">
                  <c:v>-4336.33</c:v>
                </c:pt>
                <c:pt idx="140">
                  <c:v>-6150.2</c:v>
                </c:pt>
                <c:pt idx="141">
                  <c:v>22610.19</c:v>
                </c:pt>
                <c:pt idx="142">
                  <c:v>153717.51999999999</c:v>
                </c:pt>
                <c:pt idx="143">
                  <c:v>24958.240000000002</c:v>
                </c:pt>
                <c:pt idx="144">
                  <c:v>33430.79</c:v>
                </c:pt>
                <c:pt idx="145">
                  <c:v>198476.93</c:v>
                </c:pt>
                <c:pt idx="146">
                  <c:v>-32149.22</c:v>
                </c:pt>
                <c:pt idx="147">
                  <c:v>5518.92</c:v>
                </c:pt>
                <c:pt idx="148">
                  <c:v>53584.22</c:v>
                </c:pt>
                <c:pt idx="149">
                  <c:v>129911.27</c:v>
                </c:pt>
                <c:pt idx="150">
                  <c:v>56023.92</c:v>
                </c:pt>
                <c:pt idx="151">
                  <c:v>51702.77</c:v>
                </c:pt>
                <c:pt idx="152">
                  <c:v>43330.43</c:v>
                </c:pt>
                <c:pt idx="153">
                  <c:v>7444.43</c:v>
                </c:pt>
                <c:pt idx="154">
                  <c:v>29376.29</c:v>
                </c:pt>
                <c:pt idx="155">
                  <c:v>124434.71</c:v>
                </c:pt>
                <c:pt idx="156">
                  <c:v>148296.45000000001</c:v>
                </c:pt>
                <c:pt idx="157">
                  <c:v>64795.69</c:v>
                </c:pt>
                <c:pt idx="158">
                  <c:v>-19155.07</c:v>
                </c:pt>
                <c:pt idx="159">
                  <c:v>-17013.740000000002</c:v>
                </c:pt>
                <c:pt idx="160">
                  <c:v>40114.050000000003</c:v>
                </c:pt>
                <c:pt idx="161">
                  <c:v>129928.05</c:v>
                </c:pt>
                <c:pt idx="162">
                  <c:v>100462.9</c:v>
                </c:pt>
                <c:pt idx="163">
                  <c:v>-34059.410000000003</c:v>
                </c:pt>
                <c:pt idx="164">
                  <c:v>47669.81</c:v>
                </c:pt>
                <c:pt idx="165">
                  <c:v>93432.77</c:v>
                </c:pt>
                <c:pt idx="166">
                  <c:v>160784.34</c:v>
                </c:pt>
                <c:pt idx="167">
                  <c:v>152100.41</c:v>
                </c:pt>
                <c:pt idx="168">
                  <c:v>81889.61</c:v>
                </c:pt>
                <c:pt idx="169">
                  <c:v>20708.52</c:v>
                </c:pt>
                <c:pt idx="170">
                  <c:v>91162.64</c:v>
                </c:pt>
                <c:pt idx="171">
                  <c:v>450.95</c:v>
                </c:pt>
                <c:pt idx="172">
                  <c:v>181.98</c:v>
                </c:pt>
                <c:pt idx="173">
                  <c:v>-9911.27</c:v>
                </c:pt>
                <c:pt idx="174">
                  <c:v>46524.67</c:v>
                </c:pt>
                <c:pt idx="175">
                  <c:v>-741.6</c:v>
                </c:pt>
                <c:pt idx="176">
                  <c:v>21245.35</c:v>
                </c:pt>
                <c:pt idx="177">
                  <c:v>43762.49</c:v>
                </c:pt>
                <c:pt idx="178">
                  <c:v>-13500.87</c:v>
                </c:pt>
                <c:pt idx="179">
                  <c:v>-29282.1</c:v>
                </c:pt>
                <c:pt idx="180">
                  <c:v>67080.69</c:v>
                </c:pt>
                <c:pt idx="181">
                  <c:v>26556.62</c:v>
                </c:pt>
                <c:pt idx="182">
                  <c:v>74352.47</c:v>
                </c:pt>
                <c:pt idx="183">
                  <c:v>100025.91</c:v>
                </c:pt>
                <c:pt idx="184">
                  <c:v>-35676.15</c:v>
                </c:pt>
                <c:pt idx="185">
                  <c:v>117682.35</c:v>
                </c:pt>
                <c:pt idx="186">
                  <c:v>-16873.95</c:v>
                </c:pt>
                <c:pt idx="187">
                  <c:v>11373.26</c:v>
                </c:pt>
                <c:pt idx="188">
                  <c:v>236939.08</c:v>
                </c:pt>
                <c:pt idx="189">
                  <c:v>41791.25</c:v>
                </c:pt>
                <c:pt idx="190">
                  <c:v>131612.98000000001</c:v>
                </c:pt>
                <c:pt idx="191">
                  <c:v>44714.62</c:v>
                </c:pt>
                <c:pt idx="192">
                  <c:v>16983.27</c:v>
                </c:pt>
                <c:pt idx="193">
                  <c:v>-25594.36</c:v>
                </c:pt>
                <c:pt idx="194">
                  <c:v>-5930.88</c:v>
                </c:pt>
                <c:pt idx="195">
                  <c:v>60281.14</c:v>
                </c:pt>
                <c:pt idx="196">
                  <c:v>37428.01</c:v>
                </c:pt>
                <c:pt idx="197">
                  <c:v>-21246.97</c:v>
                </c:pt>
                <c:pt idx="198">
                  <c:v>281412.53999999998</c:v>
                </c:pt>
                <c:pt idx="199">
                  <c:v>2331.56</c:v>
                </c:pt>
                <c:pt idx="200">
                  <c:v>7567.67</c:v>
                </c:pt>
                <c:pt idx="201">
                  <c:v>104198.67</c:v>
                </c:pt>
                <c:pt idx="202">
                  <c:v>48520.81</c:v>
                </c:pt>
                <c:pt idx="203">
                  <c:v>16281.21</c:v>
                </c:pt>
                <c:pt idx="204">
                  <c:v>22680.720000000001</c:v>
                </c:pt>
                <c:pt idx="205">
                  <c:v>56704.22</c:v>
                </c:pt>
                <c:pt idx="206">
                  <c:v>-11626.99</c:v>
                </c:pt>
                <c:pt idx="207">
                  <c:v>188699.99</c:v>
                </c:pt>
                <c:pt idx="208">
                  <c:v>194041.93</c:v>
                </c:pt>
                <c:pt idx="209">
                  <c:v>31827.5</c:v>
                </c:pt>
                <c:pt idx="210">
                  <c:v>191435.14</c:v>
                </c:pt>
                <c:pt idx="211">
                  <c:v>-15686.55</c:v>
                </c:pt>
                <c:pt idx="212">
                  <c:v>204409.9</c:v>
                </c:pt>
                <c:pt idx="213">
                  <c:v>136128.91</c:v>
                </c:pt>
                <c:pt idx="214">
                  <c:v>170621.71</c:v>
                </c:pt>
                <c:pt idx="215">
                  <c:v>19299.2</c:v>
                </c:pt>
                <c:pt idx="216">
                  <c:v>43820.45</c:v>
                </c:pt>
                <c:pt idx="217">
                  <c:v>101759.07</c:v>
                </c:pt>
                <c:pt idx="218">
                  <c:v>3191.91</c:v>
                </c:pt>
                <c:pt idx="219">
                  <c:v>6499.97</c:v>
                </c:pt>
                <c:pt idx="220">
                  <c:v>65206.22</c:v>
                </c:pt>
                <c:pt idx="221">
                  <c:v>55305.279999999999</c:v>
                </c:pt>
                <c:pt idx="222">
                  <c:v>64718.25</c:v>
                </c:pt>
                <c:pt idx="223">
                  <c:v>5399.83</c:v>
                </c:pt>
                <c:pt idx="224">
                  <c:v>22982.44</c:v>
                </c:pt>
                <c:pt idx="225">
                  <c:v>32333.95</c:v>
                </c:pt>
                <c:pt idx="226">
                  <c:v>-29957.91</c:v>
                </c:pt>
                <c:pt idx="227">
                  <c:v>109608.28</c:v>
                </c:pt>
                <c:pt idx="228">
                  <c:v>62733.95</c:v>
                </c:pt>
                <c:pt idx="229">
                  <c:v>115533.17</c:v>
                </c:pt>
                <c:pt idx="230">
                  <c:v>87657.7</c:v>
                </c:pt>
                <c:pt idx="231">
                  <c:v>-5361.53</c:v>
                </c:pt>
                <c:pt idx="232">
                  <c:v>105199.27</c:v>
                </c:pt>
                <c:pt idx="233">
                  <c:v>5987.64</c:v>
                </c:pt>
                <c:pt idx="234">
                  <c:v>16217.07</c:v>
                </c:pt>
                <c:pt idx="235">
                  <c:v>50791.31</c:v>
                </c:pt>
                <c:pt idx="236">
                  <c:v>25479.22</c:v>
                </c:pt>
                <c:pt idx="237">
                  <c:v>32092.79</c:v>
                </c:pt>
                <c:pt idx="238">
                  <c:v>136929.16</c:v>
                </c:pt>
                <c:pt idx="239">
                  <c:v>1943.33</c:v>
                </c:pt>
                <c:pt idx="240">
                  <c:v>88070.02</c:v>
                </c:pt>
                <c:pt idx="241">
                  <c:v>96050.94</c:v>
                </c:pt>
                <c:pt idx="242">
                  <c:v>-5172.8100000000004</c:v>
                </c:pt>
                <c:pt idx="243">
                  <c:v>28329.61</c:v>
                </c:pt>
                <c:pt idx="244">
                  <c:v>191546.72</c:v>
                </c:pt>
                <c:pt idx="245">
                  <c:v>54069.19</c:v>
                </c:pt>
                <c:pt idx="246">
                  <c:v>33045.94</c:v>
                </c:pt>
                <c:pt idx="247">
                  <c:v>118681.89</c:v>
                </c:pt>
                <c:pt idx="248">
                  <c:v>-19955.13</c:v>
                </c:pt>
                <c:pt idx="249">
                  <c:v>138082.74</c:v>
                </c:pt>
                <c:pt idx="250">
                  <c:v>-19354.32</c:v>
                </c:pt>
                <c:pt idx="251">
                  <c:v>-13470.38</c:v>
                </c:pt>
                <c:pt idx="252">
                  <c:v>-47518.73</c:v>
                </c:pt>
                <c:pt idx="253">
                  <c:v>167018.6</c:v>
                </c:pt>
                <c:pt idx="254">
                  <c:v>22621.37</c:v>
                </c:pt>
                <c:pt idx="255">
                  <c:v>-19231.82</c:v>
                </c:pt>
                <c:pt idx="256">
                  <c:v>16328.44</c:v>
                </c:pt>
                <c:pt idx="257">
                  <c:v>22363.25</c:v>
                </c:pt>
                <c:pt idx="258">
                  <c:v>-20720.23</c:v>
                </c:pt>
                <c:pt idx="259">
                  <c:v>4215.59</c:v>
                </c:pt>
                <c:pt idx="260">
                  <c:v>23367.66</c:v>
                </c:pt>
                <c:pt idx="261">
                  <c:v>-23219.72</c:v>
                </c:pt>
                <c:pt idx="262">
                  <c:v>34437.85</c:v>
                </c:pt>
                <c:pt idx="263">
                  <c:v>69672.44</c:v>
                </c:pt>
                <c:pt idx="264">
                  <c:v>-14123.84</c:v>
                </c:pt>
                <c:pt idx="265">
                  <c:v>12462.12</c:v>
                </c:pt>
                <c:pt idx="266">
                  <c:v>121473.08</c:v>
                </c:pt>
                <c:pt idx="267">
                  <c:v>39696.25</c:v>
                </c:pt>
                <c:pt idx="268">
                  <c:v>-8288.3700000000008</c:v>
                </c:pt>
                <c:pt idx="269">
                  <c:v>12629.84</c:v>
                </c:pt>
                <c:pt idx="270">
                  <c:v>66825.33</c:v>
                </c:pt>
                <c:pt idx="271">
                  <c:v>108773.99</c:v>
                </c:pt>
                <c:pt idx="272">
                  <c:v>206543.72</c:v>
                </c:pt>
                <c:pt idx="273">
                  <c:v>15610.18</c:v>
                </c:pt>
                <c:pt idx="274">
                  <c:v>42207.22</c:v>
                </c:pt>
                <c:pt idx="275">
                  <c:v>78918.53</c:v>
                </c:pt>
                <c:pt idx="276">
                  <c:v>-29445.62</c:v>
                </c:pt>
                <c:pt idx="277">
                  <c:v>-5052.46</c:v>
                </c:pt>
                <c:pt idx="278">
                  <c:v>-9528.4599999999991</c:v>
                </c:pt>
                <c:pt idx="279">
                  <c:v>152916.6</c:v>
                </c:pt>
                <c:pt idx="280">
                  <c:v>196750.4</c:v>
                </c:pt>
                <c:pt idx="281">
                  <c:v>-4391.78</c:v>
                </c:pt>
                <c:pt idx="282">
                  <c:v>93911.7</c:v>
                </c:pt>
                <c:pt idx="283">
                  <c:v>-21714</c:v>
                </c:pt>
                <c:pt idx="284">
                  <c:v>-2884.89</c:v>
                </c:pt>
                <c:pt idx="285">
                  <c:v>93364.66</c:v>
                </c:pt>
                <c:pt idx="286">
                  <c:v>47119.45</c:v>
                </c:pt>
                <c:pt idx="287">
                  <c:v>19114.34</c:v>
                </c:pt>
                <c:pt idx="288">
                  <c:v>7479</c:v>
                </c:pt>
                <c:pt idx="289">
                  <c:v>46325.2</c:v>
                </c:pt>
                <c:pt idx="290">
                  <c:v>62489.03</c:v>
                </c:pt>
                <c:pt idx="291">
                  <c:v>-23389.09</c:v>
                </c:pt>
                <c:pt idx="292">
                  <c:v>60332.95</c:v>
                </c:pt>
                <c:pt idx="293">
                  <c:v>65835.23</c:v>
                </c:pt>
                <c:pt idx="294">
                  <c:v>27017.15</c:v>
                </c:pt>
                <c:pt idx="295">
                  <c:v>53816.97</c:v>
                </c:pt>
                <c:pt idx="296">
                  <c:v>91084.91</c:v>
                </c:pt>
                <c:pt idx="297">
                  <c:v>28714.62</c:v>
                </c:pt>
                <c:pt idx="298">
                  <c:v>18784.22</c:v>
                </c:pt>
                <c:pt idx="299">
                  <c:v>198489.58</c:v>
                </c:pt>
                <c:pt idx="300">
                  <c:v>-2575.14</c:v>
                </c:pt>
                <c:pt idx="301">
                  <c:v>35661.269999999997</c:v>
                </c:pt>
                <c:pt idx="302">
                  <c:v>90552.15</c:v>
                </c:pt>
                <c:pt idx="303">
                  <c:v>-8889.07</c:v>
                </c:pt>
                <c:pt idx="304">
                  <c:v>13231.44</c:v>
                </c:pt>
                <c:pt idx="305">
                  <c:v>-1671.9</c:v>
                </c:pt>
                <c:pt idx="306">
                  <c:v>5980.86</c:v>
                </c:pt>
                <c:pt idx="307">
                  <c:v>1206.99</c:v>
                </c:pt>
                <c:pt idx="308">
                  <c:v>57429.48</c:v>
                </c:pt>
                <c:pt idx="309">
                  <c:v>37114.639999999999</c:v>
                </c:pt>
                <c:pt idx="310">
                  <c:v>1141.8</c:v>
                </c:pt>
                <c:pt idx="311">
                  <c:v>-17346.71</c:v>
                </c:pt>
                <c:pt idx="312">
                  <c:v>1506.63</c:v>
                </c:pt>
                <c:pt idx="313">
                  <c:v>41831.379999999997</c:v>
                </c:pt>
                <c:pt idx="314">
                  <c:v>-25780.07</c:v>
                </c:pt>
                <c:pt idx="315">
                  <c:v>-27863.439999999999</c:v>
                </c:pt>
                <c:pt idx="316">
                  <c:v>260461.58</c:v>
                </c:pt>
                <c:pt idx="317">
                  <c:v>81892.69</c:v>
                </c:pt>
                <c:pt idx="318">
                  <c:v>-15537.73</c:v>
                </c:pt>
                <c:pt idx="319">
                  <c:v>110022.83</c:v>
                </c:pt>
                <c:pt idx="320">
                  <c:v>290262.63</c:v>
                </c:pt>
                <c:pt idx="321">
                  <c:v>11683.95</c:v>
                </c:pt>
                <c:pt idx="322">
                  <c:v>14789.28</c:v>
                </c:pt>
                <c:pt idx="323">
                  <c:v>70602.850000000006</c:v>
                </c:pt>
                <c:pt idx="324">
                  <c:v>85190.9</c:v>
                </c:pt>
                <c:pt idx="325">
                  <c:v>12219.82</c:v>
                </c:pt>
                <c:pt idx="326">
                  <c:v>92129.36</c:v>
                </c:pt>
                <c:pt idx="327">
                  <c:v>58052.75</c:v>
                </c:pt>
                <c:pt idx="328">
                  <c:v>-3960.39</c:v>
                </c:pt>
                <c:pt idx="329">
                  <c:v>52719.87</c:v>
                </c:pt>
                <c:pt idx="330">
                  <c:v>68177.34</c:v>
                </c:pt>
                <c:pt idx="331">
                  <c:v>187590.56</c:v>
                </c:pt>
                <c:pt idx="332">
                  <c:v>100856.15</c:v>
                </c:pt>
                <c:pt idx="333">
                  <c:v>26961.200000000001</c:v>
                </c:pt>
                <c:pt idx="334">
                  <c:v>21903.58</c:v>
                </c:pt>
                <c:pt idx="335">
                  <c:v>58865.07</c:v>
                </c:pt>
                <c:pt idx="336">
                  <c:v>-14851.04</c:v>
                </c:pt>
                <c:pt idx="337">
                  <c:v>2569.09</c:v>
                </c:pt>
                <c:pt idx="338">
                  <c:v>25952.080000000002</c:v>
                </c:pt>
                <c:pt idx="339">
                  <c:v>29736.13</c:v>
                </c:pt>
                <c:pt idx="340">
                  <c:v>40396.269999999997</c:v>
                </c:pt>
                <c:pt idx="341">
                  <c:v>153511.93</c:v>
                </c:pt>
                <c:pt idx="342">
                  <c:v>12763.96</c:v>
                </c:pt>
                <c:pt idx="343">
                  <c:v>45454.61</c:v>
                </c:pt>
                <c:pt idx="344">
                  <c:v>145789.57</c:v>
                </c:pt>
                <c:pt idx="345">
                  <c:v>25302.93</c:v>
                </c:pt>
                <c:pt idx="346">
                  <c:v>2136.96</c:v>
                </c:pt>
                <c:pt idx="347">
                  <c:v>68713.919999999998</c:v>
                </c:pt>
                <c:pt idx="348">
                  <c:v>88348.73</c:v>
                </c:pt>
                <c:pt idx="349">
                  <c:v>1647.05</c:v>
                </c:pt>
                <c:pt idx="350">
                  <c:v>15485.64</c:v>
                </c:pt>
                <c:pt idx="351">
                  <c:v>34108.730000000003</c:v>
                </c:pt>
                <c:pt idx="352">
                  <c:v>80405.36</c:v>
                </c:pt>
                <c:pt idx="353">
                  <c:v>-24623.15</c:v>
                </c:pt>
                <c:pt idx="354">
                  <c:v>3789.39</c:v>
                </c:pt>
                <c:pt idx="355">
                  <c:v>58339.93</c:v>
                </c:pt>
                <c:pt idx="356">
                  <c:v>103533.06</c:v>
                </c:pt>
                <c:pt idx="357">
                  <c:v>29069.54</c:v>
                </c:pt>
                <c:pt idx="358">
                  <c:v>117769.56</c:v>
                </c:pt>
                <c:pt idx="359">
                  <c:v>56969.15</c:v>
                </c:pt>
                <c:pt idx="360">
                  <c:v>25894.81</c:v>
                </c:pt>
                <c:pt idx="361">
                  <c:v>110694.65</c:v>
                </c:pt>
                <c:pt idx="362">
                  <c:v>4724.71</c:v>
                </c:pt>
                <c:pt idx="363">
                  <c:v>126082.68</c:v>
                </c:pt>
                <c:pt idx="364">
                  <c:v>75798.22</c:v>
                </c:pt>
                <c:pt idx="365">
                  <c:v>-7599.19</c:v>
                </c:pt>
                <c:pt idx="366">
                  <c:v>-28504.880000000001</c:v>
                </c:pt>
                <c:pt idx="367">
                  <c:v>134703.59</c:v>
                </c:pt>
                <c:pt idx="368">
                  <c:v>52365.95</c:v>
                </c:pt>
                <c:pt idx="369">
                  <c:v>21606.03</c:v>
                </c:pt>
                <c:pt idx="370">
                  <c:v>148986.78</c:v>
                </c:pt>
                <c:pt idx="371">
                  <c:v>50513.23</c:v>
                </c:pt>
                <c:pt idx="372">
                  <c:v>22831.63</c:v>
                </c:pt>
                <c:pt idx="373">
                  <c:v>-8477.3700000000008</c:v>
                </c:pt>
                <c:pt idx="374">
                  <c:v>76199.98</c:v>
                </c:pt>
                <c:pt idx="375">
                  <c:v>58157.32</c:v>
                </c:pt>
                <c:pt idx="376">
                  <c:v>117757.21</c:v>
                </c:pt>
                <c:pt idx="377">
                  <c:v>48913.63</c:v>
                </c:pt>
                <c:pt idx="378">
                  <c:v>57871.28</c:v>
                </c:pt>
                <c:pt idx="379">
                  <c:v>-27304.99</c:v>
                </c:pt>
                <c:pt idx="380">
                  <c:v>13320.23</c:v>
                </c:pt>
                <c:pt idx="381">
                  <c:v>48142.15</c:v>
                </c:pt>
                <c:pt idx="382">
                  <c:v>3455.05</c:v>
                </c:pt>
                <c:pt idx="383">
                  <c:v>104555.55</c:v>
                </c:pt>
                <c:pt idx="384">
                  <c:v>66323.350000000006</c:v>
                </c:pt>
                <c:pt idx="385">
                  <c:v>4958.66</c:v>
                </c:pt>
                <c:pt idx="386">
                  <c:v>50101.99</c:v>
                </c:pt>
                <c:pt idx="387">
                  <c:v>118153.02</c:v>
                </c:pt>
                <c:pt idx="388">
                  <c:v>-4060.25</c:v>
                </c:pt>
                <c:pt idx="389">
                  <c:v>104560.36</c:v>
                </c:pt>
                <c:pt idx="390">
                  <c:v>55016.15</c:v>
                </c:pt>
                <c:pt idx="391">
                  <c:v>31602.31</c:v>
                </c:pt>
                <c:pt idx="392">
                  <c:v>32015.59</c:v>
                </c:pt>
                <c:pt idx="393">
                  <c:v>79270.429999999993</c:v>
                </c:pt>
                <c:pt idx="394">
                  <c:v>162028.01999999999</c:v>
                </c:pt>
                <c:pt idx="395">
                  <c:v>-34650.720000000001</c:v>
                </c:pt>
                <c:pt idx="396">
                  <c:v>43398.31</c:v>
                </c:pt>
                <c:pt idx="397">
                  <c:v>-573.58000000000004</c:v>
                </c:pt>
                <c:pt idx="398">
                  <c:v>23313.46</c:v>
                </c:pt>
                <c:pt idx="399">
                  <c:v>-19680.900000000001</c:v>
                </c:pt>
                <c:pt idx="400">
                  <c:v>116472.24</c:v>
                </c:pt>
                <c:pt idx="401">
                  <c:v>49410.239999999998</c:v>
                </c:pt>
                <c:pt idx="402">
                  <c:v>8210.56</c:v>
                </c:pt>
                <c:pt idx="403">
                  <c:v>-13135.51</c:v>
                </c:pt>
                <c:pt idx="404">
                  <c:v>99865.4</c:v>
                </c:pt>
                <c:pt idx="405">
                  <c:v>129815.47</c:v>
                </c:pt>
                <c:pt idx="406">
                  <c:v>20881.060000000001</c:v>
                </c:pt>
                <c:pt idx="407">
                  <c:v>202046.96</c:v>
                </c:pt>
                <c:pt idx="408">
                  <c:v>166008.6</c:v>
                </c:pt>
                <c:pt idx="409">
                  <c:v>126466.35</c:v>
                </c:pt>
                <c:pt idx="410">
                  <c:v>-19289.37</c:v>
                </c:pt>
                <c:pt idx="411">
                  <c:v>-40262.43</c:v>
                </c:pt>
                <c:pt idx="412">
                  <c:v>17802.240000000002</c:v>
                </c:pt>
                <c:pt idx="413">
                  <c:v>90806.76</c:v>
                </c:pt>
                <c:pt idx="414">
                  <c:v>158761.07</c:v>
                </c:pt>
                <c:pt idx="415">
                  <c:v>-17497.75</c:v>
                </c:pt>
                <c:pt idx="416">
                  <c:v>3982.6</c:v>
                </c:pt>
                <c:pt idx="417">
                  <c:v>141456.75</c:v>
                </c:pt>
                <c:pt idx="418">
                  <c:v>-32256.41</c:v>
                </c:pt>
                <c:pt idx="419">
                  <c:v>29945.62</c:v>
                </c:pt>
                <c:pt idx="420">
                  <c:v>61443.24</c:v>
                </c:pt>
                <c:pt idx="421">
                  <c:v>153165.48000000001</c:v>
                </c:pt>
                <c:pt idx="422">
                  <c:v>156201.76</c:v>
                </c:pt>
                <c:pt idx="423">
                  <c:v>-39803.85</c:v>
                </c:pt>
                <c:pt idx="424">
                  <c:v>8734.73</c:v>
                </c:pt>
                <c:pt idx="425">
                  <c:v>133684.81</c:v>
                </c:pt>
                <c:pt idx="426">
                  <c:v>8869.61</c:v>
                </c:pt>
                <c:pt idx="427">
                  <c:v>122577.5</c:v>
                </c:pt>
                <c:pt idx="428">
                  <c:v>-10900.68</c:v>
                </c:pt>
                <c:pt idx="429">
                  <c:v>-9188.74</c:v>
                </c:pt>
                <c:pt idx="430">
                  <c:v>11701.8</c:v>
                </c:pt>
                <c:pt idx="431">
                  <c:v>52645.7</c:v>
                </c:pt>
                <c:pt idx="432">
                  <c:v>-10290.879999999999</c:v>
                </c:pt>
                <c:pt idx="433">
                  <c:v>7179.51</c:v>
                </c:pt>
                <c:pt idx="434">
                  <c:v>31932.38</c:v>
                </c:pt>
                <c:pt idx="435">
                  <c:v>-7819.07</c:v>
                </c:pt>
                <c:pt idx="436">
                  <c:v>45518.05</c:v>
                </c:pt>
                <c:pt idx="437">
                  <c:v>1553.37</c:v>
                </c:pt>
                <c:pt idx="438">
                  <c:v>-2246.48</c:v>
                </c:pt>
                <c:pt idx="439">
                  <c:v>114057.63</c:v>
                </c:pt>
                <c:pt idx="440">
                  <c:v>-11060.55</c:v>
                </c:pt>
                <c:pt idx="441">
                  <c:v>27022</c:v>
                </c:pt>
                <c:pt idx="442">
                  <c:v>-47864.3</c:v>
                </c:pt>
                <c:pt idx="443">
                  <c:v>125284.74</c:v>
                </c:pt>
                <c:pt idx="444">
                  <c:v>213734.02</c:v>
                </c:pt>
                <c:pt idx="445">
                  <c:v>-19827.16</c:v>
                </c:pt>
                <c:pt idx="446">
                  <c:v>118415.32</c:v>
                </c:pt>
                <c:pt idx="447">
                  <c:v>63164.68</c:v>
                </c:pt>
                <c:pt idx="448">
                  <c:v>108301.65</c:v>
                </c:pt>
                <c:pt idx="449">
                  <c:v>31844.87</c:v>
                </c:pt>
                <c:pt idx="450">
                  <c:v>72178.929999999993</c:v>
                </c:pt>
                <c:pt idx="451">
                  <c:v>150713.56</c:v>
                </c:pt>
                <c:pt idx="452">
                  <c:v>65641.25</c:v>
                </c:pt>
                <c:pt idx="453">
                  <c:v>-29652.14</c:v>
                </c:pt>
                <c:pt idx="454">
                  <c:v>49533.25</c:v>
                </c:pt>
                <c:pt idx="455">
                  <c:v>10472.39</c:v>
                </c:pt>
                <c:pt idx="456">
                  <c:v>29028.86</c:v>
                </c:pt>
                <c:pt idx="457">
                  <c:v>18160.939999999999</c:v>
                </c:pt>
                <c:pt idx="458">
                  <c:v>-3656.5</c:v>
                </c:pt>
                <c:pt idx="459">
                  <c:v>96059.87</c:v>
                </c:pt>
                <c:pt idx="460">
                  <c:v>140655.95000000001</c:v>
                </c:pt>
                <c:pt idx="461">
                  <c:v>166637.26999999999</c:v>
                </c:pt>
                <c:pt idx="462">
                  <c:v>19359.47</c:v>
                </c:pt>
                <c:pt idx="463">
                  <c:v>21720.74</c:v>
                </c:pt>
                <c:pt idx="464">
                  <c:v>134005.87</c:v>
                </c:pt>
                <c:pt idx="465">
                  <c:v>-13166.7</c:v>
                </c:pt>
                <c:pt idx="466">
                  <c:v>141155.95000000001</c:v>
                </c:pt>
                <c:pt idx="467">
                  <c:v>94017.76</c:v>
                </c:pt>
                <c:pt idx="468">
                  <c:v>156207.51999999999</c:v>
                </c:pt>
                <c:pt idx="469">
                  <c:v>86655.76</c:v>
                </c:pt>
                <c:pt idx="470">
                  <c:v>199169.45</c:v>
                </c:pt>
                <c:pt idx="471">
                  <c:v>-6651.08</c:v>
                </c:pt>
                <c:pt idx="472">
                  <c:v>-31069.46</c:v>
                </c:pt>
                <c:pt idx="473">
                  <c:v>-2861.58</c:v>
                </c:pt>
                <c:pt idx="474">
                  <c:v>86233.36</c:v>
                </c:pt>
                <c:pt idx="475">
                  <c:v>78969.48</c:v>
                </c:pt>
                <c:pt idx="476">
                  <c:v>152671.10999999999</c:v>
                </c:pt>
                <c:pt idx="477">
                  <c:v>40166.47</c:v>
                </c:pt>
                <c:pt idx="478">
                  <c:v>43444.53</c:v>
                </c:pt>
                <c:pt idx="479">
                  <c:v>90796.05</c:v>
                </c:pt>
                <c:pt idx="480">
                  <c:v>-46819.35</c:v>
                </c:pt>
                <c:pt idx="481">
                  <c:v>-25558.99</c:v>
                </c:pt>
                <c:pt idx="482">
                  <c:v>43743.16</c:v>
                </c:pt>
                <c:pt idx="483">
                  <c:v>13597.25</c:v>
                </c:pt>
                <c:pt idx="484">
                  <c:v>63441</c:v>
                </c:pt>
                <c:pt idx="485">
                  <c:v>242440.67</c:v>
                </c:pt>
                <c:pt idx="486">
                  <c:v>37144.39</c:v>
                </c:pt>
                <c:pt idx="487">
                  <c:v>50204.2</c:v>
                </c:pt>
                <c:pt idx="488">
                  <c:v>29650.97</c:v>
                </c:pt>
                <c:pt idx="489">
                  <c:v>-18010.490000000002</c:v>
                </c:pt>
                <c:pt idx="490">
                  <c:v>18487.240000000002</c:v>
                </c:pt>
                <c:pt idx="491">
                  <c:v>67402.69</c:v>
                </c:pt>
                <c:pt idx="492">
                  <c:v>40607.78</c:v>
                </c:pt>
                <c:pt idx="493">
                  <c:v>3800.55</c:v>
                </c:pt>
                <c:pt idx="494">
                  <c:v>32455.48</c:v>
                </c:pt>
                <c:pt idx="495">
                  <c:v>45323.5</c:v>
                </c:pt>
                <c:pt idx="496">
                  <c:v>127782.23</c:v>
                </c:pt>
                <c:pt idx="497">
                  <c:v>-47689.34</c:v>
                </c:pt>
                <c:pt idx="498">
                  <c:v>15749.45</c:v>
                </c:pt>
                <c:pt idx="499">
                  <c:v>9626.1</c:v>
                </c:pt>
              </c:numCache>
            </c:numRef>
          </c:yVal>
          <c:smooth val="0"/>
          <c:extLst>
            <c:ext xmlns:c16="http://schemas.microsoft.com/office/drawing/2014/chart" uri="{C3380CC4-5D6E-409C-BE32-E72D297353CC}">
              <c16:uniqueId val="{00000000-2E02-4E05-BDB3-0C5F741D229F}"/>
            </c:ext>
          </c:extLst>
        </c:ser>
        <c:dLbls>
          <c:showLegendKey val="0"/>
          <c:showVal val="0"/>
          <c:showCatName val="0"/>
          <c:showSerName val="0"/>
          <c:showPercent val="0"/>
          <c:showBubbleSize val="0"/>
        </c:dLbls>
        <c:axId val="772584787"/>
        <c:axId val="961255761"/>
      </c:scatterChart>
      <c:valAx>
        <c:axId val="772584787"/>
        <c:scaling>
          <c:orientation val="minMax"/>
        </c:scaling>
        <c:delete val="0"/>
        <c:axPos val="b"/>
        <c:majorGridlines>
          <c:spPr>
            <a:ln w="9525" cap="flat" cmpd="sng" algn="ctr">
              <a:solidFill>
                <a:schemeClr val="lt1">
                  <a:lumMod val="90200"/>
                </a:schemeClr>
              </a:solidFill>
              <a:round/>
            </a:ln>
            <a:effectLst/>
          </c:spPr>
        </c:majorGridlines>
        <c:title>
          <c:tx>
            <c:rich>
              <a:bodyPr rot="0" spcFirstLastPara="0" vertOverflow="ellipsis" vert="horz" wrap="square" anchor="ctr" anchorCtr="1"/>
              <a:lstStyle/>
              <a:p>
                <a:pPr defTabSz="914400">
                  <a:defRPr lang="en-US" sz="1000" b="1" i="0" u="none" strike="noStrike" kern="1200" baseline="0">
                    <a:solidFill>
                      <a:schemeClr val="tx1">
                        <a:lumMod val="65000"/>
                        <a:lumOff val="35000"/>
                      </a:schemeClr>
                    </a:solidFill>
                    <a:latin typeface="+mn-lt"/>
                    <a:ea typeface="+mn-ea"/>
                    <a:cs typeface="+mn-cs"/>
                  </a:defRPr>
                </a:pPr>
                <a:r>
                  <a:rPr b="1"/>
                  <a:t>Fuel Cost</a:t>
                </a:r>
              </a:p>
            </c:rich>
          </c:tx>
          <c:overlay val="0"/>
          <c:spPr>
            <a:noFill/>
            <a:ln>
              <a:noFill/>
            </a:ln>
            <a:effectLst/>
          </c:spPr>
          <c:txPr>
            <a:bodyPr rot="0" spcFirstLastPara="0" vertOverflow="ellipsis" vert="horz" wrap="square" anchor="ctr" anchorCtr="1"/>
            <a:lstStyle/>
            <a:p>
              <a:pPr defTabSz="914400">
                <a:defRPr lang="en-US"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chemeClr val="tx1">
                <a:lumMod val="15000"/>
                <a:lumOff val="85000"/>
              </a:schemeClr>
            </a:solidFill>
            <a:miter lim="800000"/>
          </a:ln>
          <a:effectLst/>
        </c:spPr>
        <c:txPr>
          <a:bodyPr rot="-60000000" spcFirstLastPara="0"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endParaRPr lang="en-US"/>
          </a:p>
        </c:txPr>
        <c:crossAx val="961255761"/>
        <c:crosses val="autoZero"/>
        <c:crossBetween val="midCat"/>
      </c:valAx>
      <c:valAx>
        <c:axId val="961255761"/>
        <c:scaling>
          <c:orientation val="minMax"/>
        </c:scaling>
        <c:delete val="0"/>
        <c:axPos val="l"/>
        <c:majorGridlines>
          <c:spPr>
            <a:ln w="9525" cap="flat" cmpd="sng" algn="ctr">
              <a:solidFill>
                <a:schemeClr val="lt1">
                  <a:lumMod val="90200"/>
                </a:schemeClr>
              </a:solidFill>
              <a:round/>
            </a:ln>
            <a:effectLst/>
          </c:spPr>
        </c:majorGridlines>
        <c:title>
          <c:tx>
            <c:rich>
              <a:bodyPr rot="-5400000" spcFirstLastPara="0" vertOverflow="ellipsis" vert="horz" wrap="square" anchor="ctr" anchorCtr="1"/>
              <a:lstStyle/>
              <a:p>
                <a:pPr defTabSz="914400">
                  <a:defRPr lang="en-US" sz="1000" b="1" i="0" u="none" strike="noStrike" kern="1200" baseline="0">
                    <a:solidFill>
                      <a:schemeClr val="tx1">
                        <a:lumMod val="65000"/>
                        <a:lumOff val="35000"/>
                      </a:schemeClr>
                    </a:solidFill>
                    <a:latin typeface="+mn-lt"/>
                    <a:ea typeface="+mn-ea"/>
                    <a:cs typeface="+mn-cs"/>
                  </a:defRPr>
                </a:pPr>
                <a:r>
                  <a:rPr b="1"/>
                  <a:t>Proft</a:t>
                </a:r>
              </a:p>
            </c:rich>
          </c:tx>
          <c:overlay val="0"/>
          <c:spPr>
            <a:noFill/>
            <a:ln>
              <a:noFill/>
            </a:ln>
            <a:effectLst/>
          </c:spPr>
          <c:txPr>
            <a:bodyPr rot="-5400000" spcFirstLastPara="0" vertOverflow="ellipsis" vert="horz" wrap="square" anchor="ctr" anchorCtr="1"/>
            <a:lstStyle/>
            <a:p>
              <a:pPr defTabSz="914400">
                <a:defRPr lang="en-US" sz="1000" b="1" i="0" u="none" strike="noStrike" kern="1200" baseline="0">
                  <a:solidFill>
                    <a:schemeClr val="tx1">
                      <a:lumMod val="65000"/>
                      <a:lumOff val="35000"/>
                    </a:schemeClr>
                  </a:solidFill>
                  <a:latin typeface="+mn-lt"/>
                  <a:ea typeface="+mn-ea"/>
                  <a:cs typeface="+mn-cs"/>
                </a:defRPr>
              </a:pPr>
              <a:endParaRPr lang="en-US"/>
            </a:p>
          </c:txPr>
        </c:title>
        <c:numFmt formatCode="&quot;$&quot;#,##0_);[Red]\(&quot;$&quot;#,##0\)" sourceLinked="0"/>
        <c:majorTickMark val="none"/>
        <c:minorTickMark val="none"/>
        <c:tickLblPos val="nextTo"/>
        <c:spPr>
          <a:noFill/>
          <a:ln w="15875" cap="flat" cmpd="sng" algn="ctr">
            <a:solidFill>
              <a:schemeClr val="tx1">
                <a:lumMod val="15000"/>
                <a:lumOff val="85000"/>
                <a:alpha val="91000"/>
              </a:schemeClr>
            </a:solidFill>
            <a:round/>
          </a:ln>
          <a:effectLst/>
        </c:spPr>
        <c:txPr>
          <a:bodyPr rot="-60000000" spcFirstLastPara="0"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endParaRPr lang="en-US"/>
          </a:p>
        </c:txPr>
        <c:crossAx val="772584787"/>
        <c:crosses val="autoZero"/>
        <c:crossBetween val="midCat"/>
      </c:valAx>
      <c:spPr>
        <a:noFill/>
        <a:ln w="9525" cap="flat" cmpd="sng" algn="ctr">
          <a:solidFill>
            <a:schemeClr val="tx1">
              <a:lumMod val="15000"/>
              <a:lumOff val="85000"/>
            </a:schemeClr>
          </a:solidFill>
          <a:round/>
        </a:ln>
        <a:effectLst/>
      </c:spPr>
    </c:plotArea>
    <c:plotVisOnly val="1"/>
    <c:dispBlanksAs val="gap"/>
    <c:showDLblsOverMax val="0"/>
    <c:extLst>
      <c:ext uri="{0b15fc19-7d7d-44ad-8c2d-2c3a37ce22c3}">
        <chartProps xmlns="https://web.wps.cn/et/2018/main" chartId="{f2637ee8-7614-428e-bee2-2224ff4c3e54}"/>
      </c:ext>
    </c:extLst>
  </c:chart>
  <c:spPr>
    <a:solidFill>
      <a:schemeClr val="bg1"/>
    </a:solidFill>
    <a:ln w="9525" cap="flat" cmpd="sng" algn="ctr">
      <a:solidFill>
        <a:schemeClr val="tx1">
          <a:lumMod val="15000"/>
          <a:lumOff val="85000"/>
        </a:schemeClr>
      </a:solidFill>
      <a:round/>
    </a:ln>
    <a:effectLst/>
  </c:spPr>
  <c:txPr>
    <a:bodyPr/>
    <a:lstStyle/>
    <a:p>
      <a:pPr>
        <a:defRPr lang="en-US" b="1"/>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Revenue Breakdown by Top 8 Airports</a:t>
            </a:r>
          </a:p>
        </c:rich>
      </c:tx>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tx>
            <c:strRef>
              <c:f>'Stat Analysis'!$H$79</c:f>
              <c:strCache>
                <c:ptCount val="1"/>
                <c:pt idx="0">
                  <c:v>Total Revenue</c:v>
                </c:pt>
              </c:strCache>
            </c:strRef>
          </c:tx>
          <c:spPr>
            <a:solidFill>
              <a:schemeClr val="accent1"/>
            </a:solidFill>
            <a:ln>
              <a:noFill/>
            </a:ln>
            <a:effectLst/>
          </c:spPr>
          <c:invertIfNegative val="0"/>
          <c:dLbls>
            <c:numFmt formatCode="&quot;$&quot;#,##0.00_);[Red]\(&quot;$&quot;#,##0.00\)" sourceLinked="0"/>
            <c:spPr>
              <a:solidFill>
                <a:schemeClr val="accent6">
                  <a:lumMod val="60000"/>
                  <a:lumOff val="40000"/>
                </a:schemeClr>
              </a:solid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 Analysis'!$G$80:$G$87</c:f>
              <c:strCache>
                <c:ptCount val="8"/>
                <c:pt idx="0">
                  <c:v>Hartsfield-Jackson Atlanta</c:v>
                </c:pt>
                <c:pt idx="1">
                  <c:v>Charlotte Douglas International</c:v>
                </c:pt>
                <c:pt idx="2">
                  <c:v>Newark Liberty International</c:v>
                </c:pt>
                <c:pt idx="3">
                  <c:v>Los Angeles International</c:v>
                </c:pt>
                <c:pt idx="4">
                  <c:v>Phoenix Sky Harbor</c:v>
                </c:pt>
                <c:pt idx="5">
                  <c:v>Minneapolis-Saint Paul</c:v>
                </c:pt>
                <c:pt idx="6">
                  <c:v>George Bush Intercontinental</c:v>
                </c:pt>
                <c:pt idx="7">
                  <c:v>San Francisco International</c:v>
                </c:pt>
              </c:strCache>
            </c:strRef>
          </c:cat>
          <c:val>
            <c:numRef>
              <c:f>'Stat Analysis'!$H$80:$H$87</c:f>
              <c:numCache>
                <c:formatCode>_ * #,##0.00_ ;_ * \-#,##0.00_ ;_ * "-"??_ ;_ @_ </c:formatCode>
                <c:ptCount val="8"/>
                <c:pt idx="0">
                  <c:v>3387371.0263550598</c:v>
                </c:pt>
                <c:pt idx="1">
                  <c:v>2946509.17</c:v>
                </c:pt>
                <c:pt idx="2">
                  <c:v>2836290.68</c:v>
                </c:pt>
                <c:pt idx="3">
                  <c:v>2508592.42</c:v>
                </c:pt>
                <c:pt idx="4">
                  <c:v>2421244.6033430202</c:v>
                </c:pt>
                <c:pt idx="5">
                  <c:v>2399596.9500000002</c:v>
                </c:pt>
                <c:pt idx="6">
                  <c:v>2303107.14</c:v>
                </c:pt>
                <c:pt idx="7">
                  <c:v>2210055.6421366301</c:v>
                </c:pt>
              </c:numCache>
            </c:numRef>
          </c:val>
          <c:extLst>
            <c:ext xmlns:c16="http://schemas.microsoft.com/office/drawing/2014/chart" uri="{C3380CC4-5D6E-409C-BE32-E72D297353CC}">
              <c16:uniqueId val="{00000000-8EE9-4C06-BF37-57C0DA478DD5}"/>
            </c:ext>
          </c:extLst>
        </c:ser>
        <c:ser>
          <c:idx val="1"/>
          <c:order val="1"/>
          <c:tx>
            <c:strRef>
              <c:f>'Stat Analysis'!$I$79</c:f>
              <c:strCache>
                <c:ptCount val="1"/>
                <c:pt idx="0">
                  <c:v>Ancillary Revenue</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 Analysis'!$G$80:$G$87</c:f>
              <c:strCache>
                <c:ptCount val="8"/>
                <c:pt idx="0">
                  <c:v>Hartsfield-Jackson Atlanta</c:v>
                </c:pt>
                <c:pt idx="1">
                  <c:v>Charlotte Douglas International</c:v>
                </c:pt>
                <c:pt idx="2">
                  <c:v>Newark Liberty International</c:v>
                </c:pt>
                <c:pt idx="3">
                  <c:v>Los Angeles International</c:v>
                </c:pt>
                <c:pt idx="4">
                  <c:v>Phoenix Sky Harbor</c:v>
                </c:pt>
                <c:pt idx="5">
                  <c:v>Minneapolis-Saint Paul</c:v>
                </c:pt>
                <c:pt idx="6">
                  <c:v>George Bush Intercontinental</c:v>
                </c:pt>
                <c:pt idx="7">
                  <c:v>San Francisco International</c:v>
                </c:pt>
              </c:strCache>
            </c:strRef>
          </c:cat>
          <c:val>
            <c:numRef>
              <c:f>'Stat Analysis'!$I$80:$I$87</c:f>
              <c:numCache>
                <c:formatCode>_ * #,##0.00_ ;_ * \-#,##0.00_ ;_ * "-"??_ ;_ @_ </c:formatCode>
                <c:ptCount val="8"/>
                <c:pt idx="0">
                  <c:v>116115.5</c:v>
                </c:pt>
                <c:pt idx="1">
                  <c:v>88849.48</c:v>
                </c:pt>
                <c:pt idx="2">
                  <c:v>91300.14</c:v>
                </c:pt>
                <c:pt idx="3">
                  <c:v>118911.55</c:v>
                </c:pt>
                <c:pt idx="4">
                  <c:v>112403.77</c:v>
                </c:pt>
                <c:pt idx="5">
                  <c:v>101833.3</c:v>
                </c:pt>
                <c:pt idx="6">
                  <c:v>92751.41</c:v>
                </c:pt>
                <c:pt idx="7">
                  <c:v>117783.71</c:v>
                </c:pt>
              </c:numCache>
            </c:numRef>
          </c:val>
          <c:extLst>
            <c:ext xmlns:c16="http://schemas.microsoft.com/office/drawing/2014/chart" uri="{C3380CC4-5D6E-409C-BE32-E72D297353CC}">
              <c16:uniqueId val="{00000001-8EE9-4C06-BF37-57C0DA478DD5}"/>
            </c:ext>
          </c:extLst>
        </c:ser>
        <c:dLbls>
          <c:showLegendKey val="0"/>
          <c:showVal val="0"/>
          <c:showCatName val="0"/>
          <c:showSerName val="0"/>
          <c:showPercent val="0"/>
          <c:showBubbleSize val="0"/>
        </c:dLbls>
        <c:gapWidth val="140"/>
        <c:overlap val="-40"/>
        <c:axId val="14914468"/>
        <c:axId val="105821937"/>
      </c:barChart>
      <c:catAx>
        <c:axId val="14914468"/>
        <c:scaling>
          <c:orientation val="minMax"/>
        </c:scaling>
        <c:delete val="0"/>
        <c:axPos val="l"/>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05821937"/>
        <c:crosses val="autoZero"/>
        <c:auto val="1"/>
        <c:lblAlgn val="ctr"/>
        <c:lblOffset val="100"/>
        <c:noMultiLvlLbl val="0"/>
      </c:catAx>
      <c:valAx>
        <c:axId val="105821937"/>
        <c:scaling>
          <c:orientation val="minMax"/>
        </c:scaling>
        <c:delete val="1"/>
        <c:axPos val="b"/>
        <c:majorGridlines>
          <c:spPr>
            <a:ln w="9525" cap="flat" cmpd="sng" algn="ctr">
              <a:solidFill>
                <a:schemeClr val="lt1">
                  <a:lumMod val="90200"/>
                </a:schemeClr>
              </a:solidFill>
              <a:round/>
            </a:ln>
            <a:effectLst/>
          </c:spPr>
        </c:majorGridlines>
        <c:numFmt formatCode="_ * #,##0.00_ ;_ * \-#,##0.00_ ;_ * &quot;-&quot;??_ ;_ @_ " sourceLinked="1"/>
        <c:majorTickMark val="none"/>
        <c:minorTickMark val="none"/>
        <c:tickLblPos val="nextTo"/>
        <c:crossAx val="14914468"/>
        <c:crosses val="autoZero"/>
        <c:crossBetween val="between"/>
      </c:valAx>
      <c:spPr>
        <a:noFill/>
        <a:ln>
          <a:noFill/>
        </a:ln>
        <a:effectLst/>
      </c:spPr>
    </c:plotArea>
    <c:legend>
      <c:legendPos val="b"/>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6b7a8dd8-f627-4436-98e5-57ecb29f50f7}"/>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rPr lang="en-US"/>
              <a:t>Flight Status Distribution</a:t>
            </a:r>
          </a:p>
        </c:rich>
      </c:tx>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endParaRPr lang="en-US"/>
        </a:p>
      </c:txPr>
    </c:title>
    <c:autoTitleDeleted val="0"/>
    <c:plotArea>
      <c:layout/>
      <c:pieChart>
        <c:varyColors val="1"/>
        <c:ser>
          <c:idx val="0"/>
          <c:order val="0"/>
          <c:tx>
            <c:strRef>
              <c:f>'Stat Analysis'!$G$8</c:f>
              <c:strCache>
                <c:ptCount val="1"/>
                <c:pt idx="0">
                  <c:v>Count</c:v>
                </c:pt>
              </c:strCache>
            </c:strRef>
          </c:tx>
          <c:dPt>
            <c:idx val="0"/>
            <c:bubble3D val="0"/>
            <c:spPr>
              <a:solidFill>
                <a:schemeClr val="accent1"/>
              </a:solidFill>
              <a:ln>
                <a:solidFill>
                  <a:schemeClr val="bg1"/>
                </a:solidFill>
              </a:ln>
              <a:effectLst/>
            </c:spPr>
            <c:extLst>
              <c:ext xmlns:c16="http://schemas.microsoft.com/office/drawing/2014/chart" uri="{C3380CC4-5D6E-409C-BE32-E72D297353CC}">
                <c16:uniqueId val="{00000001-2D1E-433C-8748-D3E2C27A0129}"/>
              </c:ext>
            </c:extLst>
          </c:dPt>
          <c:dPt>
            <c:idx val="1"/>
            <c:bubble3D val="0"/>
            <c:spPr>
              <a:solidFill>
                <a:schemeClr val="accent2"/>
              </a:solidFill>
              <a:ln>
                <a:solidFill>
                  <a:schemeClr val="bg1"/>
                </a:solidFill>
              </a:ln>
              <a:effectLst/>
            </c:spPr>
            <c:extLst>
              <c:ext xmlns:c16="http://schemas.microsoft.com/office/drawing/2014/chart" uri="{C3380CC4-5D6E-409C-BE32-E72D297353CC}">
                <c16:uniqueId val="{00000003-2D1E-433C-8748-D3E2C27A0129}"/>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2D1E-433C-8748-D3E2C27A0129}"/>
              </c:ext>
            </c:extLst>
          </c:dPt>
          <c:dLbls>
            <c:spPr>
              <a:solidFill>
                <a:schemeClr val="accent6">
                  <a:lumMod val="40000"/>
                  <a:lumOff val="60000"/>
                </a:schemeClr>
              </a:solidFill>
              <a:ln>
                <a:noFill/>
              </a:ln>
              <a:effectLst/>
            </c:spPr>
            <c:txPr>
              <a:bodyPr rot="0" spcFirstLastPara="0" vertOverflow="ellipsis" vert="horz" wrap="square" lIns="38100" tIns="19050" rIns="38100" bIns="19050" anchor="ctr" anchorCtr="1"/>
              <a:lstStyle/>
              <a:p>
                <a:pPr>
                  <a:defRPr lang="en-US"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 Analysis'!$F$9:$F$11</c:f>
              <c:strCache>
                <c:ptCount val="3"/>
                <c:pt idx="0">
                  <c:v>On-Time</c:v>
                </c:pt>
                <c:pt idx="1">
                  <c:v>Delayed</c:v>
                </c:pt>
                <c:pt idx="2">
                  <c:v>Cancelled</c:v>
                </c:pt>
              </c:strCache>
            </c:strRef>
          </c:cat>
          <c:val>
            <c:numRef>
              <c:f>'Stat Analysis'!$G$9:$G$11</c:f>
              <c:numCache>
                <c:formatCode>General</c:formatCode>
                <c:ptCount val="3"/>
                <c:pt idx="0">
                  <c:v>335</c:v>
                </c:pt>
                <c:pt idx="1">
                  <c:v>139</c:v>
                </c:pt>
                <c:pt idx="2">
                  <c:v>26</c:v>
                </c:pt>
              </c:numCache>
            </c:numRef>
          </c:val>
          <c:extLst>
            <c:ext xmlns:c16="http://schemas.microsoft.com/office/drawing/2014/chart" uri="{C3380CC4-5D6E-409C-BE32-E72D297353CC}">
              <c16:uniqueId val="{00000006-2D1E-433C-8748-D3E2C27A0129}"/>
            </c:ext>
          </c:extLst>
        </c:ser>
        <c:dLbls>
          <c:showLegendKey val="0"/>
          <c:showVal val="1"/>
          <c:showCatName val="0"/>
          <c:showSerName val="0"/>
          <c:showPercent val="1"/>
          <c:showBubbleSize val="0"/>
          <c:showLeaderLines val="1"/>
        </c:dLbls>
        <c:firstSliceAng val="0"/>
      </c:pieChart>
      <c:spPr>
        <a:noFill/>
        <a:ln>
          <a:noFill/>
        </a:ln>
        <a:effectLst/>
      </c:spPr>
    </c:plotArea>
    <c:legend>
      <c:legendPos val="t"/>
      <c:layout>
        <c:manualLayout>
          <c:xMode val="edge"/>
          <c:yMode val="edge"/>
          <c:x val="0.55921052631578905"/>
          <c:y val="0.86921296296296302"/>
        </c:manualLayout>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0f6ccba0-4aef-4cc3-8007-13788e18773d}"/>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rPr lang="en-US" b="1"/>
              <a:t>Top 5 Airlines by Total Revenue</a:t>
            </a:r>
          </a:p>
        </c:rich>
      </c:tx>
      <c:layout>
        <c:manualLayout>
          <c:xMode val="edge"/>
          <c:yMode val="edge"/>
          <c:x val="0.20921052631578901"/>
          <c:y val="6.25E-2"/>
        </c:manualLayout>
      </c:layout>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tx>
            <c:strRef>
              <c:f>'Stat Analysis'!$C$45</c:f>
              <c:strCache>
                <c:ptCount val="1"/>
                <c:pt idx="0">
                  <c:v>Sum of Total Revenue</c:v>
                </c:pt>
              </c:strCache>
            </c:strRef>
          </c:tx>
          <c:spPr>
            <a:solidFill>
              <a:schemeClr val="accent1"/>
            </a:solidFill>
            <a:ln>
              <a:noFill/>
            </a:ln>
            <a:effectLst/>
          </c:spPr>
          <c:invertIfNegative val="0"/>
          <c:dLbls>
            <c:numFmt formatCode="&quot;$&quot;#,##0.00_);[Red]\(&quot;$&quot;#,##0.00\)" sourceLinked="0"/>
            <c:spPr>
              <a:solidFill>
                <a:schemeClr val="accent6">
                  <a:lumMod val="40000"/>
                  <a:lumOff val="60000"/>
                </a:schemeClr>
              </a:solidFill>
              <a:ln>
                <a:noFill/>
              </a:ln>
              <a:effectLst/>
            </c:spPr>
            <c:txPr>
              <a:bodyPr rot="0" spcFirstLastPara="0" vertOverflow="ellipsis" vert="horz" wrap="square" lIns="38100" tIns="19050" rIns="38100" bIns="19050" anchor="ctr" anchorCtr="1"/>
              <a:lstStyle/>
              <a:p>
                <a:pPr>
                  <a:defRPr lang="en-US"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'[1]Stat Analysis'!$B$46:$B$50</c:f>
              <c:strCache>
                <c:ptCount val="5"/>
                <c:pt idx="0">
                  <c:v>United</c:v>
                </c:pt>
                <c:pt idx="1">
                  <c:v>American</c:v>
                </c:pt>
                <c:pt idx="2">
                  <c:v>Alaska</c:v>
                </c:pt>
                <c:pt idx="3">
                  <c:v>Spirit</c:v>
                </c:pt>
                <c:pt idx="4">
                  <c:v>Southwest</c:v>
                </c:pt>
              </c:strCache>
            </c:strRef>
          </c:cat>
          <c:val>
            <c:numRef>
              <c:f>'[1]Stat Analysis'!$C$46:$C$50</c:f>
              <c:numCache>
                <c:formatCode>_ * #,##0.00_ ;_ * \-#,##0.00_ ;_ * "-"??_ ;_ @_ </c:formatCode>
                <c:ptCount val="5"/>
                <c:pt idx="0">
                  <c:v>5204994.5633430202</c:v>
                </c:pt>
                <c:pt idx="1">
                  <c:v>5403300.8071366297</c:v>
                </c:pt>
                <c:pt idx="2">
                  <c:v>5660190.6780701801</c:v>
                </c:pt>
                <c:pt idx="3">
                  <c:v>6084130.6482848804</c:v>
                </c:pt>
                <c:pt idx="4">
                  <c:v>6470138.3600000003</c:v>
                </c:pt>
              </c:numCache>
            </c:numRef>
          </c:val>
          <c:extLst>
            <c:ext xmlns:c16="http://schemas.microsoft.com/office/drawing/2014/chart" uri="{C3380CC4-5D6E-409C-BE32-E72D297353CC}">
              <c16:uniqueId val="{00000000-0B8C-4FDA-B136-9259B688B61B}"/>
            </c:ext>
          </c:extLst>
        </c:ser>
        <c:dLbls>
          <c:showLegendKey val="0"/>
          <c:showVal val="1"/>
          <c:showCatName val="0"/>
          <c:showSerName val="0"/>
          <c:showPercent val="0"/>
          <c:showBubbleSize val="0"/>
        </c:dLbls>
        <c:gapWidth val="140"/>
        <c:overlap val="-40"/>
        <c:axId val="70980376"/>
        <c:axId val="142618009"/>
      </c:barChart>
      <c:catAx>
        <c:axId val="70980376"/>
        <c:scaling>
          <c:orientation val="minMax"/>
        </c:scaling>
        <c:delete val="0"/>
        <c:axPos val="l"/>
        <c:title>
          <c:tx>
            <c:rich>
              <a:bodyPr rot="-5400000" spcFirstLastPara="0" vertOverflow="ellipsis" vert="horz" wrap="square" anchor="ctr" anchorCtr="1"/>
              <a:lstStyle/>
              <a:p>
                <a:pPr defTabSz="914400">
                  <a:defRPr lang="en-US" sz="1000" b="1" i="0" u="none" strike="noStrike" kern="1200" baseline="0">
                    <a:solidFill>
                      <a:schemeClr val="tx1">
                        <a:lumMod val="65000"/>
                        <a:lumOff val="35000"/>
                      </a:schemeClr>
                    </a:solidFill>
                    <a:latin typeface="+mn-lt"/>
                    <a:ea typeface="+mn-ea"/>
                    <a:cs typeface="+mn-cs"/>
                  </a:defRPr>
                </a:pPr>
                <a:r>
                  <a:rPr lang="en-US" b="1"/>
                  <a:t>Airline</a:t>
                </a:r>
              </a:p>
            </c:rich>
          </c:tx>
          <c:overlay val="0"/>
          <c:spPr>
            <a:noFill/>
            <a:ln>
              <a:noFill/>
            </a:ln>
            <a:effectLst/>
          </c:spPr>
          <c:txPr>
            <a:bodyPr rot="-5400000" spcFirstLastPara="0" vertOverflow="ellipsis" vert="horz" wrap="square" anchor="ctr" anchorCtr="1"/>
            <a:lstStyle/>
            <a:p>
              <a:pPr defTabSz="914400">
                <a:defRPr lang="en-US"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endParaRPr lang="en-US"/>
          </a:p>
        </c:txPr>
        <c:crossAx val="142618009"/>
        <c:crosses val="autoZero"/>
        <c:auto val="1"/>
        <c:lblAlgn val="ctr"/>
        <c:lblOffset val="100"/>
        <c:noMultiLvlLbl val="0"/>
      </c:catAx>
      <c:valAx>
        <c:axId val="142618009"/>
        <c:scaling>
          <c:orientation val="minMax"/>
        </c:scaling>
        <c:delete val="1"/>
        <c:axPos val="b"/>
        <c:majorGridlines>
          <c:spPr>
            <a:ln w="9525" cap="flat" cmpd="sng" algn="ctr">
              <a:solidFill>
                <a:schemeClr val="lt1">
                  <a:lumMod val="90200"/>
                </a:schemeClr>
              </a:solidFill>
              <a:round/>
            </a:ln>
            <a:effectLst/>
          </c:spPr>
        </c:majorGridlines>
        <c:title>
          <c:tx>
            <c:rich>
              <a:bodyPr rot="0" spcFirstLastPara="0" vertOverflow="ellipsis" vert="horz" wrap="square" anchor="ctr" anchorCtr="1"/>
              <a:lstStyle/>
              <a:p>
                <a:pPr defTabSz="914400">
                  <a:defRPr lang="en-US" sz="1000" b="1" i="0" u="none" strike="noStrike" kern="1200" baseline="0">
                    <a:solidFill>
                      <a:schemeClr val="tx1">
                        <a:lumMod val="65000"/>
                        <a:lumOff val="35000"/>
                      </a:schemeClr>
                    </a:solidFill>
                    <a:latin typeface="+mn-lt"/>
                    <a:ea typeface="+mn-ea"/>
                    <a:cs typeface="+mn-cs"/>
                  </a:defRPr>
                </a:pPr>
                <a:r>
                  <a:rPr lang="en-US" b="1"/>
                  <a:t>Total Revenue ($)</a:t>
                </a:r>
              </a:p>
            </c:rich>
          </c:tx>
          <c:overlay val="0"/>
          <c:spPr>
            <a:noFill/>
            <a:ln>
              <a:noFill/>
            </a:ln>
            <a:effectLst/>
          </c:spPr>
          <c:txPr>
            <a:bodyPr rot="0" spcFirstLastPara="0" vertOverflow="ellipsis" vert="horz" wrap="square" anchor="ctr" anchorCtr="1"/>
            <a:lstStyle/>
            <a:p>
              <a:pPr defTabSz="914400">
                <a:defRPr lang="en-US" sz="1000" b="1" i="0" u="none" strike="noStrike" kern="1200" baseline="0">
                  <a:solidFill>
                    <a:schemeClr val="tx1">
                      <a:lumMod val="65000"/>
                      <a:lumOff val="35000"/>
                    </a:schemeClr>
                  </a:solidFill>
                  <a:latin typeface="+mn-lt"/>
                  <a:ea typeface="+mn-ea"/>
                  <a:cs typeface="+mn-cs"/>
                </a:defRPr>
              </a:pPr>
              <a:endParaRPr lang="en-US"/>
            </a:p>
          </c:txPr>
        </c:title>
        <c:numFmt formatCode="_ * #,##0.00_ ;_ * \-#,##0.00_ ;_ * &quot;-&quot;??_ ;_ @_ " sourceLinked="1"/>
        <c:majorTickMark val="none"/>
        <c:minorTickMark val="none"/>
        <c:tickLblPos val="nextTo"/>
        <c:crossAx val="70980376"/>
        <c:crosses val="autoZero"/>
        <c:crossBetween val="between"/>
      </c:valAx>
      <c:spPr>
        <a:noFill/>
        <a:ln>
          <a:noFill/>
        </a:ln>
        <a:effectLst/>
      </c:spPr>
    </c:plotArea>
    <c:plotVisOnly val="1"/>
    <c:dispBlanksAs val="gap"/>
    <c:showDLblsOverMax val="0"/>
    <c:extLst>
      <c:ext uri="{0b15fc19-7d7d-44ad-8c2d-2c3a37ce22c3}">
        <chartProps xmlns="https://web.wps.cn/et/2018/main" chartId="{702f7a50-dfe0-4a21-acd9-3dc388737185}"/>
      </c:ext>
    </c:extLst>
  </c:chart>
  <c:spPr>
    <a:solidFill>
      <a:schemeClr val="bg1"/>
    </a:solidFill>
    <a:ln w="9525" cap="flat" cmpd="sng" algn="ctr">
      <a:solidFill>
        <a:schemeClr val="tx1">
          <a:lumMod val="15000"/>
          <a:lumOff val="85000"/>
        </a:schemeClr>
      </a:solidFill>
      <a:round/>
    </a:ln>
    <a:effectLst/>
  </c:spPr>
  <c:txPr>
    <a:bodyPr/>
    <a:lstStyle/>
    <a:p>
      <a:pPr>
        <a:defRPr lang="en-US" b="1"/>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 2 airline_dataset (2).xlsx]Pivot Tables!PivotTable7</c:name>
    <c:fmtId val="2"/>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rPr lang="en-US"/>
              <a:t>Monthly Flight Count 2022-2024</a:t>
            </a:r>
          </a:p>
        </c:rich>
      </c:tx>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Tables'!$C$46</c:f>
              <c:strCache>
                <c:ptCount val="1"/>
                <c:pt idx="0">
                  <c:v>Total</c:v>
                </c:pt>
              </c:strCache>
            </c:strRef>
          </c:tx>
          <c:spPr>
            <a:ln w="28575" cap="rnd">
              <a:solidFill>
                <a:schemeClr val="accent1"/>
              </a:solidFill>
              <a:round/>
            </a:ln>
            <a:effectLst/>
          </c:spPr>
          <c:marker>
            <c:symbol val="none"/>
          </c:marker>
          <c:cat>
            <c:strRef>
              <c:f>'Pivot Tables'!$B$47:$B$82</c:f>
              <c:strCache>
                <c:ptCount val="36"/>
                <c:pt idx="0">
                  <c:v>2022-01</c:v>
                </c:pt>
                <c:pt idx="1">
                  <c:v>2022-02</c:v>
                </c:pt>
                <c:pt idx="2">
                  <c:v>2022-03</c:v>
                </c:pt>
                <c:pt idx="3">
                  <c:v>2022-04</c:v>
                </c:pt>
                <c:pt idx="4">
                  <c:v>2022-05</c:v>
                </c:pt>
                <c:pt idx="5">
                  <c:v>2022-06</c:v>
                </c:pt>
                <c:pt idx="6">
                  <c:v>2022-07</c:v>
                </c:pt>
                <c:pt idx="7">
                  <c:v>2022-08</c:v>
                </c:pt>
                <c:pt idx="8">
                  <c:v>2022-09</c:v>
                </c:pt>
                <c:pt idx="9">
                  <c:v>2022-10</c:v>
                </c:pt>
                <c:pt idx="10">
                  <c:v>2022-11</c:v>
                </c:pt>
                <c:pt idx="11">
                  <c:v>2022-12</c:v>
                </c:pt>
                <c:pt idx="12">
                  <c:v>2023-01</c:v>
                </c:pt>
                <c:pt idx="13">
                  <c:v>2023-02</c:v>
                </c:pt>
                <c:pt idx="14">
                  <c:v>2023-03</c:v>
                </c:pt>
                <c:pt idx="15">
                  <c:v>2023-04</c:v>
                </c:pt>
                <c:pt idx="16">
                  <c:v>2023-05</c:v>
                </c:pt>
                <c:pt idx="17">
                  <c:v>2023-06</c:v>
                </c:pt>
                <c:pt idx="18">
                  <c:v>2023-07</c:v>
                </c:pt>
                <c:pt idx="19">
                  <c:v>2023-08</c:v>
                </c:pt>
                <c:pt idx="20">
                  <c:v>2023-09</c:v>
                </c:pt>
                <c:pt idx="21">
                  <c:v>2023-10</c:v>
                </c:pt>
                <c:pt idx="22">
                  <c:v>2023-11</c:v>
                </c:pt>
                <c:pt idx="23">
                  <c:v>2023-12</c:v>
                </c:pt>
                <c:pt idx="24">
                  <c:v>2024-01</c:v>
                </c:pt>
                <c:pt idx="25">
                  <c:v>2024-02</c:v>
                </c:pt>
                <c:pt idx="26">
                  <c:v>2024-03</c:v>
                </c:pt>
                <c:pt idx="27">
                  <c:v>2024-04</c:v>
                </c:pt>
                <c:pt idx="28">
                  <c:v>2024-05</c:v>
                </c:pt>
                <c:pt idx="29">
                  <c:v>2024-06</c:v>
                </c:pt>
                <c:pt idx="30">
                  <c:v>2024-07</c:v>
                </c:pt>
                <c:pt idx="31">
                  <c:v>2024-08</c:v>
                </c:pt>
                <c:pt idx="32">
                  <c:v>2024-09</c:v>
                </c:pt>
                <c:pt idx="33">
                  <c:v>2024-10</c:v>
                </c:pt>
                <c:pt idx="34">
                  <c:v>2024-11</c:v>
                </c:pt>
                <c:pt idx="35">
                  <c:v>2024-12</c:v>
                </c:pt>
              </c:strCache>
            </c:strRef>
          </c:cat>
          <c:val>
            <c:numRef>
              <c:f>'Pivot Tables'!$C$47:$C$82</c:f>
              <c:numCache>
                <c:formatCode>General</c:formatCode>
                <c:ptCount val="36"/>
                <c:pt idx="0">
                  <c:v>12</c:v>
                </c:pt>
                <c:pt idx="1">
                  <c:v>11</c:v>
                </c:pt>
                <c:pt idx="2">
                  <c:v>17</c:v>
                </c:pt>
                <c:pt idx="3">
                  <c:v>17</c:v>
                </c:pt>
                <c:pt idx="4">
                  <c:v>11</c:v>
                </c:pt>
                <c:pt idx="5">
                  <c:v>18</c:v>
                </c:pt>
                <c:pt idx="6">
                  <c:v>21</c:v>
                </c:pt>
                <c:pt idx="7">
                  <c:v>14</c:v>
                </c:pt>
                <c:pt idx="8">
                  <c:v>14</c:v>
                </c:pt>
                <c:pt idx="9">
                  <c:v>18</c:v>
                </c:pt>
                <c:pt idx="10">
                  <c:v>15</c:v>
                </c:pt>
                <c:pt idx="11">
                  <c:v>12</c:v>
                </c:pt>
                <c:pt idx="12">
                  <c:v>11</c:v>
                </c:pt>
                <c:pt idx="13">
                  <c:v>9</c:v>
                </c:pt>
                <c:pt idx="14">
                  <c:v>15</c:v>
                </c:pt>
                <c:pt idx="15">
                  <c:v>7</c:v>
                </c:pt>
                <c:pt idx="16">
                  <c:v>19</c:v>
                </c:pt>
                <c:pt idx="17">
                  <c:v>12</c:v>
                </c:pt>
                <c:pt idx="18">
                  <c:v>13</c:v>
                </c:pt>
                <c:pt idx="19">
                  <c:v>10</c:v>
                </c:pt>
                <c:pt idx="20">
                  <c:v>12</c:v>
                </c:pt>
                <c:pt idx="21">
                  <c:v>14</c:v>
                </c:pt>
                <c:pt idx="22">
                  <c:v>16</c:v>
                </c:pt>
                <c:pt idx="23">
                  <c:v>13</c:v>
                </c:pt>
                <c:pt idx="24">
                  <c:v>16</c:v>
                </c:pt>
                <c:pt idx="25">
                  <c:v>15</c:v>
                </c:pt>
                <c:pt idx="26">
                  <c:v>15</c:v>
                </c:pt>
                <c:pt idx="27">
                  <c:v>9</c:v>
                </c:pt>
                <c:pt idx="28">
                  <c:v>21</c:v>
                </c:pt>
                <c:pt idx="29">
                  <c:v>15</c:v>
                </c:pt>
                <c:pt idx="30">
                  <c:v>13</c:v>
                </c:pt>
                <c:pt idx="31">
                  <c:v>14</c:v>
                </c:pt>
                <c:pt idx="32">
                  <c:v>12</c:v>
                </c:pt>
                <c:pt idx="33">
                  <c:v>10</c:v>
                </c:pt>
                <c:pt idx="34">
                  <c:v>13</c:v>
                </c:pt>
                <c:pt idx="35">
                  <c:v>16</c:v>
                </c:pt>
              </c:numCache>
            </c:numRef>
          </c:val>
          <c:smooth val="0"/>
          <c:extLst>
            <c:ext xmlns:c16="http://schemas.microsoft.com/office/drawing/2014/chart" uri="{C3380CC4-5D6E-409C-BE32-E72D297353CC}">
              <c16:uniqueId val="{00000000-0C13-43F6-A50D-22258FB7F594}"/>
            </c:ext>
          </c:extLst>
        </c:ser>
        <c:dLbls>
          <c:showLegendKey val="0"/>
          <c:showVal val="0"/>
          <c:showCatName val="0"/>
          <c:showSerName val="0"/>
          <c:showPercent val="0"/>
          <c:showBubbleSize val="0"/>
        </c:dLbls>
        <c:smooth val="0"/>
        <c:axId val="27646864"/>
        <c:axId val="453901895"/>
      </c:lineChart>
      <c:catAx>
        <c:axId val="27646864"/>
        <c:scaling>
          <c:orientation val="minMax"/>
        </c:scaling>
        <c:delete val="0"/>
        <c:axPos val="b"/>
        <c:title>
          <c:tx>
            <c:rich>
              <a:bodyPr rot="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453901895"/>
        <c:crosses val="autoZero"/>
        <c:auto val="1"/>
        <c:lblAlgn val="ctr"/>
        <c:lblOffset val="100"/>
        <c:noMultiLvlLbl val="0"/>
      </c:catAx>
      <c:valAx>
        <c:axId val="453901895"/>
        <c:scaling>
          <c:orientation val="minMax"/>
        </c:scaling>
        <c:delete val="0"/>
        <c:axPos val="l"/>
        <c:majorGridlines>
          <c:spPr>
            <a:ln w="9525" cap="flat" cmpd="sng" algn="ctr">
              <a:solidFill>
                <a:schemeClr val="lt1">
                  <a:lumMod val="90200"/>
                </a:schemeClr>
              </a:solidFill>
              <a:round/>
            </a:ln>
            <a:effectLst/>
          </c:spPr>
        </c:majorGridlines>
        <c:title>
          <c:tx>
            <c:rich>
              <a:bodyPr rot="-540000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rPr lang="en-US"/>
                  <a:t>Number of Flights</a:t>
                </a:r>
              </a:p>
            </c:rich>
          </c:tx>
          <c:overlay val="0"/>
          <c:spPr>
            <a:noFill/>
            <a:ln>
              <a:noFill/>
            </a:ln>
            <a:effectLst/>
          </c:spPr>
          <c:txPr>
            <a:bodyPr rot="-540000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27646864"/>
        <c:crosses val="autoZero"/>
        <c:crossBetween val="between"/>
      </c:valAx>
      <c:spPr>
        <a:noFill/>
        <a:ln>
          <a:noFill/>
        </a:ln>
        <a:effectLst/>
      </c:spPr>
    </c:plotArea>
    <c:plotVisOnly val="1"/>
    <c:dispBlanksAs val="gap"/>
    <c:showDLblsOverMax val="0"/>
    <c:extLst>
      <c:ext uri="{0b15fc19-7d7d-44ad-8c2d-2c3a37ce22c3}">
        <chartProps xmlns="https://web.wps.cn/et/2018/main" chartId="{fb45fcf2-f875-4ff7-b512-20e5b2ffef4c}"/>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rPr lang="en-US" b="1"/>
              <a:t>Average Occupancy Rate by Airline</a:t>
            </a:r>
          </a:p>
        </c:rich>
      </c:tx>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strRef>
              <c:f>'Stat Analysis'!$C$66</c:f>
              <c:strCache>
                <c:ptCount val="1"/>
                <c:pt idx="0">
                  <c:v>Avg Occupancy Rate %</c:v>
                </c:pt>
              </c:strCache>
            </c:strRef>
          </c:tx>
          <c:spPr>
            <a:solidFill>
              <a:schemeClr val="accent1"/>
            </a:solidFill>
            <a:ln>
              <a:noFill/>
            </a:ln>
            <a:effectLst/>
          </c:spPr>
          <c:invertIfNegative val="0"/>
          <c:cat>
            <c:strRef>
              <c:f>'Stat Analysis'!$B$67:$B$74</c:f>
              <c:strCache>
                <c:ptCount val="8"/>
                <c:pt idx="0">
                  <c:v>Southwest</c:v>
                </c:pt>
                <c:pt idx="1">
                  <c:v>Alaska</c:v>
                </c:pt>
                <c:pt idx="2">
                  <c:v>Delta</c:v>
                </c:pt>
                <c:pt idx="3">
                  <c:v>Frontier</c:v>
                </c:pt>
                <c:pt idx="4">
                  <c:v>American</c:v>
                </c:pt>
                <c:pt idx="5">
                  <c:v>United</c:v>
                </c:pt>
                <c:pt idx="6">
                  <c:v>Spirit</c:v>
                </c:pt>
                <c:pt idx="7">
                  <c:v>JetBlue</c:v>
                </c:pt>
              </c:strCache>
            </c:strRef>
          </c:cat>
          <c:val>
            <c:numRef>
              <c:f>'Stat Analysis'!$C$67:$C$74</c:f>
              <c:numCache>
                <c:formatCode>General</c:formatCode>
                <c:ptCount val="8"/>
                <c:pt idx="0">
                  <c:v>66.331758914475998</c:v>
                </c:pt>
                <c:pt idx="1">
                  <c:v>64.463336382171207</c:v>
                </c:pt>
                <c:pt idx="2">
                  <c:v>62.6785982827572</c:v>
                </c:pt>
                <c:pt idx="3">
                  <c:v>62.0681507541629</c:v>
                </c:pt>
                <c:pt idx="4">
                  <c:v>61.675340287807302</c:v>
                </c:pt>
                <c:pt idx="5">
                  <c:v>61.6163376932479</c:v>
                </c:pt>
                <c:pt idx="6">
                  <c:v>60.596170760131898</c:v>
                </c:pt>
                <c:pt idx="7">
                  <c:v>58.717656198185097</c:v>
                </c:pt>
              </c:numCache>
            </c:numRef>
          </c:val>
          <c:extLst>
            <c:ext xmlns:c16="http://schemas.microsoft.com/office/drawing/2014/chart" uri="{C3380CC4-5D6E-409C-BE32-E72D297353CC}">
              <c16:uniqueId val="{00000000-69E4-420B-86E3-0963354E7F47}"/>
            </c:ext>
          </c:extLst>
        </c:ser>
        <c:dLbls>
          <c:showLegendKey val="0"/>
          <c:showVal val="0"/>
          <c:showCatName val="0"/>
          <c:showSerName val="0"/>
          <c:showPercent val="0"/>
          <c:showBubbleSize val="0"/>
        </c:dLbls>
        <c:gapWidth val="246"/>
        <c:overlap val="-28"/>
        <c:axId val="777136667"/>
        <c:axId val="980289022"/>
      </c:barChart>
      <c:catAx>
        <c:axId val="777136667"/>
        <c:scaling>
          <c:orientation val="minMax"/>
        </c:scaling>
        <c:delete val="0"/>
        <c:axPos val="b"/>
        <c:title>
          <c:tx>
            <c:rich>
              <a:bodyPr rot="0" spcFirstLastPara="0" vertOverflow="ellipsis" vert="horz" wrap="square" anchor="ctr" anchorCtr="1"/>
              <a:lstStyle/>
              <a:p>
                <a:pPr defTabSz="914400">
                  <a:defRPr lang="en-US" sz="1000" b="1" i="0" u="none" strike="noStrike" kern="1200" baseline="0">
                    <a:solidFill>
                      <a:schemeClr val="tx1">
                        <a:lumMod val="65000"/>
                        <a:lumOff val="35000"/>
                      </a:schemeClr>
                    </a:solidFill>
                    <a:latin typeface="+mn-lt"/>
                    <a:ea typeface="+mn-ea"/>
                    <a:cs typeface="+mn-cs"/>
                  </a:defRPr>
                </a:pPr>
                <a:r>
                  <a:rPr lang="en-US" b="1"/>
                  <a:t>Airline</a:t>
                </a:r>
              </a:p>
            </c:rich>
          </c:tx>
          <c:overlay val="0"/>
          <c:spPr>
            <a:noFill/>
            <a:ln>
              <a:noFill/>
            </a:ln>
            <a:effectLst/>
          </c:spPr>
          <c:txPr>
            <a:bodyPr rot="0" spcFirstLastPara="0" vertOverflow="ellipsis" vert="horz" wrap="square" anchor="ctr" anchorCtr="1"/>
            <a:lstStyle/>
            <a:p>
              <a:pPr defTabSz="914400">
                <a:defRPr lang="en-US"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endParaRPr lang="en-US"/>
          </a:p>
        </c:txPr>
        <c:crossAx val="980289022"/>
        <c:crosses val="autoZero"/>
        <c:auto val="1"/>
        <c:lblAlgn val="ctr"/>
        <c:lblOffset val="100"/>
        <c:noMultiLvlLbl val="0"/>
      </c:catAx>
      <c:valAx>
        <c:axId val="980289022"/>
        <c:scaling>
          <c:orientation val="minMax"/>
        </c:scaling>
        <c:delete val="0"/>
        <c:axPos val="l"/>
        <c:majorGridlines>
          <c:spPr>
            <a:ln w="9525" cap="flat" cmpd="sng" algn="ctr">
              <a:solidFill>
                <a:schemeClr val="lt1">
                  <a:lumMod val="90200"/>
                </a:schemeClr>
              </a:solidFill>
              <a:round/>
            </a:ln>
            <a:effectLst/>
          </c:spPr>
        </c:majorGridlines>
        <c:title>
          <c:tx>
            <c:rich>
              <a:bodyPr rot="-5400000" spcFirstLastPara="0" vertOverflow="ellipsis" vert="horz" wrap="square" anchor="ctr" anchorCtr="1"/>
              <a:lstStyle/>
              <a:p>
                <a:pPr defTabSz="914400">
                  <a:defRPr lang="en-US" sz="1000" b="1" i="0" u="none" strike="noStrike" kern="1200" baseline="0">
                    <a:solidFill>
                      <a:schemeClr val="tx1">
                        <a:lumMod val="65000"/>
                        <a:lumOff val="35000"/>
                      </a:schemeClr>
                    </a:solidFill>
                    <a:latin typeface="+mn-lt"/>
                    <a:ea typeface="+mn-ea"/>
                    <a:cs typeface="+mn-cs"/>
                  </a:defRPr>
                </a:pPr>
                <a:r>
                  <a:rPr lang="en-US" b="1"/>
                  <a:t>Occupancy Rate (%)</a:t>
                </a:r>
              </a:p>
            </c:rich>
          </c:tx>
          <c:overlay val="0"/>
          <c:spPr>
            <a:noFill/>
            <a:ln>
              <a:noFill/>
            </a:ln>
            <a:effectLst/>
          </c:spPr>
          <c:txPr>
            <a:bodyPr rot="-5400000" spcFirstLastPara="0" vertOverflow="ellipsis" vert="horz" wrap="square" anchor="ctr" anchorCtr="1"/>
            <a:lstStyle/>
            <a:p>
              <a:pPr defTabSz="914400">
                <a:defRPr lang="en-US"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endParaRPr lang="en-US"/>
          </a:p>
        </c:txPr>
        <c:crossAx val="777136667"/>
        <c:crosses val="autoZero"/>
        <c:crossBetween val="between"/>
      </c:valAx>
      <c:spPr>
        <a:noFill/>
        <a:ln>
          <a:noFill/>
        </a:ln>
        <a:effectLst/>
      </c:spPr>
    </c:plotArea>
    <c:plotVisOnly val="1"/>
    <c:dispBlanksAs val="gap"/>
    <c:showDLblsOverMax val="0"/>
    <c:extLst>
      <c:ext uri="{0b15fc19-7d7d-44ad-8c2d-2c3a37ce22c3}">
        <chartProps xmlns="https://web.wps.cn/et/2018/main" chartId="{59f28c5e-d330-4d7f-b54b-9f92657c8b3c}"/>
      </c:ext>
    </c:extLst>
  </c:chart>
  <c:spPr>
    <a:solidFill>
      <a:schemeClr val="bg1"/>
    </a:solidFill>
    <a:ln w="9525" cap="flat" cmpd="sng" algn="ctr">
      <a:solidFill>
        <a:schemeClr val="tx1">
          <a:lumMod val="15000"/>
          <a:lumOff val="85000"/>
        </a:schemeClr>
      </a:solidFill>
      <a:round/>
    </a:ln>
    <a:effectLst/>
  </c:spPr>
  <c:txPr>
    <a:bodyPr/>
    <a:lstStyle/>
    <a:p>
      <a:pPr>
        <a:defRPr lang="en-US" b="1"/>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rPr lang="en-US"/>
              <a:t>Revenue Breakdown by Top 8 Airports</a:t>
            </a:r>
          </a:p>
        </c:rich>
      </c:tx>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tx>
            <c:strRef>
              <c:f>'Stat Analysis'!$H$79</c:f>
              <c:strCache>
                <c:ptCount val="1"/>
                <c:pt idx="0">
                  <c:v>Total Revenue</c:v>
                </c:pt>
              </c:strCache>
            </c:strRef>
          </c:tx>
          <c:spPr>
            <a:solidFill>
              <a:schemeClr val="accent1"/>
            </a:solidFill>
            <a:ln>
              <a:noFill/>
            </a:ln>
            <a:effectLst/>
          </c:spPr>
          <c:invertIfNegative val="0"/>
          <c:dLbls>
            <c:numFmt formatCode="&quot;$&quot;#,##0.00_);[Red]\(&quot;$&quot;#,##0.00\)" sourceLinked="0"/>
            <c:spPr>
              <a:solidFill>
                <a:schemeClr val="accent6">
                  <a:lumMod val="60000"/>
                  <a:lumOff val="40000"/>
                </a:schemeClr>
              </a:solid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 Analysis'!$G$80:$G$87</c:f>
              <c:strCache>
                <c:ptCount val="8"/>
                <c:pt idx="0">
                  <c:v>Hartsfield-Jackson Atlanta</c:v>
                </c:pt>
                <c:pt idx="1">
                  <c:v>Charlotte Douglas International</c:v>
                </c:pt>
                <c:pt idx="2">
                  <c:v>Newark Liberty International</c:v>
                </c:pt>
                <c:pt idx="3">
                  <c:v>Los Angeles International</c:v>
                </c:pt>
                <c:pt idx="4">
                  <c:v>Phoenix Sky Harbor</c:v>
                </c:pt>
                <c:pt idx="5">
                  <c:v>Minneapolis-Saint Paul</c:v>
                </c:pt>
                <c:pt idx="6">
                  <c:v>George Bush Intercontinental</c:v>
                </c:pt>
                <c:pt idx="7">
                  <c:v>San Francisco International</c:v>
                </c:pt>
              </c:strCache>
            </c:strRef>
          </c:cat>
          <c:val>
            <c:numRef>
              <c:f>'Stat Analysis'!$H$80:$H$87</c:f>
              <c:numCache>
                <c:formatCode>_ * #,##0.00_ ;_ * \-#,##0.00_ ;_ * "-"??_ ;_ @_ </c:formatCode>
                <c:ptCount val="8"/>
                <c:pt idx="0">
                  <c:v>3387371.0263550598</c:v>
                </c:pt>
                <c:pt idx="1">
                  <c:v>2946509.17</c:v>
                </c:pt>
                <c:pt idx="2">
                  <c:v>2836290.68</c:v>
                </c:pt>
                <c:pt idx="3">
                  <c:v>2508592.42</c:v>
                </c:pt>
                <c:pt idx="4">
                  <c:v>2421244.6033430202</c:v>
                </c:pt>
                <c:pt idx="5">
                  <c:v>2399596.9500000002</c:v>
                </c:pt>
                <c:pt idx="6">
                  <c:v>2303107.14</c:v>
                </c:pt>
                <c:pt idx="7">
                  <c:v>2210055.6421366301</c:v>
                </c:pt>
              </c:numCache>
            </c:numRef>
          </c:val>
          <c:extLst>
            <c:ext xmlns:c16="http://schemas.microsoft.com/office/drawing/2014/chart" uri="{C3380CC4-5D6E-409C-BE32-E72D297353CC}">
              <c16:uniqueId val="{00000000-484C-41F5-A61F-BAD06086B223}"/>
            </c:ext>
          </c:extLst>
        </c:ser>
        <c:ser>
          <c:idx val="1"/>
          <c:order val="1"/>
          <c:tx>
            <c:strRef>
              <c:f>'Stat Analysis'!$I$79</c:f>
              <c:strCache>
                <c:ptCount val="1"/>
                <c:pt idx="0">
                  <c:v>Ancillary Revenue</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 Analysis'!$G$80:$G$87</c:f>
              <c:strCache>
                <c:ptCount val="8"/>
                <c:pt idx="0">
                  <c:v>Hartsfield-Jackson Atlanta</c:v>
                </c:pt>
                <c:pt idx="1">
                  <c:v>Charlotte Douglas International</c:v>
                </c:pt>
                <c:pt idx="2">
                  <c:v>Newark Liberty International</c:v>
                </c:pt>
                <c:pt idx="3">
                  <c:v>Los Angeles International</c:v>
                </c:pt>
                <c:pt idx="4">
                  <c:v>Phoenix Sky Harbor</c:v>
                </c:pt>
                <c:pt idx="5">
                  <c:v>Minneapolis-Saint Paul</c:v>
                </c:pt>
                <c:pt idx="6">
                  <c:v>George Bush Intercontinental</c:v>
                </c:pt>
                <c:pt idx="7">
                  <c:v>San Francisco International</c:v>
                </c:pt>
              </c:strCache>
            </c:strRef>
          </c:cat>
          <c:val>
            <c:numRef>
              <c:f>'Stat Analysis'!$I$80:$I$87</c:f>
              <c:numCache>
                <c:formatCode>_ * #,##0.00_ ;_ * \-#,##0.00_ ;_ * "-"??_ ;_ @_ </c:formatCode>
                <c:ptCount val="8"/>
                <c:pt idx="0">
                  <c:v>116115.5</c:v>
                </c:pt>
                <c:pt idx="1">
                  <c:v>88849.48</c:v>
                </c:pt>
                <c:pt idx="2">
                  <c:v>91300.14</c:v>
                </c:pt>
                <c:pt idx="3">
                  <c:v>118911.55</c:v>
                </c:pt>
                <c:pt idx="4">
                  <c:v>112403.77</c:v>
                </c:pt>
                <c:pt idx="5">
                  <c:v>101833.3</c:v>
                </c:pt>
                <c:pt idx="6">
                  <c:v>92751.41</c:v>
                </c:pt>
                <c:pt idx="7">
                  <c:v>117783.71</c:v>
                </c:pt>
              </c:numCache>
            </c:numRef>
          </c:val>
          <c:extLst>
            <c:ext xmlns:c16="http://schemas.microsoft.com/office/drawing/2014/chart" uri="{C3380CC4-5D6E-409C-BE32-E72D297353CC}">
              <c16:uniqueId val="{00000001-484C-41F5-A61F-BAD06086B223}"/>
            </c:ext>
          </c:extLst>
        </c:ser>
        <c:dLbls>
          <c:showLegendKey val="0"/>
          <c:showVal val="0"/>
          <c:showCatName val="0"/>
          <c:showSerName val="0"/>
          <c:showPercent val="0"/>
          <c:showBubbleSize val="0"/>
        </c:dLbls>
        <c:gapWidth val="140"/>
        <c:overlap val="-40"/>
        <c:axId val="14914468"/>
        <c:axId val="105821937"/>
      </c:barChart>
      <c:catAx>
        <c:axId val="14914468"/>
        <c:scaling>
          <c:orientation val="minMax"/>
        </c:scaling>
        <c:delete val="0"/>
        <c:axPos val="l"/>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05821937"/>
        <c:crosses val="autoZero"/>
        <c:auto val="1"/>
        <c:lblAlgn val="ctr"/>
        <c:lblOffset val="100"/>
        <c:noMultiLvlLbl val="0"/>
      </c:catAx>
      <c:valAx>
        <c:axId val="105821937"/>
        <c:scaling>
          <c:orientation val="minMax"/>
        </c:scaling>
        <c:delete val="1"/>
        <c:axPos val="b"/>
        <c:majorGridlines>
          <c:spPr>
            <a:ln w="9525" cap="flat" cmpd="sng" algn="ctr">
              <a:solidFill>
                <a:schemeClr val="lt1">
                  <a:lumMod val="90200"/>
                </a:schemeClr>
              </a:solidFill>
              <a:round/>
            </a:ln>
            <a:effectLst/>
          </c:spPr>
        </c:majorGridlines>
        <c:numFmt formatCode="_ * #,##0.00_ ;_ * \-#,##0.00_ ;_ * &quot;-&quot;??_ ;_ @_ " sourceLinked="1"/>
        <c:majorTickMark val="none"/>
        <c:minorTickMark val="none"/>
        <c:tickLblPos val="nextTo"/>
        <c:crossAx val="14914468"/>
        <c:crosses val="autoZero"/>
        <c:crossBetween val="between"/>
      </c:valAx>
      <c:spPr>
        <a:noFill/>
        <a:ln>
          <a:noFill/>
        </a:ln>
        <a:effectLst/>
      </c:spPr>
    </c:plotArea>
    <c:legend>
      <c:legendPos val="b"/>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6b7a8dd8-f627-4436-98e5-57ecb29f50f7}"/>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rPr lang="en-US" b="1"/>
              <a:t>Profit vs Fuel Cost</a:t>
            </a:r>
          </a:p>
        </c:rich>
      </c:tx>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endParaRPr lang="en-US"/>
        </a:p>
      </c:txPr>
    </c:title>
    <c:autoTitleDeleted val="0"/>
    <c:plotArea>
      <c:layout/>
      <c:scatterChart>
        <c:scatterStyle val="lineMarker"/>
        <c:varyColors val="0"/>
        <c:ser>
          <c:idx val="0"/>
          <c:order val="0"/>
          <c:tx>
            <c:strRef>
              <c:f>'💰 Revenue (2)'!$J$1</c:f>
              <c:strCache>
                <c:ptCount val="1"/>
                <c:pt idx="0">
                  <c:v>Profit</c:v>
                </c:pt>
              </c:strCache>
            </c:strRef>
          </c:tx>
          <c:spPr>
            <a:ln w="19050" cap="rnd">
              <a:noFill/>
              <a:round/>
            </a:ln>
            <a:effectLst/>
          </c:spPr>
          <c:marker>
            <c:symbol val="circle"/>
            <c:size val="5"/>
            <c:spPr>
              <a:solidFill>
                <a:schemeClr val="accent1"/>
              </a:solidFill>
              <a:ln w="9525">
                <a:solidFill>
                  <a:schemeClr val="accent1"/>
                </a:solidFill>
              </a:ln>
              <a:effectLst/>
            </c:spPr>
          </c:marker>
          <c:xVal>
            <c:numRef>
              <c:f>'💰 Revenue (2)'!$I$2:$I$509</c:f>
              <c:numCache>
                <c:formatCode>General</c:formatCode>
                <c:ptCount val="508"/>
                <c:pt idx="0">
                  <c:v>8636.75</c:v>
                </c:pt>
                <c:pt idx="1">
                  <c:v>13816.36</c:v>
                </c:pt>
                <c:pt idx="2">
                  <c:v>25794.85</c:v>
                </c:pt>
                <c:pt idx="3">
                  <c:v>27332.9</c:v>
                </c:pt>
                <c:pt idx="4">
                  <c:v>26164</c:v>
                </c:pt>
                <c:pt idx="5">
                  <c:v>29347.88</c:v>
                </c:pt>
                <c:pt idx="6">
                  <c:v>7650</c:v>
                </c:pt>
                <c:pt idx="7">
                  <c:v>29227.75</c:v>
                </c:pt>
                <c:pt idx="8">
                  <c:v>32325.599999999999</c:v>
                </c:pt>
                <c:pt idx="9">
                  <c:v>16642.919999999998</c:v>
                </c:pt>
                <c:pt idx="10">
                  <c:v>7428.95</c:v>
                </c:pt>
                <c:pt idx="11">
                  <c:v>11245.48</c:v>
                </c:pt>
                <c:pt idx="12">
                  <c:v>20093.88</c:v>
                </c:pt>
                <c:pt idx="13">
                  <c:v>30039.01</c:v>
                </c:pt>
                <c:pt idx="14">
                  <c:v>30464.080000000002</c:v>
                </c:pt>
                <c:pt idx="15">
                  <c:v>10209.9</c:v>
                </c:pt>
                <c:pt idx="16">
                  <c:v>14325.28</c:v>
                </c:pt>
                <c:pt idx="17">
                  <c:v>23038.41</c:v>
                </c:pt>
                <c:pt idx="18">
                  <c:v>19136.95</c:v>
                </c:pt>
                <c:pt idx="19">
                  <c:v>5115.76</c:v>
                </c:pt>
                <c:pt idx="20">
                  <c:v>23735.64</c:v>
                </c:pt>
                <c:pt idx="21">
                  <c:v>28864.25</c:v>
                </c:pt>
                <c:pt idx="22">
                  <c:v>34866.97</c:v>
                </c:pt>
                <c:pt idx="23">
                  <c:v>15148.55</c:v>
                </c:pt>
                <c:pt idx="24">
                  <c:v>28125.69</c:v>
                </c:pt>
                <c:pt idx="25">
                  <c:v>27071.599999999999</c:v>
                </c:pt>
                <c:pt idx="26">
                  <c:v>20329.43</c:v>
                </c:pt>
                <c:pt idx="27">
                  <c:v>30190.87</c:v>
                </c:pt>
                <c:pt idx="28">
                  <c:v>32745.87</c:v>
                </c:pt>
                <c:pt idx="29">
                  <c:v>34198.76</c:v>
                </c:pt>
                <c:pt idx="30">
                  <c:v>6961.91</c:v>
                </c:pt>
                <c:pt idx="31">
                  <c:v>12408.74</c:v>
                </c:pt>
                <c:pt idx="32">
                  <c:v>35457</c:v>
                </c:pt>
                <c:pt idx="33">
                  <c:v>6290.72</c:v>
                </c:pt>
                <c:pt idx="34">
                  <c:v>37130.67</c:v>
                </c:pt>
                <c:pt idx="35">
                  <c:v>27143.15</c:v>
                </c:pt>
                <c:pt idx="36">
                  <c:v>10974.13</c:v>
                </c:pt>
                <c:pt idx="37">
                  <c:v>25824.21</c:v>
                </c:pt>
                <c:pt idx="38">
                  <c:v>19917.400000000001</c:v>
                </c:pt>
                <c:pt idx="39">
                  <c:v>39154.86</c:v>
                </c:pt>
                <c:pt idx="40">
                  <c:v>38764.230000000003</c:v>
                </c:pt>
                <c:pt idx="41">
                  <c:v>16742.63</c:v>
                </c:pt>
                <c:pt idx="42">
                  <c:v>10881.78</c:v>
                </c:pt>
                <c:pt idx="43">
                  <c:v>37398.639999999999</c:v>
                </c:pt>
                <c:pt idx="44">
                  <c:v>27126.81</c:v>
                </c:pt>
                <c:pt idx="45">
                  <c:v>22043.86</c:v>
                </c:pt>
                <c:pt idx="46">
                  <c:v>29735.94</c:v>
                </c:pt>
                <c:pt idx="47">
                  <c:v>33259.410000000003</c:v>
                </c:pt>
                <c:pt idx="48">
                  <c:v>27393.9</c:v>
                </c:pt>
                <c:pt idx="49">
                  <c:v>11109.21</c:v>
                </c:pt>
                <c:pt idx="50">
                  <c:v>26421.74</c:v>
                </c:pt>
                <c:pt idx="51">
                  <c:v>5159.95</c:v>
                </c:pt>
                <c:pt idx="52">
                  <c:v>39187.699999999997</c:v>
                </c:pt>
                <c:pt idx="53">
                  <c:v>26926.25</c:v>
                </c:pt>
                <c:pt idx="54">
                  <c:v>32881.449999999997</c:v>
                </c:pt>
                <c:pt idx="55">
                  <c:v>10591.59</c:v>
                </c:pt>
                <c:pt idx="56">
                  <c:v>27570.13</c:v>
                </c:pt>
                <c:pt idx="57">
                  <c:v>26588.68</c:v>
                </c:pt>
                <c:pt idx="58">
                  <c:v>30914.59</c:v>
                </c:pt>
                <c:pt idx="59">
                  <c:v>6017.28</c:v>
                </c:pt>
                <c:pt idx="60">
                  <c:v>30249.11</c:v>
                </c:pt>
                <c:pt idx="61">
                  <c:v>22778.588495934899</c:v>
                </c:pt>
                <c:pt idx="62">
                  <c:v>8854.65</c:v>
                </c:pt>
                <c:pt idx="63">
                  <c:v>35446.019999999997</c:v>
                </c:pt>
                <c:pt idx="64">
                  <c:v>25478.23</c:v>
                </c:pt>
                <c:pt idx="65">
                  <c:v>37476.050000000003</c:v>
                </c:pt>
                <c:pt idx="66">
                  <c:v>21020.91</c:v>
                </c:pt>
                <c:pt idx="67">
                  <c:v>12077.38</c:v>
                </c:pt>
                <c:pt idx="68">
                  <c:v>8888.82</c:v>
                </c:pt>
                <c:pt idx="69">
                  <c:v>17025.16</c:v>
                </c:pt>
                <c:pt idx="70">
                  <c:v>27329.97</c:v>
                </c:pt>
                <c:pt idx="71">
                  <c:v>24346.45</c:v>
                </c:pt>
                <c:pt idx="72">
                  <c:v>22122.47</c:v>
                </c:pt>
                <c:pt idx="73">
                  <c:v>14770.98</c:v>
                </c:pt>
                <c:pt idx="74">
                  <c:v>20198.71</c:v>
                </c:pt>
                <c:pt idx="75">
                  <c:v>36438.81</c:v>
                </c:pt>
                <c:pt idx="76">
                  <c:v>21472.84</c:v>
                </c:pt>
                <c:pt idx="77">
                  <c:v>19899.419999999998</c:v>
                </c:pt>
                <c:pt idx="78">
                  <c:v>13417.9</c:v>
                </c:pt>
                <c:pt idx="79">
                  <c:v>19231.63</c:v>
                </c:pt>
                <c:pt idx="80">
                  <c:v>27667.41</c:v>
                </c:pt>
                <c:pt idx="81">
                  <c:v>28416.25</c:v>
                </c:pt>
                <c:pt idx="82">
                  <c:v>31155.03</c:v>
                </c:pt>
                <c:pt idx="83">
                  <c:v>9851.84</c:v>
                </c:pt>
                <c:pt idx="84">
                  <c:v>17964.72</c:v>
                </c:pt>
                <c:pt idx="85">
                  <c:v>7474.45</c:v>
                </c:pt>
                <c:pt idx="86">
                  <c:v>15380.65</c:v>
                </c:pt>
                <c:pt idx="87">
                  <c:v>7833.57</c:v>
                </c:pt>
                <c:pt idx="88">
                  <c:v>36850.14</c:v>
                </c:pt>
                <c:pt idx="89">
                  <c:v>17795.68</c:v>
                </c:pt>
                <c:pt idx="90">
                  <c:v>17825.150000000001</c:v>
                </c:pt>
                <c:pt idx="91">
                  <c:v>22778.588495934899</c:v>
                </c:pt>
                <c:pt idx="92">
                  <c:v>8974.52</c:v>
                </c:pt>
                <c:pt idx="93">
                  <c:v>31631.01</c:v>
                </c:pt>
                <c:pt idx="94">
                  <c:v>19802.52</c:v>
                </c:pt>
                <c:pt idx="95">
                  <c:v>22017.94</c:v>
                </c:pt>
                <c:pt idx="96">
                  <c:v>23616.66</c:v>
                </c:pt>
                <c:pt idx="97">
                  <c:v>17885.099999999999</c:v>
                </c:pt>
                <c:pt idx="98">
                  <c:v>35939.26</c:v>
                </c:pt>
                <c:pt idx="99">
                  <c:v>15093.04</c:v>
                </c:pt>
                <c:pt idx="100">
                  <c:v>8920.86</c:v>
                </c:pt>
                <c:pt idx="101">
                  <c:v>23224.07</c:v>
                </c:pt>
                <c:pt idx="102">
                  <c:v>28884.12</c:v>
                </c:pt>
                <c:pt idx="103">
                  <c:v>20535.099999999999</c:v>
                </c:pt>
                <c:pt idx="104">
                  <c:v>5771.28</c:v>
                </c:pt>
                <c:pt idx="105">
                  <c:v>16997.740000000002</c:v>
                </c:pt>
                <c:pt idx="106">
                  <c:v>28304.94</c:v>
                </c:pt>
                <c:pt idx="107">
                  <c:v>24853.81</c:v>
                </c:pt>
                <c:pt idx="108">
                  <c:v>14100.26</c:v>
                </c:pt>
                <c:pt idx="109">
                  <c:v>6656.16</c:v>
                </c:pt>
                <c:pt idx="110">
                  <c:v>26652.06</c:v>
                </c:pt>
                <c:pt idx="111">
                  <c:v>11137.58</c:v>
                </c:pt>
                <c:pt idx="112">
                  <c:v>9092.11</c:v>
                </c:pt>
                <c:pt idx="113">
                  <c:v>17938.53</c:v>
                </c:pt>
                <c:pt idx="114">
                  <c:v>39230.79</c:v>
                </c:pt>
                <c:pt idx="115">
                  <c:v>10690.92</c:v>
                </c:pt>
                <c:pt idx="116">
                  <c:v>22479.59</c:v>
                </c:pt>
                <c:pt idx="117">
                  <c:v>10461.86</c:v>
                </c:pt>
                <c:pt idx="118">
                  <c:v>15344.49</c:v>
                </c:pt>
                <c:pt idx="119">
                  <c:v>30499.03</c:v>
                </c:pt>
                <c:pt idx="120">
                  <c:v>30607.42</c:v>
                </c:pt>
                <c:pt idx="121">
                  <c:v>9090.66</c:v>
                </c:pt>
                <c:pt idx="122">
                  <c:v>8236.84</c:v>
                </c:pt>
                <c:pt idx="123">
                  <c:v>12775.03</c:v>
                </c:pt>
                <c:pt idx="124">
                  <c:v>7925.63</c:v>
                </c:pt>
                <c:pt idx="125">
                  <c:v>18804.830000000002</c:v>
                </c:pt>
                <c:pt idx="126">
                  <c:v>17637.27</c:v>
                </c:pt>
                <c:pt idx="127">
                  <c:v>18049.09</c:v>
                </c:pt>
                <c:pt idx="128">
                  <c:v>20595.16</c:v>
                </c:pt>
                <c:pt idx="129">
                  <c:v>20547.71</c:v>
                </c:pt>
                <c:pt idx="130">
                  <c:v>33198.550000000003</c:v>
                </c:pt>
                <c:pt idx="131">
                  <c:v>19496.78</c:v>
                </c:pt>
                <c:pt idx="132">
                  <c:v>15613.09</c:v>
                </c:pt>
                <c:pt idx="133">
                  <c:v>38603.339999999997</c:v>
                </c:pt>
                <c:pt idx="134">
                  <c:v>27358.21</c:v>
                </c:pt>
                <c:pt idx="135">
                  <c:v>29858.65</c:v>
                </c:pt>
                <c:pt idx="136">
                  <c:v>11974.01</c:v>
                </c:pt>
                <c:pt idx="137">
                  <c:v>6478.15</c:v>
                </c:pt>
                <c:pt idx="138">
                  <c:v>30894.959999999999</c:v>
                </c:pt>
                <c:pt idx="139">
                  <c:v>15505.93</c:v>
                </c:pt>
                <c:pt idx="140">
                  <c:v>28306.97</c:v>
                </c:pt>
                <c:pt idx="141">
                  <c:v>29074.51</c:v>
                </c:pt>
                <c:pt idx="142">
                  <c:v>22256.76</c:v>
                </c:pt>
                <c:pt idx="143">
                  <c:v>24795.11</c:v>
                </c:pt>
                <c:pt idx="144">
                  <c:v>33639.83</c:v>
                </c:pt>
                <c:pt idx="145">
                  <c:v>10699.65</c:v>
                </c:pt>
                <c:pt idx="146">
                  <c:v>21136.54</c:v>
                </c:pt>
                <c:pt idx="147">
                  <c:v>14543.46</c:v>
                </c:pt>
                <c:pt idx="148">
                  <c:v>15208.24</c:v>
                </c:pt>
                <c:pt idx="149">
                  <c:v>31825.49</c:v>
                </c:pt>
                <c:pt idx="150">
                  <c:v>10849.76</c:v>
                </c:pt>
                <c:pt idx="151">
                  <c:v>28973.85</c:v>
                </c:pt>
                <c:pt idx="152">
                  <c:v>25301.63</c:v>
                </c:pt>
                <c:pt idx="153">
                  <c:v>14849.62</c:v>
                </c:pt>
                <c:pt idx="154">
                  <c:v>36877.58</c:v>
                </c:pt>
                <c:pt idx="155">
                  <c:v>34105.07</c:v>
                </c:pt>
                <c:pt idx="156">
                  <c:v>37061.089999999997</c:v>
                </c:pt>
                <c:pt idx="157">
                  <c:v>21783.14</c:v>
                </c:pt>
                <c:pt idx="158">
                  <c:v>20467.830000000002</c:v>
                </c:pt>
                <c:pt idx="159">
                  <c:v>15663.95</c:v>
                </c:pt>
                <c:pt idx="160">
                  <c:v>34988.53</c:v>
                </c:pt>
                <c:pt idx="161">
                  <c:v>22778.588495934899</c:v>
                </c:pt>
                <c:pt idx="162">
                  <c:v>32441.040000000001</c:v>
                </c:pt>
                <c:pt idx="163">
                  <c:v>31506.69</c:v>
                </c:pt>
                <c:pt idx="164">
                  <c:v>28092.61</c:v>
                </c:pt>
                <c:pt idx="165">
                  <c:v>13855.44</c:v>
                </c:pt>
                <c:pt idx="166">
                  <c:v>32382.98</c:v>
                </c:pt>
                <c:pt idx="167">
                  <c:v>12000.85</c:v>
                </c:pt>
                <c:pt idx="168">
                  <c:v>34605.15</c:v>
                </c:pt>
                <c:pt idx="169">
                  <c:v>34929.83</c:v>
                </c:pt>
                <c:pt idx="170">
                  <c:v>7391.8</c:v>
                </c:pt>
                <c:pt idx="171">
                  <c:v>30053.41</c:v>
                </c:pt>
                <c:pt idx="172">
                  <c:v>22778.588495934899</c:v>
                </c:pt>
                <c:pt idx="173">
                  <c:v>37216.699999999997</c:v>
                </c:pt>
                <c:pt idx="174">
                  <c:v>25628.32</c:v>
                </c:pt>
                <c:pt idx="175">
                  <c:v>17418.78</c:v>
                </c:pt>
                <c:pt idx="176">
                  <c:v>19265.23</c:v>
                </c:pt>
                <c:pt idx="177">
                  <c:v>8861.07</c:v>
                </c:pt>
                <c:pt idx="178">
                  <c:v>24499.62</c:v>
                </c:pt>
                <c:pt idx="179">
                  <c:v>22279.95</c:v>
                </c:pt>
                <c:pt idx="180">
                  <c:v>15920.24</c:v>
                </c:pt>
                <c:pt idx="181">
                  <c:v>19254.88</c:v>
                </c:pt>
                <c:pt idx="182">
                  <c:v>7436.32</c:v>
                </c:pt>
                <c:pt idx="183">
                  <c:v>17860.45</c:v>
                </c:pt>
                <c:pt idx="184">
                  <c:v>28523.34</c:v>
                </c:pt>
                <c:pt idx="185">
                  <c:v>18818.400000000001</c:v>
                </c:pt>
                <c:pt idx="186">
                  <c:v>36234.97</c:v>
                </c:pt>
                <c:pt idx="187">
                  <c:v>16852.11</c:v>
                </c:pt>
                <c:pt idx="188">
                  <c:v>34333.82</c:v>
                </c:pt>
                <c:pt idx="189">
                  <c:v>31809.03</c:v>
                </c:pt>
                <c:pt idx="190">
                  <c:v>28333.7</c:v>
                </c:pt>
                <c:pt idx="191">
                  <c:v>10158.09</c:v>
                </c:pt>
                <c:pt idx="192">
                  <c:v>22404.58</c:v>
                </c:pt>
                <c:pt idx="193">
                  <c:v>30822.94</c:v>
                </c:pt>
                <c:pt idx="194">
                  <c:v>39022.54</c:v>
                </c:pt>
                <c:pt idx="195">
                  <c:v>26768.84</c:v>
                </c:pt>
                <c:pt idx="196">
                  <c:v>23198.21</c:v>
                </c:pt>
                <c:pt idx="197">
                  <c:v>28173.26</c:v>
                </c:pt>
                <c:pt idx="198">
                  <c:v>33331.86</c:v>
                </c:pt>
                <c:pt idx="199">
                  <c:v>6105.95</c:v>
                </c:pt>
                <c:pt idx="200">
                  <c:v>16009.57</c:v>
                </c:pt>
                <c:pt idx="201">
                  <c:v>11190.42</c:v>
                </c:pt>
                <c:pt idx="202">
                  <c:v>10745.05</c:v>
                </c:pt>
                <c:pt idx="203">
                  <c:v>22060.92</c:v>
                </c:pt>
                <c:pt idx="204">
                  <c:v>28988.1</c:v>
                </c:pt>
                <c:pt idx="205">
                  <c:v>10470.879999999999</c:v>
                </c:pt>
                <c:pt idx="206">
                  <c:v>38980.480000000003</c:v>
                </c:pt>
                <c:pt idx="207">
                  <c:v>14955.31</c:v>
                </c:pt>
                <c:pt idx="208">
                  <c:v>17824.349999999999</c:v>
                </c:pt>
                <c:pt idx="209">
                  <c:v>26880.36</c:v>
                </c:pt>
                <c:pt idx="210">
                  <c:v>17507.810000000001</c:v>
                </c:pt>
                <c:pt idx="211">
                  <c:v>27682.9</c:v>
                </c:pt>
                <c:pt idx="212">
                  <c:v>9006.5</c:v>
                </c:pt>
                <c:pt idx="213">
                  <c:v>28021.87</c:v>
                </c:pt>
                <c:pt idx="214">
                  <c:v>29358.55</c:v>
                </c:pt>
                <c:pt idx="215">
                  <c:v>18660.53</c:v>
                </c:pt>
                <c:pt idx="216">
                  <c:v>28628.9</c:v>
                </c:pt>
                <c:pt idx="217">
                  <c:v>15483.23</c:v>
                </c:pt>
                <c:pt idx="218">
                  <c:v>34656.69</c:v>
                </c:pt>
                <c:pt idx="219">
                  <c:v>6663.6</c:v>
                </c:pt>
                <c:pt idx="220">
                  <c:v>26860.03</c:v>
                </c:pt>
                <c:pt idx="221">
                  <c:v>14567.77</c:v>
                </c:pt>
                <c:pt idx="222">
                  <c:v>17156.080000000002</c:v>
                </c:pt>
                <c:pt idx="223">
                  <c:v>15496.82</c:v>
                </c:pt>
                <c:pt idx="224">
                  <c:v>19080.53</c:v>
                </c:pt>
                <c:pt idx="225">
                  <c:v>24164.69</c:v>
                </c:pt>
                <c:pt idx="226">
                  <c:v>25189.52</c:v>
                </c:pt>
                <c:pt idx="227">
                  <c:v>27327.42</c:v>
                </c:pt>
                <c:pt idx="228">
                  <c:v>30431.53</c:v>
                </c:pt>
                <c:pt idx="229">
                  <c:v>10171.030000000001</c:v>
                </c:pt>
                <c:pt idx="230">
                  <c:v>19359.11</c:v>
                </c:pt>
                <c:pt idx="231">
                  <c:v>34608.839999999997</c:v>
                </c:pt>
                <c:pt idx="232">
                  <c:v>13975.63</c:v>
                </c:pt>
                <c:pt idx="233">
                  <c:v>10248.68</c:v>
                </c:pt>
                <c:pt idx="234">
                  <c:v>24593.88</c:v>
                </c:pt>
                <c:pt idx="235">
                  <c:v>14544.92</c:v>
                </c:pt>
                <c:pt idx="236">
                  <c:v>11159.48</c:v>
                </c:pt>
                <c:pt idx="237">
                  <c:v>6936.45</c:v>
                </c:pt>
                <c:pt idx="238">
                  <c:v>35351.01</c:v>
                </c:pt>
                <c:pt idx="239">
                  <c:v>28508.52</c:v>
                </c:pt>
                <c:pt idx="240">
                  <c:v>30348.21</c:v>
                </c:pt>
                <c:pt idx="241">
                  <c:v>22508.7</c:v>
                </c:pt>
                <c:pt idx="242">
                  <c:v>8158.71</c:v>
                </c:pt>
                <c:pt idx="243">
                  <c:v>25451.42</c:v>
                </c:pt>
                <c:pt idx="244">
                  <c:v>12630.29</c:v>
                </c:pt>
                <c:pt idx="245">
                  <c:v>20381.64</c:v>
                </c:pt>
                <c:pt idx="246">
                  <c:v>18114.669999999998</c:v>
                </c:pt>
                <c:pt idx="247">
                  <c:v>21619.89</c:v>
                </c:pt>
                <c:pt idx="248">
                  <c:v>37794.03</c:v>
                </c:pt>
                <c:pt idx="249">
                  <c:v>5737.6</c:v>
                </c:pt>
                <c:pt idx="250">
                  <c:v>28177.82</c:v>
                </c:pt>
                <c:pt idx="251">
                  <c:v>18464.16</c:v>
                </c:pt>
                <c:pt idx="252">
                  <c:v>36610.5</c:v>
                </c:pt>
                <c:pt idx="253">
                  <c:v>18596.490000000002</c:v>
                </c:pt>
                <c:pt idx="254">
                  <c:v>37127.43</c:v>
                </c:pt>
                <c:pt idx="255">
                  <c:v>35079.589999999997</c:v>
                </c:pt>
                <c:pt idx="256">
                  <c:v>35781.35</c:v>
                </c:pt>
                <c:pt idx="257">
                  <c:v>14591.28</c:v>
                </c:pt>
                <c:pt idx="258">
                  <c:v>19453.650000000001</c:v>
                </c:pt>
                <c:pt idx="259">
                  <c:v>33708.449999999997</c:v>
                </c:pt>
                <c:pt idx="260">
                  <c:v>17314.97</c:v>
                </c:pt>
                <c:pt idx="261">
                  <c:v>20864.16</c:v>
                </c:pt>
                <c:pt idx="262">
                  <c:v>11430.89</c:v>
                </c:pt>
                <c:pt idx="263">
                  <c:v>12002.64</c:v>
                </c:pt>
                <c:pt idx="264">
                  <c:v>8878.99</c:v>
                </c:pt>
                <c:pt idx="265">
                  <c:v>29001.37</c:v>
                </c:pt>
                <c:pt idx="266">
                  <c:v>35572.699999999997</c:v>
                </c:pt>
                <c:pt idx="267">
                  <c:v>33936.9</c:v>
                </c:pt>
                <c:pt idx="268">
                  <c:v>17865.98</c:v>
                </c:pt>
                <c:pt idx="269">
                  <c:v>35951.949999999997</c:v>
                </c:pt>
                <c:pt idx="270">
                  <c:v>27648.73</c:v>
                </c:pt>
                <c:pt idx="271">
                  <c:v>11939.32</c:v>
                </c:pt>
                <c:pt idx="272">
                  <c:v>26630.14</c:v>
                </c:pt>
                <c:pt idx="273">
                  <c:v>17877.21</c:v>
                </c:pt>
                <c:pt idx="274">
                  <c:v>23404.32</c:v>
                </c:pt>
                <c:pt idx="275">
                  <c:v>22295.22</c:v>
                </c:pt>
                <c:pt idx="276">
                  <c:v>35167.79</c:v>
                </c:pt>
                <c:pt idx="277">
                  <c:v>18372.57</c:v>
                </c:pt>
                <c:pt idx="278">
                  <c:v>39832.26</c:v>
                </c:pt>
                <c:pt idx="279">
                  <c:v>22778.588495934899</c:v>
                </c:pt>
                <c:pt idx="280">
                  <c:v>13242</c:v>
                </c:pt>
                <c:pt idx="281">
                  <c:v>28949.35</c:v>
                </c:pt>
                <c:pt idx="282">
                  <c:v>35500.519999999997</c:v>
                </c:pt>
                <c:pt idx="283">
                  <c:v>29966.76</c:v>
                </c:pt>
                <c:pt idx="284">
                  <c:v>24495</c:v>
                </c:pt>
                <c:pt idx="285">
                  <c:v>17400.560000000001</c:v>
                </c:pt>
                <c:pt idx="286">
                  <c:v>22658.97</c:v>
                </c:pt>
                <c:pt idx="287">
                  <c:v>9628.34</c:v>
                </c:pt>
                <c:pt idx="288">
                  <c:v>14110.21</c:v>
                </c:pt>
                <c:pt idx="289">
                  <c:v>9617.18</c:v>
                </c:pt>
                <c:pt idx="290">
                  <c:v>9089.4699999999993</c:v>
                </c:pt>
                <c:pt idx="291">
                  <c:v>39068</c:v>
                </c:pt>
                <c:pt idx="292">
                  <c:v>14902.39</c:v>
                </c:pt>
                <c:pt idx="293">
                  <c:v>20252.14</c:v>
                </c:pt>
                <c:pt idx="294">
                  <c:v>10294.27</c:v>
                </c:pt>
                <c:pt idx="295">
                  <c:v>10201.73</c:v>
                </c:pt>
                <c:pt idx="296">
                  <c:v>10724.42</c:v>
                </c:pt>
                <c:pt idx="297">
                  <c:v>37452.22</c:v>
                </c:pt>
                <c:pt idx="298">
                  <c:v>24629.91</c:v>
                </c:pt>
                <c:pt idx="299">
                  <c:v>35340.78</c:v>
                </c:pt>
                <c:pt idx="300">
                  <c:v>14944.08</c:v>
                </c:pt>
                <c:pt idx="301">
                  <c:v>28209.82</c:v>
                </c:pt>
                <c:pt idx="302">
                  <c:v>24977.57</c:v>
                </c:pt>
                <c:pt idx="303">
                  <c:v>22433.88</c:v>
                </c:pt>
                <c:pt idx="304">
                  <c:v>28845.93</c:v>
                </c:pt>
                <c:pt idx="305">
                  <c:v>37520.199999999997</c:v>
                </c:pt>
                <c:pt idx="306">
                  <c:v>7837.21</c:v>
                </c:pt>
                <c:pt idx="307">
                  <c:v>38432.050000000003</c:v>
                </c:pt>
                <c:pt idx="308">
                  <c:v>6534.64</c:v>
                </c:pt>
                <c:pt idx="309">
                  <c:v>30604.080000000002</c:v>
                </c:pt>
                <c:pt idx="310">
                  <c:v>6703.88</c:v>
                </c:pt>
                <c:pt idx="311">
                  <c:v>31033</c:v>
                </c:pt>
                <c:pt idx="312">
                  <c:v>13930.74</c:v>
                </c:pt>
                <c:pt idx="313">
                  <c:v>34832.1</c:v>
                </c:pt>
                <c:pt idx="314">
                  <c:v>31339.55</c:v>
                </c:pt>
                <c:pt idx="315">
                  <c:v>15449.13</c:v>
                </c:pt>
                <c:pt idx="316">
                  <c:v>26122.98</c:v>
                </c:pt>
                <c:pt idx="317">
                  <c:v>22942.86</c:v>
                </c:pt>
                <c:pt idx="318">
                  <c:v>24707</c:v>
                </c:pt>
                <c:pt idx="319">
                  <c:v>26485.37</c:v>
                </c:pt>
                <c:pt idx="320">
                  <c:v>22966.95</c:v>
                </c:pt>
                <c:pt idx="321">
                  <c:v>29977.24</c:v>
                </c:pt>
                <c:pt idx="322">
                  <c:v>20307.439999999999</c:v>
                </c:pt>
                <c:pt idx="323">
                  <c:v>22778.588495934899</c:v>
                </c:pt>
                <c:pt idx="324">
                  <c:v>23308.22</c:v>
                </c:pt>
                <c:pt idx="325">
                  <c:v>37105.57</c:v>
                </c:pt>
                <c:pt idx="326">
                  <c:v>21262.98</c:v>
                </c:pt>
                <c:pt idx="327">
                  <c:v>25494.880000000001</c:v>
                </c:pt>
                <c:pt idx="328">
                  <c:v>28155.24</c:v>
                </c:pt>
                <c:pt idx="329">
                  <c:v>6584.06</c:v>
                </c:pt>
                <c:pt idx="330">
                  <c:v>30343.31</c:v>
                </c:pt>
                <c:pt idx="331">
                  <c:v>14277.6</c:v>
                </c:pt>
                <c:pt idx="332">
                  <c:v>7737.72</c:v>
                </c:pt>
                <c:pt idx="333">
                  <c:v>8721.57</c:v>
                </c:pt>
                <c:pt idx="334">
                  <c:v>5465.66</c:v>
                </c:pt>
                <c:pt idx="335">
                  <c:v>35407.32</c:v>
                </c:pt>
                <c:pt idx="336">
                  <c:v>33459.64</c:v>
                </c:pt>
                <c:pt idx="337">
                  <c:v>8067.23</c:v>
                </c:pt>
                <c:pt idx="338">
                  <c:v>5555.98</c:v>
                </c:pt>
                <c:pt idx="339">
                  <c:v>27701.81</c:v>
                </c:pt>
                <c:pt idx="340">
                  <c:v>35036.629999999997</c:v>
                </c:pt>
                <c:pt idx="341">
                  <c:v>21219.89</c:v>
                </c:pt>
                <c:pt idx="342">
                  <c:v>36584.54</c:v>
                </c:pt>
                <c:pt idx="343">
                  <c:v>21502.12</c:v>
                </c:pt>
                <c:pt idx="344">
                  <c:v>24930.07</c:v>
                </c:pt>
                <c:pt idx="345">
                  <c:v>8593.2199999999993</c:v>
                </c:pt>
                <c:pt idx="346">
                  <c:v>34701.57</c:v>
                </c:pt>
                <c:pt idx="347">
                  <c:v>18988.810000000001</c:v>
                </c:pt>
                <c:pt idx="348">
                  <c:v>7124.66</c:v>
                </c:pt>
                <c:pt idx="349">
                  <c:v>14374.71</c:v>
                </c:pt>
                <c:pt idx="350">
                  <c:v>26794.38</c:v>
                </c:pt>
                <c:pt idx="351">
                  <c:v>5728.24</c:v>
                </c:pt>
                <c:pt idx="352">
                  <c:v>20333.87</c:v>
                </c:pt>
                <c:pt idx="353">
                  <c:v>34870.879999999997</c:v>
                </c:pt>
                <c:pt idx="354">
                  <c:v>15268.79</c:v>
                </c:pt>
                <c:pt idx="355">
                  <c:v>28558.76</c:v>
                </c:pt>
                <c:pt idx="356">
                  <c:v>34558.589999999997</c:v>
                </c:pt>
                <c:pt idx="357">
                  <c:v>8016.72</c:v>
                </c:pt>
                <c:pt idx="358">
                  <c:v>26201.22</c:v>
                </c:pt>
                <c:pt idx="359">
                  <c:v>22280.38</c:v>
                </c:pt>
                <c:pt idx="360">
                  <c:v>17557.54</c:v>
                </c:pt>
                <c:pt idx="361">
                  <c:v>35081.160000000003</c:v>
                </c:pt>
                <c:pt idx="362">
                  <c:v>8988.93</c:v>
                </c:pt>
                <c:pt idx="363">
                  <c:v>39778.199999999997</c:v>
                </c:pt>
                <c:pt idx="364">
                  <c:v>24495.78</c:v>
                </c:pt>
                <c:pt idx="365">
                  <c:v>37432.120000000003</c:v>
                </c:pt>
                <c:pt idx="366">
                  <c:v>31451.75</c:v>
                </c:pt>
                <c:pt idx="367">
                  <c:v>6468.93</c:v>
                </c:pt>
                <c:pt idx="368">
                  <c:v>36884.5</c:v>
                </c:pt>
                <c:pt idx="369">
                  <c:v>31668.76</c:v>
                </c:pt>
                <c:pt idx="370">
                  <c:v>22778.588495934899</c:v>
                </c:pt>
                <c:pt idx="371">
                  <c:v>20368.8</c:v>
                </c:pt>
                <c:pt idx="372">
                  <c:v>33320.080000000002</c:v>
                </c:pt>
                <c:pt idx="373">
                  <c:v>18035.27</c:v>
                </c:pt>
                <c:pt idx="374">
                  <c:v>13590.79</c:v>
                </c:pt>
                <c:pt idx="375">
                  <c:v>9829.7999999999993</c:v>
                </c:pt>
                <c:pt idx="376">
                  <c:v>38314.42</c:v>
                </c:pt>
                <c:pt idx="377">
                  <c:v>20490.25</c:v>
                </c:pt>
                <c:pt idx="378">
                  <c:v>16018.16</c:v>
                </c:pt>
                <c:pt idx="379">
                  <c:v>20192.53</c:v>
                </c:pt>
                <c:pt idx="380">
                  <c:v>27451.3</c:v>
                </c:pt>
                <c:pt idx="381">
                  <c:v>39301.65</c:v>
                </c:pt>
                <c:pt idx="382">
                  <c:v>36002.400000000001</c:v>
                </c:pt>
                <c:pt idx="383">
                  <c:v>15979.33</c:v>
                </c:pt>
                <c:pt idx="384">
                  <c:v>26364.04</c:v>
                </c:pt>
                <c:pt idx="385">
                  <c:v>12179.67</c:v>
                </c:pt>
                <c:pt idx="386">
                  <c:v>36068.620000000003</c:v>
                </c:pt>
                <c:pt idx="387">
                  <c:v>35834.11</c:v>
                </c:pt>
                <c:pt idx="388">
                  <c:v>30160.82</c:v>
                </c:pt>
                <c:pt idx="389">
                  <c:v>22908.51</c:v>
                </c:pt>
                <c:pt idx="390">
                  <c:v>10600.96</c:v>
                </c:pt>
                <c:pt idx="391">
                  <c:v>32095.52</c:v>
                </c:pt>
                <c:pt idx="392">
                  <c:v>34455.42</c:v>
                </c:pt>
                <c:pt idx="393">
                  <c:v>31479.599999999999</c:v>
                </c:pt>
                <c:pt idx="394">
                  <c:v>30790.05</c:v>
                </c:pt>
                <c:pt idx="395">
                  <c:v>39615</c:v>
                </c:pt>
                <c:pt idx="396">
                  <c:v>14958.74</c:v>
                </c:pt>
                <c:pt idx="397">
                  <c:v>23188.33</c:v>
                </c:pt>
                <c:pt idx="398">
                  <c:v>11739.43</c:v>
                </c:pt>
                <c:pt idx="399">
                  <c:v>8429.57</c:v>
                </c:pt>
                <c:pt idx="400">
                  <c:v>7176.78</c:v>
                </c:pt>
                <c:pt idx="401">
                  <c:v>7732.54</c:v>
                </c:pt>
                <c:pt idx="402">
                  <c:v>23163.07</c:v>
                </c:pt>
                <c:pt idx="403">
                  <c:v>27276.14</c:v>
                </c:pt>
                <c:pt idx="404">
                  <c:v>19592.28</c:v>
                </c:pt>
                <c:pt idx="405">
                  <c:v>21019.95</c:v>
                </c:pt>
                <c:pt idx="406">
                  <c:v>20940.13</c:v>
                </c:pt>
                <c:pt idx="407">
                  <c:v>17926.62</c:v>
                </c:pt>
                <c:pt idx="408">
                  <c:v>17935.509999999998</c:v>
                </c:pt>
                <c:pt idx="409">
                  <c:v>15672.36</c:v>
                </c:pt>
                <c:pt idx="410">
                  <c:v>32692.13</c:v>
                </c:pt>
                <c:pt idx="411">
                  <c:v>36298.85</c:v>
                </c:pt>
                <c:pt idx="412">
                  <c:v>30888.11</c:v>
                </c:pt>
                <c:pt idx="413">
                  <c:v>6563.89</c:v>
                </c:pt>
                <c:pt idx="414">
                  <c:v>36510.06</c:v>
                </c:pt>
                <c:pt idx="415">
                  <c:v>34178.92</c:v>
                </c:pt>
                <c:pt idx="416">
                  <c:v>21132.77</c:v>
                </c:pt>
                <c:pt idx="417">
                  <c:v>30475.25</c:v>
                </c:pt>
                <c:pt idx="418">
                  <c:v>18553.23</c:v>
                </c:pt>
                <c:pt idx="419">
                  <c:v>38532.78</c:v>
                </c:pt>
                <c:pt idx="420">
                  <c:v>35308.379999999997</c:v>
                </c:pt>
                <c:pt idx="421">
                  <c:v>9332.36</c:v>
                </c:pt>
                <c:pt idx="422">
                  <c:v>23964.2</c:v>
                </c:pt>
                <c:pt idx="423">
                  <c:v>31269.55</c:v>
                </c:pt>
                <c:pt idx="424">
                  <c:v>37766.36</c:v>
                </c:pt>
                <c:pt idx="425">
                  <c:v>12203.17</c:v>
                </c:pt>
                <c:pt idx="426">
                  <c:v>23674.04</c:v>
                </c:pt>
                <c:pt idx="427">
                  <c:v>37684.71</c:v>
                </c:pt>
                <c:pt idx="428">
                  <c:v>35087.69</c:v>
                </c:pt>
                <c:pt idx="429">
                  <c:v>39292.51</c:v>
                </c:pt>
                <c:pt idx="430">
                  <c:v>13944.41</c:v>
                </c:pt>
                <c:pt idx="431">
                  <c:v>28751.3</c:v>
                </c:pt>
                <c:pt idx="432">
                  <c:v>29965.52</c:v>
                </c:pt>
                <c:pt idx="433">
                  <c:v>19448.8</c:v>
                </c:pt>
                <c:pt idx="434">
                  <c:v>36482.550000000003</c:v>
                </c:pt>
                <c:pt idx="435">
                  <c:v>25511.02</c:v>
                </c:pt>
                <c:pt idx="436">
                  <c:v>14425.06</c:v>
                </c:pt>
                <c:pt idx="437">
                  <c:v>6011.73</c:v>
                </c:pt>
                <c:pt idx="438">
                  <c:v>38721.61</c:v>
                </c:pt>
                <c:pt idx="439">
                  <c:v>27804.28</c:v>
                </c:pt>
                <c:pt idx="440">
                  <c:v>34619.72</c:v>
                </c:pt>
                <c:pt idx="441">
                  <c:v>39485.81</c:v>
                </c:pt>
                <c:pt idx="442">
                  <c:v>38647.32</c:v>
                </c:pt>
                <c:pt idx="443">
                  <c:v>21262.82</c:v>
                </c:pt>
                <c:pt idx="444">
                  <c:v>10858.36</c:v>
                </c:pt>
                <c:pt idx="445">
                  <c:v>14565.6</c:v>
                </c:pt>
                <c:pt idx="446">
                  <c:v>34485.35</c:v>
                </c:pt>
                <c:pt idx="447">
                  <c:v>30871.4</c:v>
                </c:pt>
                <c:pt idx="448">
                  <c:v>29445.03</c:v>
                </c:pt>
                <c:pt idx="449">
                  <c:v>12379.76</c:v>
                </c:pt>
                <c:pt idx="450">
                  <c:v>38089.300000000003</c:v>
                </c:pt>
                <c:pt idx="451">
                  <c:v>28179.7</c:v>
                </c:pt>
                <c:pt idx="452">
                  <c:v>25982.98</c:v>
                </c:pt>
                <c:pt idx="453">
                  <c:v>27625.52</c:v>
                </c:pt>
                <c:pt idx="454">
                  <c:v>5335.25</c:v>
                </c:pt>
                <c:pt idx="455">
                  <c:v>22778.588495934899</c:v>
                </c:pt>
                <c:pt idx="456">
                  <c:v>36240.03</c:v>
                </c:pt>
                <c:pt idx="457">
                  <c:v>17354.82</c:v>
                </c:pt>
                <c:pt idx="458">
                  <c:v>34370.1</c:v>
                </c:pt>
                <c:pt idx="459">
                  <c:v>17966.82</c:v>
                </c:pt>
                <c:pt idx="460">
                  <c:v>5692.36</c:v>
                </c:pt>
                <c:pt idx="461">
                  <c:v>33569.83</c:v>
                </c:pt>
                <c:pt idx="462">
                  <c:v>22283.3</c:v>
                </c:pt>
                <c:pt idx="463">
                  <c:v>29641.67</c:v>
                </c:pt>
                <c:pt idx="464">
                  <c:v>33739.32</c:v>
                </c:pt>
                <c:pt idx="465">
                  <c:v>22290.400000000001</c:v>
                </c:pt>
                <c:pt idx="466">
                  <c:v>9488.6200000000008</c:v>
                </c:pt>
                <c:pt idx="467">
                  <c:v>34941.760000000002</c:v>
                </c:pt>
                <c:pt idx="468">
                  <c:v>28729.26</c:v>
                </c:pt>
                <c:pt idx="469">
                  <c:v>35908.57</c:v>
                </c:pt>
                <c:pt idx="470">
                  <c:v>38007.599999999999</c:v>
                </c:pt>
                <c:pt idx="471">
                  <c:v>39828.730000000003</c:v>
                </c:pt>
                <c:pt idx="472">
                  <c:v>22345.119999999999</c:v>
                </c:pt>
                <c:pt idx="473">
                  <c:v>12859.19</c:v>
                </c:pt>
                <c:pt idx="474">
                  <c:v>16068.47</c:v>
                </c:pt>
                <c:pt idx="475">
                  <c:v>25013.69</c:v>
                </c:pt>
                <c:pt idx="476">
                  <c:v>19833.71</c:v>
                </c:pt>
                <c:pt idx="477">
                  <c:v>16522.86</c:v>
                </c:pt>
                <c:pt idx="478">
                  <c:v>20118.21</c:v>
                </c:pt>
                <c:pt idx="479">
                  <c:v>13650.37</c:v>
                </c:pt>
                <c:pt idx="480">
                  <c:v>34138.11</c:v>
                </c:pt>
                <c:pt idx="481">
                  <c:v>32151.23</c:v>
                </c:pt>
                <c:pt idx="482">
                  <c:v>25262.71</c:v>
                </c:pt>
                <c:pt idx="483">
                  <c:v>18208.830000000002</c:v>
                </c:pt>
                <c:pt idx="484">
                  <c:v>7170.08</c:v>
                </c:pt>
                <c:pt idx="485">
                  <c:v>26916.48</c:v>
                </c:pt>
                <c:pt idx="486">
                  <c:v>15322.09</c:v>
                </c:pt>
                <c:pt idx="487">
                  <c:v>19388.78</c:v>
                </c:pt>
                <c:pt idx="488">
                  <c:v>21247.32</c:v>
                </c:pt>
                <c:pt idx="489">
                  <c:v>37815.47</c:v>
                </c:pt>
                <c:pt idx="490">
                  <c:v>25573.47</c:v>
                </c:pt>
                <c:pt idx="491">
                  <c:v>7364.06</c:v>
                </c:pt>
                <c:pt idx="492">
                  <c:v>9409.36</c:v>
                </c:pt>
                <c:pt idx="493">
                  <c:v>30361.81</c:v>
                </c:pt>
                <c:pt idx="494">
                  <c:v>6542.48</c:v>
                </c:pt>
                <c:pt idx="495">
                  <c:v>27809.67</c:v>
                </c:pt>
                <c:pt idx="496">
                  <c:v>15803.6</c:v>
                </c:pt>
                <c:pt idx="497">
                  <c:v>38959.49</c:v>
                </c:pt>
                <c:pt idx="498">
                  <c:v>22748.78</c:v>
                </c:pt>
                <c:pt idx="499">
                  <c:v>11839.25</c:v>
                </c:pt>
              </c:numCache>
            </c:numRef>
          </c:xVal>
          <c:yVal>
            <c:numRef>
              <c:f>'💰 Revenue (2)'!$J$2:$J$509</c:f>
              <c:numCache>
                <c:formatCode>General</c:formatCode>
                <c:ptCount val="508"/>
                <c:pt idx="0">
                  <c:v>71940.34</c:v>
                </c:pt>
                <c:pt idx="1">
                  <c:v>128145.06</c:v>
                </c:pt>
                <c:pt idx="2">
                  <c:v>31787.07</c:v>
                </c:pt>
                <c:pt idx="3">
                  <c:v>109477.59</c:v>
                </c:pt>
                <c:pt idx="4">
                  <c:v>93689.600000000006</c:v>
                </c:pt>
                <c:pt idx="5">
                  <c:v>-8544.77</c:v>
                </c:pt>
                <c:pt idx="6">
                  <c:v>107958.37</c:v>
                </c:pt>
                <c:pt idx="7">
                  <c:v>10568.84</c:v>
                </c:pt>
                <c:pt idx="8">
                  <c:v>58499.28</c:v>
                </c:pt>
                <c:pt idx="9">
                  <c:v>141386.35</c:v>
                </c:pt>
                <c:pt idx="10">
                  <c:v>69648.3</c:v>
                </c:pt>
                <c:pt idx="11">
                  <c:v>132836.44</c:v>
                </c:pt>
                <c:pt idx="12">
                  <c:v>55983.199999999997</c:v>
                </c:pt>
                <c:pt idx="13">
                  <c:v>104514.73</c:v>
                </c:pt>
                <c:pt idx="14">
                  <c:v>7995.21</c:v>
                </c:pt>
                <c:pt idx="15">
                  <c:v>100807.48</c:v>
                </c:pt>
                <c:pt idx="16">
                  <c:v>106857.84</c:v>
                </c:pt>
                <c:pt idx="17">
                  <c:v>-7408.15</c:v>
                </c:pt>
                <c:pt idx="18">
                  <c:v>89810.52</c:v>
                </c:pt>
                <c:pt idx="19">
                  <c:v>60698.69</c:v>
                </c:pt>
                <c:pt idx="20">
                  <c:v>80306.47</c:v>
                </c:pt>
                <c:pt idx="21">
                  <c:v>-36072.239999999998</c:v>
                </c:pt>
                <c:pt idx="22">
                  <c:v>30849.85</c:v>
                </c:pt>
                <c:pt idx="23">
                  <c:v>110759.8</c:v>
                </c:pt>
                <c:pt idx="24">
                  <c:v>26462.43</c:v>
                </c:pt>
                <c:pt idx="25">
                  <c:v>-346.23</c:v>
                </c:pt>
                <c:pt idx="26">
                  <c:v>-7828.87</c:v>
                </c:pt>
                <c:pt idx="27">
                  <c:v>94041.5</c:v>
                </c:pt>
                <c:pt idx="28">
                  <c:v>119910.8</c:v>
                </c:pt>
                <c:pt idx="29">
                  <c:v>131724.59</c:v>
                </c:pt>
                <c:pt idx="30">
                  <c:v>3930.72</c:v>
                </c:pt>
                <c:pt idx="31">
                  <c:v>18056.39</c:v>
                </c:pt>
                <c:pt idx="32">
                  <c:v>196039.35</c:v>
                </c:pt>
                <c:pt idx="33">
                  <c:v>31987.75</c:v>
                </c:pt>
                <c:pt idx="34">
                  <c:v>28012.44</c:v>
                </c:pt>
                <c:pt idx="35">
                  <c:v>42931.3</c:v>
                </c:pt>
                <c:pt idx="36">
                  <c:v>113107.02</c:v>
                </c:pt>
                <c:pt idx="37">
                  <c:v>-7516.63</c:v>
                </c:pt>
                <c:pt idx="38">
                  <c:v>-7917.51</c:v>
                </c:pt>
                <c:pt idx="39">
                  <c:v>47325.21</c:v>
                </c:pt>
                <c:pt idx="40">
                  <c:v>70934.960000000006</c:v>
                </c:pt>
                <c:pt idx="41">
                  <c:v>15197.87</c:v>
                </c:pt>
                <c:pt idx="42">
                  <c:v>50480.31</c:v>
                </c:pt>
                <c:pt idx="43">
                  <c:v>159639.76999999999</c:v>
                </c:pt>
                <c:pt idx="44">
                  <c:v>48697.26</c:v>
                </c:pt>
                <c:pt idx="45">
                  <c:v>7853.63</c:v>
                </c:pt>
                <c:pt idx="46">
                  <c:v>-12431.25</c:v>
                </c:pt>
                <c:pt idx="47">
                  <c:v>43667.94</c:v>
                </c:pt>
                <c:pt idx="48">
                  <c:v>7875.8</c:v>
                </c:pt>
                <c:pt idx="49">
                  <c:v>94782.06</c:v>
                </c:pt>
                <c:pt idx="50">
                  <c:v>189704.22</c:v>
                </c:pt>
                <c:pt idx="51">
                  <c:v>290186.12</c:v>
                </c:pt>
                <c:pt idx="52">
                  <c:v>137994.1</c:v>
                </c:pt>
                <c:pt idx="53">
                  <c:v>30115.360000000001</c:v>
                </c:pt>
                <c:pt idx="54">
                  <c:v>157928.37</c:v>
                </c:pt>
                <c:pt idx="55">
                  <c:v>47720.42</c:v>
                </c:pt>
                <c:pt idx="56">
                  <c:v>-33275.97</c:v>
                </c:pt>
                <c:pt idx="57">
                  <c:v>-1535.95</c:v>
                </c:pt>
                <c:pt idx="58">
                  <c:v>-3598</c:v>
                </c:pt>
                <c:pt idx="59">
                  <c:v>23335.81</c:v>
                </c:pt>
                <c:pt idx="60">
                  <c:v>109676.87</c:v>
                </c:pt>
                <c:pt idx="61">
                  <c:v>-31379.45</c:v>
                </c:pt>
                <c:pt idx="62">
                  <c:v>15481.2</c:v>
                </c:pt>
                <c:pt idx="63">
                  <c:v>-6746.63</c:v>
                </c:pt>
                <c:pt idx="64">
                  <c:v>-6655.73</c:v>
                </c:pt>
                <c:pt idx="65">
                  <c:v>156096.93</c:v>
                </c:pt>
                <c:pt idx="66">
                  <c:v>141498.98000000001</c:v>
                </c:pt>
                <c:pt idx="67">
                  <c:v>300803.18</c:v>
                </c:pt>
                <c:pt idx="68">
                  <c:v>168819.92</c:v>
                </c:pt>
                <c:pt idx="69">
                  <c:v>336384.46</c:v>
                </c:pt>
                <c:pt idx="70">
                  <c:v>34700.400000000001</c:v>
                </c:pt>
                <c:pt idx="71">
                  <c:v>41421.49</c:v>
                </c:pt>
                <c:pt idx="72">
                  <c:v>128558.04</c:v>
                </c:pt>
                <c:pt idx="73">
                  <c:v>149742.81</c:v>
                </c:pt>
                <c:pt idx="74">
                  <c:v>77017.399999999994</c:v>
                </c:pt>
                <c:pt idx="75">
                  <c:v>75627.839999999997</c:v>
                </c:pt>
                <c:pt idx="76">
                  <c:v>-14263</c:v>
                </c:pt>
                <c:pt idx="77">
                  <c:v>-27025.58</c:v>
                </c:pt>
                <c:pt idx="78">
                  <c:v>101217.68</c:v>
                </c:pt>
                <c:pt idx="79">
                  <c:v>20632.87</c:v>
                </c:pt>
                <c:pt idx="80">
                  <c:v>22225.35</c:v>
                </c:pt>
                <c:pt idx="81">
                  <c:v>-32519.69</c:v>
                </c:pt>
                <c:pt idx="82">
                  <c:v>1584.46</c:v>
                </c:pt>
                <c:pt idx="83">
                  <c:v>240231.73</c:v>
                </c:pt>
                <c:pt idx="84">
                  <c:v>55758.26</c:v>
                </c:pt>
                <c:pt idx="85">
                  <c:v>39904.51</c:v>
                </c:pt>
                <c:pt idx="86">
                  <c:v>101266.79</c:v>
                </c:pt>
                <c:pt idx="87">
                  <c:v>88485.79</c:v>
                </c:pt>
                <c:pt idx="88">
                  <c:v>191919.69</c:v>
                </c:pt>
                <c:pt idx="89">
                  <c:v>-7815.02</c:v>
                </c:pt>
                <c:pt idx="90">
                  <c:v>-28251.39</c:v>
                </c:pt>
                <c:pt idx="91">
                  <c:v>78526.45</c:v>
                </c:pt>
                <c:pt idx="92">
                  <c:v>4699.8100000000004</c:v>
                </c:pt>
                <c:pt idx="93">
                  <c:v>-12529.55</c:v>
                </c:pt>
                <c:pt idx="94">
                  <c:v>-698.13</c:v>
                </c:pt>
                <c:pt idx="95">
                  <c:v>256941.89</c:v>
                </c:pt>
                <c:pt idx="96">
                  <c:v>5425.64</c:v>
                </c:pt>
                <c:pt idx="97">
                  <c:v>112792.64</c:v>
                </c:pt>
                <c:pt idx="98">
                  <c:v>10230.58</c:v>
                </c:pt>
                <c:pt idx="99">
                  <c:v>59441.9</c:v>
                </c:pt>
                <c:pt idx="100">
                  <c:v>151936.89000000001</c:v>
                </c:pt>
                <c:pt idx="101">
                  <c:v>26292.48</c:v>
                </c:pt>
                <c:pt idx="102">
                  <c:v>-20441.36</c:v>
                </c:pt>
                <c:pt idx="103">
                  <c:v>33603.65</c:v>
                </c:pt>
                <c:pt idx="104">
                  <c:v>50669.05</c:v>
                </c:pt>
                <c:pt idx="105">
                  <c:v>45311.040000000001</c:v>
                </c:pt>
                <c:pt idx="106">
                  <c:v>2444.16</c:v>
                </c:pt>
                <c:pt idx="107">
                  <c:v>23068.2</c:v>
                </c:pt>
                <c:pt idx="108">
                  <c:v>184322.37</c:v>
                </c:pt>
                <c:pt idx="109">
                  <c:v>132924.24</c:v>
                </c:pt>
                <c:pt idx="110">
                  <c:v>62052.17</c:v>
                </c:pt>
                <c:pt idx="111">
                  <c:v>10514.61</c:v>
                </c:pt>
                <c:pt idx="112">
                  <c:v>81717.75</c:v>
                </c:pt>
                <c:pt idx="113">
                  <c:v>-9176.58</c:v>
                </c:pt>
                <c:pt idx="114">
                  <c:v>43898.13</c:v>
                </c:pt>
                <c:pt idx="115">
                  <c:v>1848.12</c:v>
                </c:pt>
                <c:pt idx="116">
                  <c:v>127864.88</c:v>
                </c:pt>
                <c:pt idx="117">
                  <c:v>94597.85</c:v>
                </c:pt>
                <c:pt idx="118">
                  <c:v>34078.33</c:v>
                </c:pt>
                <c:pt idx="119">
                  <c:v>303310.37</c:v>
                </c:pt>
                <c:pt idx="120">
                  <c:v>95115.47</c:v>
                </c:pt>
                <c:pt idx="121">
                  <c:v>45902.18</c:v>
                </c:pt>
                <c:pt idx="122">
                  <c:v>133962.12</c:v>
                </c:pt>
                <c:pt idx="123">
                  <c:v>38594.18</c:v>
                </c:pt>
                <c:pt idx="124">
                  <c:v>145754.88</c:v>
                </c:pt>
                <c:pt idx="125">
                  <c:v>43913.03</c:v>
                </c:pt>
                <c:pt idx="126">
                  <c:v>178242.08</c:v>
                </c:pt>
                <c:pt idx="127">
                  <c:v>2023.08</c:v>
                </c:pt>
                <c:pt idx="128">
                  <c:v>35914.400000000001</c:v>
                </c:pt>
                <c:pt idx="129">
                  <c:v>-1604.37</c:v>
                </c:pt>
                <c:pt idx="130">
                  <c:v>16289.85</c:v>
                </c:pt>
                <c:pt idx="131">
                  <c:v>147331.26999999999</c:v>
                </c:pt>
                <c:pt idx="132">
                  <c:v>194109.95</c:v>
                </c:pt>
                <c:pt idx="133">
                  <c:v>15616.49</c:v>
                </c:pt>
                <c:pt idx="134">
                  <c:v>42335.51</c:v>
                </c:pt>
                <c:pt idx="135">
                  <c:v>-21906.7</c:v>
                </c:pt>
                <c:pt idx="136">
                  <c:v>-24793.7</c:v>
                </c:pt>
                <c:pt idx="137">
                  <c:v>152377.24</c:v>
                </c:pt>
                <c:pt idx="138">
                  <c:v>105401.68</c:v>
                </c:pt>
                <c:pt idx="139">
                  <c:v>-4336.33</c:v>
                </c:pt>
                <c:pt idx="140">
                  <c:v>-6150.2</c:v>
                </c:pt>
                <c:pt idx="141">
                  <c:v>22610.19</c:v>
                </c:pt>
                <c:pt idx="142">
                  <c:v>153717.51999999999</c:v>
                </c:pt>
                <c:pt idx="143">
                  <c:v>24958.240000000002</c:v>
                </c:pt>
                <c:pt idx="144">
                  <c:v>33430.79</c:v>
                </c:pt>
                <c:pt idx="145">
                  <c:v>198476.93</c:v>
                </c:pt>
                <c:pt idx="146">
                  <c:v>-32149.22</c:v>
                </c:pt>
                <c:pt idx="147">
                  <c:v>5518.92</c:v>
                </c:pt>
                <c:pt idx="148">
                  <c:v>53584.22</c:v>
                </c:pt>
                <c:pt idx="149">
                  <c:v>129911.27</c:v>
                </c:pt>
                <c:pt idx="150">
                  <c:v>56023.92</c:v>
                </c:pt>
                <c:pt idx="151">
                  <c:v>51702.77</c:v>
                </c:pt>
                <c:pt idx="152">
                  <c:v>43330.43</c:v>
                </c:pt>
                <c:pt idx="153">
                  <c:v>7444.43</c:v>
                </c:pt>
                <c:pt idx="154">
                  <c:v>29376.29</c:v>
                </c:pt>
                <c:pt idx="155">
                  <c:v>124434.71</c:v>
                </c:pt>
                <c:pt idx="156">
                  <c:v>148296.45000000001</c:v>
                </c:pt>
                <c:pt idx="157">
                  <c:v>64795.69</c:v>
                </c:pt>
                <c:pt idx="158">
                  <c:v>-19155.07</c:v>
                </c:pt>
                <c:pt idx="159">
                  <c:v>-17013.740000000002</c:v>
                </c:pt>
                <c:pt idx="160">
                  <c:v>40114.050000000003</c:v>
                </c:pt>
                <c:pt idx="161">
                  <c:v>129928.05</c:v>
                </c:pt>
                <c:pt idx="162">
                  <c:v>100462.9</c:v>
                </c:pt>
                <c:pt idx="163">
                  <c:v>-34059.410000000003</c:v>
                </c:pt>
                <c:pt idx="164">
                  <c:v>47669.81</c:v>
                </c:pt>
                <c:pt idx="165">
                  <c:v>93432.77</c:v>
                </c:pt>
                <c:pt idx="166">
                  <c:v>160784.34</c:v>
                </c:pt>
                <c:pt idx="167">
                  <c:v>152100.41</c:v>
                </c:pt>
                <c:pt idx="168">
                  <c:v>81889.61</c:v>
                </c:pt>
                <c:pt idx="169">
                  <c:v>20708.52</c:v>
                </c:pt>
                <c:pt idx="170">
                  <c:v>91162.64</c:v>
                </c:pt>
                <c:pt idx="171">
                  <c:v>450.95</c:v>
                </c:pt>
                <c:pt idx="172">
                  <c:v>181.98</c:v>
                </c:pt>
                <c:pt idx="173">
                  <c:v>-9911.27</c:v>
                </c:pt>
                <c:pt idx="174">
                  <c:v>46524.67</c:v>
                </c:pt>
                <c:pt idx="175">
                  <c:v>-741.6</c:v>
                </c:pt>
                <c:pt idx="176">
                  <c:v>21245.35</c:v>
                </c:pt>
                <c:pt idx="177">
                  <c:v>43762.49</c:v>
                </c:pt>
                <c:pt idx="178">
                  <c:v>-13500.87</c:v>
                </c:pt>
                <c:pt idx="179">
                  <c:v>-29282.1</c:v>
                </c:pt>
                <c:pt idx="180">
                  <c:v>67080.69</c:v>
                </c:pt>
                <c:pt idx="181">
                  <c:v>26556.62</c:v>
                </c:pt>
                <c:pt idx="182">
                  <c:v>74352.47</c:v>
                </c:pt>
                <c:pt idx="183">
                  <c:v>100025.91</c:v>
                </c:pt>
                <c:pt idx="184">
                  <c:v>-35676.15</c:v>
                </c:pt>
                <c:pt idx="185">
                  <c:v>117682.35</c:v>
                </c:pt>
                <c:pt idx="186">
                  <c:v>-16873.95</c:v>
                </c:pt>
                <c:pt idx="187">
                  <c:v>11373.26</c:v>
                </c:pt>
                <c:pt idx="188">
                  <c:v>236939.08</c:v>
                </c:pt>
                <c:pt idx="189">
                  <c:v>41791.25</c:v>
                </c:pt>
                <c:pt idx="190">
                  <c:v>131612.98000000001</c:v>
                </c:pt>
                <c:pt idx="191">
                  <c:v>44714.62</c:v>
                </c:pt>
                <c:pt idx="192">
                  <c:v>16983.27</c:v>
                </c:pt>
                <c:pt idx="193">
                  <c:v>-25594.36</c:v>
                </c:pt>
                <c:pt idx="194">
                  <c:v>-5930.88</c:v>
                </c:pt>
                <c:pt idx="195">
                  <c:v>60281.14</c:v>
                </c:pt>
                <c:pt idx="196">
                  <c:v>37428.01</c:v>
                </c:pt>
                <c:pt idx="197">
                  <c:v>-21246.97</c:v>
                </c:pt>
                <c:pt idx="198">
                  <c:v>281412.53999999998</c:v>
                </c:pt>
                <c:pt idx="199">
                  <c:v>2331.56</c:v>
                </c:pt>
                <c:pt idx="200">
                  <c:v>7567.67</c:v>
                </c:pt>
                <c:pt idx="201">
                  <c:v>104198.67</c:v>
                </c:pt>
                <c:pt idx="202">
                  <c:v>48520.81</c:v>
                </c:pt>
                <c:pt idx="203">
                  <c:v>16281.21</c:v>
                </c:pt>
                <c:pt idx="204">
                  <c:v>22680.720000000001</c:v>
                </c:pt>
                <c:pt idx="205">
                  <c:v>56704.22</c:v>
                </c:pt>
                <c:pt idx="206">
                  <c:v>-11626.99</c:v>
                </c:pt>
                <c:pt idx="207">
                  <c:v>188699.99</c:v>
                </c:pt>
                <c:pt idx="208">
                  <c:v>194041.93</c:v>
                </c:pt>
                <c:pt idx="209">
                  <c:v>31827.5</c:v>
                </c:pt>
                <c:pt idx="210">
                  <c:v>191435.14</c:v>
                </c:pt>
                <c:pt idx="211">
                  <c:v>-15686.55</c:v>
                </c:pt>
                <c:pt idx="212">
                  <c:v>204409.9</c:v>
                </c:pt>
                <c:pt idx="213">
                  <c:v>136128.91</c:v>
                </c:pt>
                <c:pt idx="214">
                  <c:v>170621.71</c:v>
                </c:pt>
                <c:pt idx="215">
                  <c:v>19299.2</c:v>
                </c:pt>
                <c:pt idx="216">
                  <c:v>43820.45</c:v>
                </c:pt>
                <c:pt idx="217">
                  <c:v>101759.07</c:v>
                </c:pt>
                <c:pt idx="218">
                  <c:v>3191.91</c:v>
                </c:pt>
                <c:pt idx="219">
                  <c:v>6499.97</c:v>
                </c:pt>
                <c:pt idx="220">
                  <c:v>65206.22</c:v>
                </c:pt>
                <c:pt idx="221">
                  <c:v>55305.279999999999</c:v>
                </c:pt>
                <c:pt idx="222">
                  <c:v>64718.25</c:v>
                </c:pt>
                <c:pt idx="223">
                  <c:v>5399.83</c:v>
                </c:pt>
                <c:pt idx="224">
                  <c:v>22982.44</c:v>
                </c:pt>
                <c:pt idx="225">
                  <c:v>32333.95</c:v>
                </c:pt>
                <c:pt idx="226">
                  <c:v>-29957.91</c:v>
                </c:pt>
                <c:pt idx="227">
                  <c:v>109608.28</c:v>
                </c:pt>
                <c:pt idx="228">
                  <c:v>62733.95</c:v>
                </c:pt>
                <c:pt idx="229">
                  <c:v>115533.17</c:v>
                </c:pt>
                <c:pt idx="230">
                  <c:v>87657.7</c:v>
                </c:pt>
                <c:pt idx="231">
                  <c:v>-5361.53</c:v>
                </c:pt>
                <c:pt idx="232">
                  <c:v>105199.27</c:v>
                </c:pt>
                <c:pt idx="233">
                  <c:v>5987.64</c:v>
                </c:pt>
                <c:pt idx="234">
                  <c:v>16217.07</c:v>
                </c:pt>
                <c:pt idx="235">
                  <c:v>50791.31</c:v>
                </c:pt>
                <c:pt idx="236">
                  <c:v>25479.22</c:v>
                </c:pt>
                <c:pt idx="237">
                  <c:v>32092.79</c:v>
                </c:pt>
                <c:pt idx="238">
                  <c:v>136929.16</c:v>
                </c:pt>
                <c:pt idx="239">
                  <c:v>1943.33</c:v>
                </c:pt>
                <c:pt idx="240">
                  <c:v>88070.02</c:v>
                </c:pt>
                <c:pt idx="241">
                  <c:v>96050.94</c:v>
                </c:pt>
                <c:pt idx="242">
                  <c:v>-5172.8100000000004</c:v>
                </c:pt>
                <c:pt idx="243">
                  <c:v>28329.61</c:v>
                </c:pt>
                <c:pt idx="244">
                  <c:v>191546.72</c:v>
                </c:pt>
                <c:pt idx="245">
                  <c:v>54069.19</c:v>
                </c:pt>
                <c:pt idx="246">
                  <c:v>33045.94</c:v>
                </c:pt>
                <c:pt idx="247">
                  <c:v>118681.89</c:v>
                </c:pt>
                <c:pt idx="248">
                  <c:v>-19955.13</c:v>
                </c:pt>
                <c:pt idx="249">
                  <c:v>138082.74</c:v>
                </c:pt>
                <c:pt idx="250">
                  <c:v>-19354.32</c:v>
                </c:pt>
                <c:pt idx="251">
                  <c:v>-13470.38</c:v>
                </c:pt>
                <c:pt idx="252">
                  <c:v>-47518.73</c:v>
                </c:pt>
                <c:pt idx="253">
                  <c:v>167018.6</c:v>
                </c:pt>
                <c:pt idx="254">
                  <c:v>22621.37</c:v>
                </c:pt>
                <c:pt idx="255">
                  <c:v>-19231.82</c:v>
                </c:pt>
                <c:pt idx="256">
                  <c:v>16328.44</c:v>
                </c:pt>
                <c:pt idx="257">
                  <c:v>22363.25</c:v>
                </c:pt>
                <c:pt idx="258">
                  <c:v>-20720.23</c:v>
                </c:pt>
                <c:pt idx="259">
                  <c:v>4215.59</c:v>
                </c:pt>
                <c:pt idx="260">
                  <c:v>23367.66</c:v>
                </c:pt>
                <c:pt idx="261">
                  <c:v>-23219.72</c:v>
                </c:pt>
                <c:pt idx="262">
                  <c:v>34437.85</c:v>
                </c:pt>
                <c:pt idx="263">
                  <c:v>69672.44</c:v>
                </c:pt>
                <c:pt idx="264">
                  <c:v>-14123.84</c:v>
                </c:pt>
                <c:pt idx="265">
                  <c:v>12462.12</c:v>
                </c:pt>
                <c:pt idx="266">
                  <c:v>121473.08</c:v>
                </c:pt>
                <c:pt idx="267">
                  <c:v>39696.25</c:v>
                </c:pt>
                <c:pt idx="268">
                  <c:v>-8288.3700000000008</c:v>
                </c:pt>
                <c:pt idx="269">
                  <c:v>12629.84</c:v>
                </c:pt>
                <c:pt idx="270">
                  <c:v>66825.33</c:v>
                </c:pt>
                <c:pt idx="271">
                  <c:v>108773.99</c:v>
                </c:pt>
                <c:pt idx="272">
                  <c:v>206543.72</c:v>
                </c:pt>
                <c:pt idx="273">
                  <c:v>15610.18</c:v>
                </c:pt>
                <c:pt idx="274">
                  <c:v>42207.22</c:v>
                </c:pt>
                <c:pt idx="275">
                  <c:v>78918.53</c:v>
                </c:pt>
                <c:pt idx="276">
                  <c:v>-29445.62</c:v>
                </c:pt>
                <c:pt idx="277">
                  <c:v>-5052.46</c:v>
                </c:pt>
                <c:pt idx="278">
                  <c:v>-9528.4599999999991</c:v>
                </c:pt>
                <c:pt idx="279">
                  <c:v>152916.6</c:v>
                </c:pt>
                <c:pt idx="280">
                  <c:v>196750.4</c:v>
                </c:pt>
                <c:pt idx="281">
                  <c:v>-4391.78</c:v>
                </c:pt>
                <c:pt idx="282">
                  <c:v>93911.7</c:v>
                </c:pt>
                <c:pt idx="283">
                  <c:v>-21714</c:v>
                </c:pt>
                <c:pt idx="284">
                  <c:v>-2884.89</c:v>
                </c:pt>
                <c:pt idx="285">
                  <c:v>93364.66</c:v>
                </c:pt>
                <c:pt idx="286">
                  <c:v>47119.45</c:v>
                </c:pt>
                <c:pt idx="287">
                  <c:v>19114.34</c:v>
                </c:pt>
                <c:pt idx="288">
                  <c:v>7479</c:v>
                </c:pt>
                <c:pt idx="289">
                  <c:v>46325.2</c:v>
                </c:pt>
                <c:pt idx="290">
                  <c:v>62489.03</c:v>
                </c:pt>
                <c:pt idx="291">
                  <c:v>-23389.09</c:v>
                </c:pt>
                <c:pt idx="292">
                  <c:v>60332.95</c:v>
                </c:pt>
                <c:pt idx="293">
                  <c:v>65835.23</c:v>
                </c:pt>
                <c:pt idx="294">
                  <c:v>27017.15</c:v>
                </c:pt>
                <c:pt idx="295">
                  <c:v>53816.97</c:v>
                </c:pt>
                <c:pt idx="296">
                  <c:v>91084.91</c:v>
                </c:pt>
                <c:pt idx="297">
                  <c:v>28714.62</c:v>
                </c:pt>
                <c:pt idx="298">
                  <c:v>18784.22</c:v>
                </c:pt>
                <c:pt idx="299">
                  <c:v>198489.58</c:v>
                </c:pt>
                <c:pt idx="300">
                  <c:v>-2575.14</c:v>
                </c:pt>
                <c:pt idx="301">
                  <c:v>35661.269999999997</c:v>
                </c:pt>
                <c:pt idx="302">
                  <c:v>90552.15</c:v>
                </c:pt>
                <c:pt idx="303">
                  <c:v>-8889.07</c:v>
                </c:pt>
                <c:pt idx="304">
                  <c:v>13231.44</c:v>
                </c:pt>
                <c:pt idx="305">
                  <c:v>-1671.9</c:v>
                </c:pt>
                <c:pt idx="306">
                  <c:v>5980.86</c:v>
                </c:pt>
                <c:pt idx="307">
                  <c:v>1206.99</c:v>
                </c:pt>
                <c:pt idx="308">
                  <c:v>57429.48</c:v>
                </c:pt>
                <c:pt idx="309">
                  <c:v>37114.639999999999</c:v>
                </c:pt>
                <c:pt idx="310">
                  <c:v>1141.8</c:v>
                </c:pt>
                <c:pt idx="311">
                  <c:v>-17346.71</c:v>
                </c:pt>
                <c:pt idx="312">
                  <c:v>1506.63</c:v>
                </c:pt>
                <c:pt idx="313">
                  <c:v>41831.379999999997</c:v>
                </c:pt>
                <c:pt idx="314">
                  <c:v>-25780.07</c:v>
                </c:pt>
                <c:pt idx="315">
                  <c:v>-27863.439999999999</c:v>
                </c:pt>
                <c:pt idx="316">
                  <c:v>260461.58</c:v>
                </c:pt>
                <c:pt idx="317">
                  <c:v>81892.69</c:v>
                </c:pt>
                <c:pt idx="318">
                  <c:v>-15537.73</c:v>
                </c:pt>
                <c:pt idx="319">
                  <c:v>110022.83</c:v>
                </c:pt>
                <c:pt idx="320">
                  <c:v>290262.63</c:v>
                </c:pt>
                <c:pt idx="321">
                  <c:v>11683.95</c:v>
                </c:pt>
                <c:pt idx="322">
                  <c:v>14789.28</c:v>
                </c:pt>
                <c:pt idx="323">
                  <c:v>70602.850000000006</c:v>
                </c:pt>
                <c:pt idx="324">
                  <c:v>85190.9</c:v>
                </c:pt>
                <c:pt idx="325">
                  <c:v>12219.82</c:v>
                </c:pt>
                <c:pt idx="326">
                  <c:v>92129.36</c:v>
                </c:pt>
                <c:pt idx="327">
                  <c:v>58052.75</c:v>
                </c:pt>
                <c:pt idx="328">
                  <c:v>-3960.39</c:v>
                </c:pt>
                <c:pt idx="329">
                  <c:v>52719.87</c:v>
                </c:pt>
                <c:pt idx="330">
                  <c:v>68177.34</c:v>
                </c:pt>
                <c:pt idx="331">
                  <c:v>187590.56</c:v>
                </c:pt>
                <c:pt idx="332">
                  <c:v>100856.15</c:v>
                </c:pt>
                <c:pt idx="333">
                  <c:v>26961.200000000001</c:v>
                </c:pt>
                <c:pt idx="334">
                  <c:v>21903.58</c:v>
                </c:pt>
                <c:pt idx="335">
                  <c:v>58865.07</c:v>
                </c:pt>
                <c:pt idx="336">
                  <c:v>-14851.04</c:v>
                </c:pt>
                <c:pt idx="337">
                  <c:v>2569.09</c:v>
                </c:pt>
                <c:pt idx="338">
                  <c:v>25952.080000000002</c:v>
                </c:pt>
                <c:pt idx="339">
                  <c:v>29736.13</c:v>
                </c:pt>
                <c:pt idx="340">
                  <c:v>40396.269999999997</c:v>
                </c:pt>
                <c:pt idx="341">
                  <c:v>153511.93</c:v>
                </c:pt>
                <c:pt idx="342">
                  <c:v>12763.96</c:v>
                </c:pt>
                <c:pt idx="343">
                  <c:v>45454.61</c:v>
                </c:pt>
                <c:pt idx="344">
                  <c:v>145789.57</c:v>
                </c:pt>
                <c:pt idx="345">
                  <c:v>25302.93</c:v>
                </c:pt>
                <c:pt idx="346">
                  <c:v>2136.96</c:v>
                </c:pt>
                <c:pt idx="347">
                  <c:v>68713.919999999998</c:v>
                </c:pt>
                <c:pt idx="348">
                  <c:v>88348.73</c:v>
                </c:pt>
                <c:pt idx="349">
                  <c:v>1647.05</c:v>
                </c:pt>
                <c:pt idx="350">
                  <c:v>15485.64</c:v>
                </c:pt>
                <c:pt idx="351">
                  <c:v>34108.730000000003</c:v>
                </c:pt>
                <c:pt idx="352">
                  <c:v>80405.36</c:v>
                </c:pt>
                <c:pt idx="353">
                  <c:v>-24623.15</c:v>
                </c:pt>
                <c:pt idx="354">
                  <c:v>3789.39</c:v>
                </c:pt>
                <c:pt idx="355">
                  <c:v>58339.93</c:v>
                </c:pt>
                <c:pt idx="356">
                  <c:v>103533.06</c:v>
                </c:pt>
                <c:pt idx="357">
                  <c:v>29069.54</c:v>
                </c:pt>
                <c:pt idx="358">
                  <c:v>117769.56</c:v>
                </c:pt>
                <c:pt idx="359">
                  <c:v>56969.15</c:v>
                </c:pt>
                <c:pt idx="360">
                  <c:v>25894.81</c:v>
                </c:pt>
                <c:pt idx="361">
                  <c:v>110694.65</c:v>
                </c:pt>
                <c:pt idx="362">
                  <c:v>4724.71</c:v>
                </c:pt>
                <c:pt idx="363">
                  <c:v>126082.68</c:v>
                </c:pt>
                <c:pt idx="364">
                  <c:v>75798.22</c:v>
                </c:pt>
                <c:pt idx="365">
                  <c:v>-7599.19</c:v>
                </c:pt>
                <c:pt idx="366">
                  <c:v>-28504.880000000001</c:v>
                </c:pt>
                <c:pt idx="367">
                  <c:v>134703.59</c:v>
                </c:pt>
                <c:pt idx="368">
                  <c:v>52365.95</c:v>
                </c:pt>
                <c:pt idx="369">
                  <c:v>21606.03</c:v>
                </c:pt>
                <c:pt idx="370">
                  <c:v>148986.78</c:v>
                </c:pt>
                <c:pt idx="371">
                  <c:v>50513.23</c:v>
                </c:pt>
                <c:pt idx="372">
                  <c:v>22831.63</c:v>
                </c:pt>
                <c:pt idx="373">
                  <c:v>-8477.3700000000008</c:v>
                </c:pt>
                <c:pt idx="374">
                  <c:v>76199.98</c:v>
                </c:pt>
                <c:pt idx="375">
                  <c:v>58157.32</c:v>
                </c:pt>
                <c:pt idx="376">
                  <c:v>117757.21</c:v>
                </c:pt>
                <c:pt idx="377">
                  <c:v>48913.63</c:v>
                </c:pt>
                <c:pt idx="378">
                  <c:v>57871.28</c:v>
                </c:pt>
                <c:pt idx="379">
                  <c:v>-27304.99</c:v>
                </c:pt>
                <c:pt idx="380">
                  <c:v>13320.23</c:v>
                </c:pt>
                <c:pt idx="381">
                  <c:v>48142.15</c:v>
                </c:pt>
                <c:pt idx="382">
                  <c:v>3455.05</c:v>
                </c:pt>
                <c:pt idx="383">
                  <c:v>104555.55</c:v>
                </c:pt>
                <c:pt idx="384">
                  <c:v>66323.350000000006</c:v>
                </c:pt>
                <c:pt idx="385">
                  <c:v>4958.66</c:v>
                </c:pt>
                <c:pt idx="386">
                  <c:v>50101.99</c:v>
                </c:pt>
                <c:pt idx="387">
                  <c:v>118153.02</c:v>
                </c:pt>
                <c:pt idx="388">
                  <c:v>-4060.25</c:v>
                </c:pt>
                <c:pt idx="389">
                  <c:v>104560.36</c:v>
                </c:pt>
                <c:pt idx="390">
                  <c:v>55016.15</c:v>
                </c:pt>
                <c:pt idx="391">
                  <c:v>31602.31</c:v>
                </c:pt>
                <c:pt idx="392">
                  <c:v>32015.59</c:v>
                </c:pt>
                <c:pt idx="393">
                  <c:v>79270.429999999993</c:v>
                </c:pt>
                <c:pt idx="394">
                  <c:v>162028.01999999999</c:v>
                </c:pt>
                <c:pt idx="395">
                  <c:v>-34650.720000000001</c:v>
                </c:pt>
                <c:pt idx="396">
                  <c:v>43398.31</c:v>
                </c:pt>
                <c:pt idx="397">
                  <c:v>-573.58000000000004</c:v>
                </c:pt>
                <c:pt idx="398">
                  <c:v>23313.46</c:v>
                </c:pt>
                <c:pt idx="399">
                  <c:v>-19680.900000000001</c:v>
                </c:pt>
                <c:pt idx="400">
                  <c:v>116472.24</c:v>
                </c:pt>
                <c:pt idx="401">
                  <c:v>49410.239999999998</c:v>
                </c:pt>
                <c:pt idx="402">
                  <c:v>8210.56</c:v>
                </c:pt>
                <c:pt idx="403">
                  <c:v>-13135.51</c:v>
                </c:pt>
                <c:pt idx="404">
                  <c:v>99865.4</c:v>
                </c:pt>
                <c:pt idx="405">
                  <c:v>129815.47</c:v>
                </c:pt>
                <c:pt idx="406">
                  <c:v>20881.060000000001</c:v>
                </c:pt>
                <c:pt idx="407">
                  <c:v>202046.96</c:v>
                </c:pt>
                <c:pt idx="408">
                  <c:v>166008.6</c:v>
                </c:pt>
                <c:pt idx="409">
                  <c:v>126466.35</c:v>
                </c:pt>
                <c:pt idx="410">
                  <c:v>-19289.37</c:v>
                </c:pt>
                <c:pt idx="411">
                  <c:v>-40262.43</c:v>
                </c:pt>
                <c:pt idx="412">
                  <c:v>17802.240000000002</c:v>
                </c:pt>
                <c:pt idx="413">
                  <c:v>90806.76</c:v>
                </c:pt>
                <c:pt idx="414">
                  <c:v>158761.07</c:v>
                </c:pt>
                <c:pt idx="415">
                  <c:v>-17497.75</c:v>
                </c:pt>
                <c:pt idx="416">
                  <c:v>3982.6</c:v>
                </c:pt>
                <c:pt idx="417">
                  <c:v>141456.75</c:v>
                </c:pt>
                <c:pt idx="418">
                  <c:v>-32256.41</c:v>
                </c:pt>
                <c:pt idx="419">
                  <c:v>29945.62</c:v>
                </c:pt>
                <c:pt idx="420">
                  <c:v>61443.24</c:v>
                </c:pt>
                <c:pt idx="421">
                  <c:v>153165.48000000001</c:v>
                </c:pt>
                <c:pt idx="422">
                  <c:v>156201.76</c:v>
                </c:pt>
                <c:pt idx="423">
                  <c:v>-39803.85</c:v>
                </c:pt>
                <c:pt idx="424">
                  <c:v>8734.73</c:v>
                </c:pt>
                <c:pt idx="425">
                  <c:v>133684.81</c:v>
                </c:pt>
                <c:pt idx="426">
                  <c:v>8869.61</c:v>
                </c:pt>
                <c:pt idx="427">
                  <c:v>122577.5</c:v>
                </c:pt>
                <c:pt idx="428">
                  <c:v>-10900.68</c:v>
                </c:pt>
                <c:pt idx="429">
                  <c:v>-9188.74</c:v>
                </c:pt>
                <c:pt idx="430">
                  <c:v>11701.8</c:v>
                </c:pt>
                <c:pt idx="431">
                  <c:v>52645.7</c:v>
                </c:pt>
                <c:pt idx="432">
                  <c:v>-10290.879999999999</c:v>
                </c:pt>
                <c:pt idx="433">
                  <c:v>7179.51</c:v>
                </c:pt>
                <c:pt idx="434">
                  <c:v>31932.38</c:v>
                </c:pt>
                <c:pt idx="435">
                  <c:v>-7819.07</c:v>
                </c:pt>
                <c:pt idx="436">
                  <c:v>45518.05</c:v>
                </c:pt>
                <c:pt idx="437">
                  <c:v>1553.37</c:v>
                </c:pt>
                <c:pt idx="438">
                  <c:v>-2246.48</c:v>
                </c:pt>
                <c:pt idx="439">
                  <c:v>114057.63</c:v>
                </c:pt>
                <c:pt idx="440">
                  <c:v>-11060.55</c:v>
                </c:pt>
                <c:pt idx="441">
                  <c:v>27022</c:v>
                </c:pt>
                <c:pt idx="442">
                  <c:v>-47864.3</c:v>
                </c:pt>
                <c:pt idx="443">
                  <c:v>125284.74</c:v>
                </c:pt>
                <c:pt idx="444">
                  <c:v>213734.02</c:v>
                </c:pt>
                <c:pt idx="445">
                  <c:v>-19827.16</c:v>
                </c:pt>
                <c:pt idx="446">
                  <c:v>118415.32</c:v>
                </c:pt>
                <c:pt idx="447">
                  <c:v>63164.68</c:v>
                </c:pt>
                <c:pt idx="448">
                  <c:v>108301.65</c:v>
                </c:pt>
                <c:pt idx="449">
                  <c:v>31844.87</c:v>
                </c:pt>
                <c:pt idx="450">
                  <c:v>72178.929999999993</c:v>
                </c:pt>
                <c:pt idx="451">
                  <c:v>150713.56</c:v>
                </c:pt>
                <c:pt idx="452">
                  <c:v>65641.25</c:v>
                </c:pt>
                <c:pt idx="453">
                  <c:v>-29652.14</c:v>
                </c:pt>
                <c:pt idx="454">
                  <c:v>49533.25</c:v>
                </c:pt>
                <c:pt idx="455">
                  <c:v>10472.39</c:v>
                </c:pt>
                <c:pt idx="456">
                  <c:v>29028.86</c:v>
                </c:pt>
                <c:pt idx="457">
                  <c:v>18160.939999999999</c:v>
                </c:pt>
                <c:pt idx="458">
                  <c:v>-3656.5</c:v>
                </c:pt>
                <c:pt idx="459">
                  <c:v>96059.87</c:v>
                </c:pt>
                <c:pt idx="460">
                  <c:v>140655.95000000001</c:v>
                </c:pt>
                <c:pt idx="461">
                  <c:v>166637.26999999999</c:v>
                </c:pt>
                <c:pt idx="462">
                  <c:v>19359.47</c:v>
                </c:pt>
                <c:pt idx="463">
                  <c:v>21720.74</c:v>
                </c:pt>
                <c:pt idx="464">
                  <c:v>134005.87</c:v>
                </c:pt>
                <c:pt idx="465">
                  <c:v>-13166.7</c:v>
                </c:pt>
                <c:pt idx="466">
                  <c:v>141155.95000000001</c:v>
                </c:pt>
                <c:pt idx="467">
                  <c:v>94017.76</c:v>
                </c:pt>
                <c:pt idx="468">
                  <c:v>156207.51999999999</c:v>
                </c:pt>
                <c:pt idx="469">
                  <c:v>86655.76</c:v>
                </c:pt>
                <c:pt idx="470">
                  <c:v>199169.45</c:v>
                </c:pt>
                <c:pt idx="471">
                  <c:v>-6651.08</c:v>
                </c:pt>
                <c:pt idx="472">
                  <c:v>-31069.46</c:v>
                </c:pt>
                <c:pt idx="473">
                  <c:v>-2861.58</c:v>
                </c:pt>
                <c:pt idx="474">
                  <c:v>86233.36</c:v>
                </c:pt>
                <c:pt idx="475">
                  <c:v>78969.48</c:v>
                </c:pt>
                <c:pt idx="476">
                  <c:v>152671.10999999999</c:v>
                </c:pt>
                <c:pt idx="477">
                  <c:v>40166.47</c:v>
                </c:pt>
                <c:pt idx="478">
                  <c:v>43444.53</c:v>
                </c:pt>
                <c:pt idx="479">
                  <c:v>90796.05</c:v>
                </c:pt>
                <c:pt idx="480">
                  <c:v>-46819.35</c:v>
                </c:pt>
                <c:pt idx="481">
                  <c:v>-25558.99</c:v>
                </c:pt>
                <c:pt idx="482">
                  <c:v>43743.16</c:v>
                </c:pt>
                <c:pt idx="483">
                  <c:v>13597.25</c:v>
                </c:pt>
                <c:pt idx="484">
                  <c:v>63441</c:v>
                </c:pt>
                <c:pt idx="485">
                  <c:v>242440.67</c:v>
                </c:pt>
                <c:pt idx="486">
                  <c:v>37144.39</c:v>
                </c:pt>
                <c:pt idx="487">
                  <c:v>50204.2</c:v>
                </c:pt>
                <c:pt idx="488">
                  <c:v>29650.97</c:v>
                </c:pt>
                <c:pt idx="489">
                  <c:v>-18010.490000000002</c:v>
                </c:pt>
                <c:pt idx="490">
                  <c:v>18487.240000000002</c:v>
                </c:pt>
                <c:pt idx="491">
                  <c:v>67402.69</c:v>
                </c:pt>
                <c:pt idx="492">
                  <c:v>40607.78</c:v>
                </c:pt>
                <c:pt idx="493">
                  <c:v>3800.55</c:v>
                </c:pt>
                <c:pt idx="494">
                  <c:v>32455.48</c:v>
                </c:pt>
                <c:pt idx="495">
                  <c:v>45323.5</c:v>
                </c:pt>
                <c:pt idx="496">
                  <c:v>127782.23</c:v>
                </c:pt>
                <c:pt idx="497">
                  <c:v>-47689.34</c:v>
                </c:pt>
                <c:pt idx="498">
                  <c:v>15749.45</c:v>
                </c:pt>
                <c:pt idx="499">
                  <c:v>9626.1</c:v>
                </c:pt>
              </c:numCache>
            </c:numRef>
          </c:yVal>
          <c:smooth val="0"/>
          <c:extLst>
            <c:ext xmlns:c16="http://schemas.microsoft.com/office/drawing/2014/chart" uri="{C3380CC4-5D6E-409C-BE32-E72D297353CC}">
              <c16:uniqueId val="{00000000-13FA-480E-A580-4CF4EBB45EE4}"/>
            </c:ext>
          </c:extLst>
        </c:ser>
        <c:dLbls>
          <c:showLegendKey val="0"/>
          <c:showVal val="0"/>
          <c:showCatName val="0"/>
          <c:showSerName val="0"/>
          <c:showPercent val="0"/>
          <c:showBubbleSize val="0"/>
        </c:dLbls>
        <c:axId val="772584787"/>
        <c:axId val="961255761"/>
      </c:scatterChart>
      <c:valAx>
        <c:axId val="772584787"/>
        <c:scaling>
          <c:orientation val="minMax"/>
        </c:scaling>
        <c:delete val="0"/>
        <c:axPos val="b"/>
        <c:majorGridlines>
          <c:spPr>
            <a:ln w="9525" cap="flat" cmpd="sng" algn="ctr">
              <a:solidFill>
                <a:schemeClr val="lt1">
                  <a:lumMod val="90200"/>
                </a:schemeClr>
              </a:solidFill>
              <a:round/>
            </a:ln>
            <a:effectLst/>
          </c:spPr>
        </c:majorGridlines>
        <c:title>
          <c:tx>
            <c:rich>
              <a:bodyPr rot="0" spcFirstLastPara="0" vertOverflow="ellipsis" vert="horz" wrap="square" anchor="ctr" anchorCtr="1"/>
              <a:lstStyle/>
              <a:p>
                <a:pPr defTabSz="914400">
                  <a:defRPr lang="en-US" sz="1000" b="1" i="0" u="none" strike="noStrike" kern="1200" baseline="0">
                    <a:solidFill>
                      <a:schemeClr val="tx1">
                        <a:lumMod val="65000"/>
                        <a:lumOff val="35000"/>
                      </a:schemeClr>
                    </a:solidFill>
                    <a:latin typeface="+mn-lt"/>
                    <a:ea typeface="+mn-ea"/>
                    <a:cs typeface="+mn-cs"/>
                  </a:defRPr>
                </a:pPr>
                <a:r>
                  <a:rPr lang="en-US" b="1"/>
                  <a:t>Fuel Cost</a:t>
                </a:r>
              </a:p>
            </c:rich>
          </c:tx>
          <c:overlay val="0"/>
          <c:spPr>
            <a:noFill/>
            <a:ln>
              <a:noFill/>
            </a:ln>
            <a:effectLst/>
          </c:spPr>
          <c:txPr>
            <a:bodyPr rot="0" spcFirstLastPara="0" vertOverflow="ellipsis" vert="horz" wrap="square" anchor="ctr" anchorCtr="1"/>
            <a:lstStyle/>
            <a:p>
              <a:pPr defTabSz="914400">
                <a:defRPr lang="en-US"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chemeClr val="tx1">
                <a:lumMod val="15000"/>
                <a:lumOff val="85000"/>
              </a:schemeClr>
            </a:solidFill>
            <a:miter lim="800000"/>
          </a:ln>
          <a:effectLst/>
        </c:spPr>
        <c:txPr>
          <a:bodyPr rot="-60000000" spcFirstLastPara="0"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endParaRPr lang="en-US"/>
          </a:p>
        </c:txPr>
        <c:crossAx val="961255761"/>
        <c:crosses val="autoZero"/>
        <c:crossBetween val="midCat"/>
      </c:valAx>
      <c:valAx>
        <c:axId val="961255761"/>
        <c:scaling>
          <c:orientation val="minMax"/>
        </c:scaling>
        <c:delete val="0"/>
        <c:axPos val="l"/>
        <c:majorGridlines>
          <c:spPr>
            <a:ln w="9525" cap="flat" cmpd="sng" algn="ctr">
              <a:solidFill>
                <a:schemeClr val="lt1">
                  <a:lumMod val="90200"/>
                </a:schemeClr>
              </a:solidFill>
              <a:round/>
            </a:ln>
            <a:effectLst/>
          </c:spPr>
        </c:majorGridlines>
        <c:title>
          <c:tx>
            <c:rich>
              <a:bodyPr rot="-5400000" spcFirstLastPara="0" vertOverflow="ellipsis" vert="horz" wrap="square" anchor="ctr" anchorCtr="1"/>
              <a:lstStyle/>
              <a:p>
                <a:pPr defTabSz="914400">
                  <a:defRPr lang="en-US" sz="1000" b="1" i="0" u="none" strike="noStrike" kern="1200" baseline="0">
                    <a:solidFill>
                      <a:schemeClr val="tx1">
                        <a:lumMod val="65000"/>
                        <a:lumOff val="35000"/>
                      </a:schemeClr>
                    </a:solidFill>
                    <a:latin typeface="+mn-lt"/>
                    <a:ea typeface="+mn-ea"/>
                    <a:cs typeface="+mn-cs"/>
                  </a:defRPr>
                </a:pPr>
                <a:r>
                  <a:rPr lang="en-US" b="1"/>
                  <a:t>Proft</a:t>
                </a:r>
              </a:p>
            </c:rich>
          </c:tx>
          <c:overlay val="0"/>
          <c:spPr>
            <a:noFill/>
            <a:ln>
              <a:noFill/>
            </a:ln>
            <a:effectLst/>
          </c:spPr>
          <c:txPr>
            <a:bodyPr rot="-5400000" spcFirstLastPara="0" vertOverflow="ellipsis" vert="horz" wrap="square" anchor="ctr" anchorCtr="1"/>
            <a:lstStyle/>
            <a:p>
              <a:pPr defTabSz="914400">
                <a:defRPr lang="en-US" sz="1000" b="1" i="0" u="none" strike="noStrike" kern="1200" baseline="0">
                  <a:solidFill>
                    <a:schemeClr val="tx1">
                      <a:lumMod val="65000"/>
                      <a:lumOff val="35000"/>
                    </a:schemeClr>
                  </a:solidFill>
                  <a:latin typeface="+mn-lt"/>
                  <a:ea typeface="+mn-ea"/>
                  <a:cs typeface="+mn-cs"/>
                </a:defRPr>
              </a:pPr>
              <a:endParaRPr lang="en-US"/>
            </a:p>
          </c:txPr>
        </c:title>
        <c:numFmt formatCode="&quot;$&quot;#,##0_);[Red]\(&quot;$&quot;#,##0\)" sourceLinked="0"/>
        <c:majorTickMark val="none"/>
        <c:minorTickMark val="none"/>
        <c:tickLblPos val="nextTo"/>
        <c:spPr>
          <a:noFill/>
          <a:ln w="15875" cap="flat" cmpd="sng" algn="ctr">
            <a:solidFill>
              <a:schemeClr val="tx1">
                <a:lumMod val="15000"/>
                <a:lumOff val="85000"/>
                <a:alpha val="91000"/>
              </a:schemeClr>
            </a:solidFill>
            <a:round/>
          </a:ln>
          <a:effectLst/>
        </c:spPr>
        <c:txPr>
          <a:bodyPr rot="-60000000" spcFirstLastPara="0"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endParaRPr lang="en-US"/>
          </a:p>
        </c:txPr>
        <c:crossAx val="772584787"/>
        <c:crosses val="autoZero"/>
        <c:crossBetween val="midCat"/>
      </c:valAx>
      <c:spPr>
        <a:noFill/>
        <a:ln w="9525" cap="flat" cmpd="sng" algn="ctr">
          <a:solidFill>
            <a:schemeClr val="tx1">
              <a:lumMod val="15000"/>
              <a:lumOff val="85000"/>
            </a:schemeClr>
          </a:solidFill>
          <a:round/>
        </a:ln>
        <a:effectLst/>
      </c:spPr>
    </c:plotArea>
    <c:plotVisOnly val="1"/>
    <c:dispBlanksAs val="gap"/>
    <c:showDLblsOverMax val="0"/>
    <c:extLst>
      <c:ext uri="{0b15fc19-7d7d-44ad-8c2d-2c3a37ce22c3}">
        <chartProps xmlns="https://web.wps.cn/et/2018/main" chartId="{f2637ee8-7614-428e-bee2-2224ff4c3e54}"/>
      </c:ext>
    </c:extLst>
  </c:chart>
  <c:spPr>
    <a:solidFill>
      <a:schemeClr val="bg1"/>
    </a:solidFill>
    <a:ln w="9525" cap="flat" cmpd="sng" algn="ctr">
      <a:solidFill>
        <a:schemeClr val="tx1">
          <a:lumMod val="15000"/>
          <a:lumOff val="85000"/>
        </a:schemeClr>
      </a:solidFill>
      <a:round/>
    </a:ln>
    <a:effectLst/>
  </c:spPr>
  <c:txPr>
    <a:bodyPr/>
    <a:lstStyle/>
    <a:p>
      <a:pPr>
        <a:defRPr lang="en-US" b="1"/>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8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11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1017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w="19050" cap="rnd">
        <a:noFill/>
        <a:round/>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spPr>
      <a:ln w="9525" cap="flat" cmpd="sng" algn="ctr">
        <a:solidFill>
          <a:schemeClr val="tx1">
            <a:lumMod val="15000"/>
            <a:lumOff val="85000"/>
          </a:schemeClr>
        </a:solidFill>
        <a:round/>
      </a:ln>
    </cs:spPr>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1011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08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1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1011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1017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w="19050" cap="rnd">
        <a:noFill/>
        <a:round/>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spPr>
      <a:ln w="9525" cap="flat" cmpd="sng" algn="ctr">
        <a:solidFill>
          <a:schemeClr val="tx1">
            <a:lumMod val="15000"/>
            <a:lumOff val="85000"/>
          </a:schemeClr>
        </a:solidFill>
        <a:round/>
      </a:ln>
    </cs:spPr>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14</xdr:col>
      <xdr:colOff>590550</xdr:colOff>
      <xdr:row>8</xdr:row>
      <xdr:rowOff>47625</xdr:rowOff>
    </xdr:from>
    <xdr:to>
      <xdr:col>20</xdr:col>
      <xdr:colOff>266065</xdr:colOff>
      <xdr:row>23</xdr:row>
      <xdr:rowOff>8890</xdr:rowOff>
    </xdr:to>
    <xdr:sp macro="" textlink="">
      <xdr:nvSpPr>
        <xdr:cNvPr id="2" name="Text Box 1">
          <a:extLst>
            <a:ext uri="{FF2B5EF4-FFF2-40B4-BE49-F238E27FC236}">
              <a16:creationId xmlns:a16="http://schemas.microsoft.com/office/drawing/2014/main" id="{00000000-0008-0000-0700-000002000000}"/>
            </a:ext>
          </a:extLst>
        </xdr:cNvPr>
        <xdr:cNvSpPr txBox="1"/>
      </xdr:nvSpPr>
      <xdr:spPr>
        <a:xfrm>
          <a:off x="14449425" y="1600200"/>
          <a:ext cx="3333115" cy="4196715"/>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t>So Here are the top 5 (with ties) :</a:t>
          </a:r>
        </a:p>
        <a:p>
          <a:pPr algn="l"/>
          <a:endParaRPr lang="en-US" sz="1100"/>
        </a:p>
        <a:p>
          <a:pPr algn="l"/>
          <a:r>
            <a:rPr lang="en-US" sz="1100"/>
            <a:t>Chicago → Boston — 7 flights</a:t>
          </a:r>
        </a:p>
        <a:p>
          <a:pPr algn="l"/>
          <a:r>
            <a:rPr lang="en-US" sz="1100"/>
            <a:t>Houston → Las Vegas — 6 flights</a:t>
          </a:r>
        </a:p>
        <a:p>
          <a:pPr algn="l"/>
          <a:r>
            <a:rPr lang="en-US" sz="1100"/>
            <a:t>Charlotte → Newark — 5 flights (tied)</a:t>
          </a:r>
        </a:p>
        <a:p>
          <a:pPr algn="l"/>
          <a:r>
            <a:rPr lang="en-US" sz="1100"/>
            <a:t>Charlotte → San Francisco — 5 flights (tied)</a:t>
          </a:r>
        </a:p>
        <a:p>
          <a:pPr algn="l"/>
          <a:r>
            <a:rPr lang="en-US" sz="1100"/>
            <a:t>Chicago → Detroit — 5 flights (tied)</a:t>
          </a:r>
        </a:p>
        <a:p>
          <a:pPr algn="l"/>
          <a:r>
            <a:rPr lang="en-US" sz="1100"/>
            <a:t>San Diego → Chicago — 5 flights (tied)</a:t>
          </a:r>
        </a:p>
        <a:p>
          <a:pPr algn="l"/>
          <a:r>
            <a:rPr lang="en-US" sz="1100"/>
            <a:t>San Francisco → Minneapolis — 5 flights (tied)</a:t>
          </a:r>
        </a:p>
        <a:p>
          <a:pPr algn="l"/>
          <a:endParaRPr lang="en-US" sz="1100"/>
        </a:p>
        <a:p>
          <a:pPr algn="l"/>
          <a:r>
            <a:rPr lang="en-US" sz="1100" b="1" u="sng"/>
            <a:t> Documentation:</a:t>
          </a:r>
          <a:endParaRPr lang="en-US" sz="1100"/>
        </a:p>
        <a:p>
          <a:pPr algn="l"/>
          <a:r>
            <a:rPr lang="en-US" sz="1100"/>
            <a:t>Action Taken: Created a Route column in the Flights sheet by concatenating Origin City and Destination City using =D2&amp;" → "&amp;F2. Routes were counted using a Pivot Table and verified with COUNTIF(). The top 5 busiest routes are Chicago → Boston (7) and Houston → Las Vegas (6). Positions 3 through 7 are occupied by 5 routes all tied at 5 flights each — Charlotte → Newark, Charlotte → San Francisco, Chicago → Detroit, San Diego → Chicago and San Francisco → Minneapolis. All 7 routes are reported to avoid arbitrarily excluding tied results.</a:t>
          </a:r>
        </a:p>
      </xdr:txBody>
    </xdr:sp>
    <xdr:clientData/>
  </xdr:twoCellAnchor>
  <xdr:twoCellAnchor>
    <xdr:from>
      <xdr:col>0</xdr:col>
      <xdr:colOff>295275</xdr:colOff>
      <xdr:row>15</xdr:row>
      <xdr:rowOff>38100</xdr:rowOff>
    </xdr:from>
    <xdr:to>
      <xdr:col>2</xdr:col>
      <xdr:colOff>38100</xdr:colOff>
      <xdr:row>18</xdr:row>
      <xdr:rowOff>12700</xdr:rowOff>
    </xdr:to>
    <xdr:sp macro="" textlink="">
      <xdr:nvSpPr>
        <xdr:cNvPr id="3" name="Text Box 2">
          <a:extLst>
            <a:ext uri="{FF2B5EF4-FFF2-40B4-BE49-F238E27FC236}">
              <a16:creationId xmlns:a16="http://schemas.microsoft.com/office/drawing/2014/main" id="{00000000-0008-0000-0700-000003000000}"/>
            </a:ext>
          </a:extLst>
        </xdr:cNvPr>
        <xdr:cNvSpPr txBox="1"/>
      </xdr:nvSpPr>
      <xdr:spPr>
        <a:xfrm>
          <a:off x="295275" y="4162425"/>
          <a:ext cx="1295400" cy="68580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t>The average occupancy rate across all flights is </a:t>
          </a:r>
        </a:p>
      </xdr:txBody>
    </xdr:sp>
    <xdr:clientData/>
  </xdr:twoCellAnchor>
  <xdr:twoCellAnchor>
    <xdr:from>
      <xdr:col>0</xdr:col>
      <xdr:colOff>635</xdr:colOff>
      <xdr:row>19</xdr:row>
      <xdr:rowOff>19050</xdr:rowOff>
    </xdr:from>
    <xdr:to>
      <xdr:col>6</xdr:col>
      <xdr:colOff>1475740</xdr:colOff>
      <xdr:row>22</xdr:row>
      <xdr:rowOff>114300</xdr:rowOff>
    </xdr:to>
    <xdr:sp macro="" textlink="">
      <xdr:nvSpPr>
        <xdr:cNvPr id="4" name="Text Box 3">
          <a:extLst>
            <a:ext uri="{FF2B5EF4-FFF2-40B4-BE49-F238E27FC236}">
              <a16:creationId xmlns:a16="http://schemas.microsoft.com/office/drawing/2014/main" id="{00000000-0008-0000-0700-000004000000}"/>
            </a:ext>
          </a:extLst>
        </xdr:cNvPr>
        <xdr:cNvSpPr txBox="1"/>
      </xdr:nvSpPr>
      <xdr:spPr>
        <a:xfrm>
          <a:off x="635" y="5045075"/>
          <a:ext cx="6961505" cy="666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t>Action Taken: Used VLOOKUP to bring the Airline name from the Flights sheet into the Revenue sheet. Then used SUMIF() and AVERAGEIF() on the Airline and Profit columns to aggregate profit by airline. Results are as follows:</a:t>
          </a:r>
        </a:p>
        <a:p>
          <a:pPr algn="l"/>
          <a:endParaRPr lang="en-US" sz="1100"/>
        </a:p>
      </xdr:txBody>
    </xdr:sp>
    <xdr:clientData/>
  </xdr:twoCellAnchor>
  <xdr:twoCellAnchor>
    <xdr:from>
      <xdr:col>6</xdr:col>
      <xdr:colOff>57150</xdr:colOff>
      <xdr:row>25</xdr:row>
      <xdr:rowOff>161925</xdr:rowOff>
    </xdr:from>
    <xdr:to>
      <xdr:col>8</xdr:col>
      <xdr:colOff>295275</xdr:colOff>
      <xdr:row>27</xdr:row>
      <xdr:rowOff>9525</xdr:rowOff>
    </xdr:to>
    <xdr:sp macro="" textlink="">
      <xdr:nvSpPr>
        <xdr:cNvPr id="5" name="Text Box 4">
          <a:extLst>
            <a:ext uri="{FF2B5EF4-FFF2-40B4-BE49-F238E27FC236}">
              <a16:creationId xmlns:a16="http://schemas.microsoft.com/office/drawing/2014/main" id="{00000000-0008-0000-0700-000005000000}"/>
            </a:ext>
          </a:extLst>
        </xdr:cNvPr>
        <xdr:cNvSpPr txBox="1"/>
      </xdr:nvSpPr>
      <xdr:spPr>
        <a:xfrm>
          <a:off x="5543550" y="6330950"/>
          <a:ext cx="2628900" cy="22860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t>Calculate revenue per mile</a:t>
          </a:r>
          <a:endParaRPr lang="en-US" sz="1100"/>
        </a:p>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133350</xdr:colOff>
      <xdr:row>4</xdr:row>
      <xdr:rowOff>95885</xdr:rowOff>
    </xdr:from>
    <xdr:to>
      <xdr:col>10</xdr:col>
      <xdr:colOff>48260</xdr:colOff>
      <xdr:row>12</xdr:row>
      <xdr:rowOff>85725</xdr:rowOff>
    </xdr:to>
    <xdr:sp macro="" textlink="">
      <xdr:nvSpPr>
        <xdr:cNvPr id="2" name="Text Box 1">
          <a:extLst>
            <a:ext uri="{FF2B5EF4-FFF2-40B4-BE49-F238E27FC236}">
              <a16:creationId xmlns:a16="http://schemas.microsoft.com/office/drawing/2014/main" id="{00000000-0008-0000-0800-000002000000}"/>
            </a:ext>
          </a:extLst>
        </xdr:cNvPr>
        <xdr:cNvSpPr txBox="1"/>
      </xdr:nvSpPr>
      <xdr:spPr>
        <a:xfrm>
          <a:off x="4981575" y="857885"/>
          <a:ext cx="3220085" cy="151384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t>1.Southwest has the highest number of delayed flights at 23 while American has the most cancellations at 6. JetBlue stands out with the fewest cancellations (1) and fewest delays (14), consistent with its strong on-time performance identified in SA-03.</a:t>
          </a:r>
        </a:p>
      </xdr:txBody>
    </xdr:sp>
    <xdr:clientData/>
  </xdr:twoCellAnchor>
  <xdr:twoCellAnchor>
    <xdr:from>
      <xdr:col>6</xdr:col>
      <xdr:colOff>333375</xdr:colOff>
      <xdr:row>21</xdr:row>
      <xdr:rowOff>161925</xdr:rowOff>
    </xdr:from>
    <xdr:to>
      <xdr:col>9</xdr:col>
      <xdr:colOff>123825</xdr:colOff>
      <xdr:row>28</xdr:row>
      <xdr:rowOff>123825</xdr:rowOff>
    </xdr:to>
    <xdr:sp macro="" textlink="">
      <xdr:nvSpPr>
        <xdr:cNvPr id="3" name="Text Box 2">
          <a:extLst>
            <a:ext uri="{FF2B5EF4-FFF2-40B4-BE49-F238E27FC236}">
              <a16:creationId xmlns:a16="http://schemas.microsoft.com/office/drawing/2014/main" id="{00000000-0008-0000-0800-000003000000}"/>
            </a:ext>
          </a:extLst>
        </xdr:cNvPr>
        <xdr:cNvSpPr txBox="1"/>
      </xdr:nvSpPr>
      <xdr:spPr>
        <a:xfrm>
          <a:off x="5181600" y="4162425"/>
          <a:ext cx="2486025" cy="129540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t>First Class tickets generally command higher prices as expected, with Alaska ($723.15) and JetBlue ($706.03) leading in that category.</a:t>
          </a:r>
        </a:p>
      </xdr:txBody>
    </xdr:sp>
    <xdr:clientData/>
  </xdr:twoCellAnchor>
  <xdr:twoCellAnchor>
    <xdr:from>
      <xdr:col>0</xdr:col>
      <xdr:colOff>635</xdr:colOff>
      <xdr:row>87</xdr:row>
      <xdr:rowOff>104775</xdr:rowOff>
    </xdr:from>
    <xdr:to>
      <xdr:col>4</xdr:col>
      <xdr:colOff>571500</xdr:colOff>
      <xdr:row>96</xdr:row>
      <xdr:rowOff>9525</xdr:rowOff>
    </xdr:to>
    <xdr:sp macro="" textlink="">
      <xdr:nvSpPr>
        <xdr:cNvPr id="4" name="Text Box 3">
          <a:extLst>
            <a:ext uri="{FF2B5EF4-FFF2-40B4-BE49-F238E27FC236}">
              <a16:creationId xmlns:a16="http://schemas.microsoft.com/office/drawing/2014/main" id="{00000000-0008-0000-0800-000004000000}"/>
            </a:ext>
          </a:extLst>
        </xdr:cNvPr>
        <xdr:cNvSpPr txBox="1"/>
      </xdr:nvSpPr>
      <xdr:spPr>
        <a:xfrm>
          <a:off x="635" y="16678275"/>
          <a:ext cx="3990340" cy="161925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t>Southwest leads in total revenue at $6,470,138.36 which is consistent with its top position in SA-06 for total profit. JetBlue generates the least total revenue at $4,388,255.94 despite having strong on-time performance. Interestingly Spirit ranks 2nd in revenue but had the 2nd highest average delay in SA-03, suggesting high demand despite poor punctuality.</a:t>
          </a:r>
        </a:p>
      </xdr:txBody>
    </xdr:sp>
    <xdr:clientData/>
  </xdr:twoCellAnchor>
  <xdr:twoCellAnchor>
    <xdr:from>
      <xdr:col>3</xdr:col>
      <xdr:colOff>438150</xdr:colOff>
      <xdr:row>46</xdr:row>
      <xdr:rowOff>47625</xdr:rowOff>
    </xdr:from>
    <xdr:to>
      <xdr:col>10</xdr:col>
      <xdr:colOff>523240</xdr:colOff>
      <xdr:row>58</xdr:row>
      <xdr:rowOff>160020</xdr:rowOff>
    </xdr:to>
    <xdr:sp macro="" textlink="">
      <xdr:nvSpPr>
        <xdr:cNvPr id="5" name="Text Box 4">
          <a:extLst>
            <a:ext uri="{FF2B5EF4-FFF2-40B4-BE49-F238E27FC236}">
              <a16:creationId xmlns:a16="http://schemas.microsoft.com/office/drawing/2014/main" id="{00000000-0008-0000-0800-000005000000}"/>
            </a:ext>
          </a:extLst>
        </xdr:cNvPr>
        <xdr:cNvSpPr txBox="1"/>
      </xdr:nvSpPr>
      <xdr:spPr>
        <a:xfrm>
          <a:off x="3267075" y="8810625"/>
          <a:ext cx="5409565" cy="2398395"/>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t>Created a Year-Month column in the Flights sheet using =TEXT(B2,"YYYY-MM") to extract the year and month from the Flight Date column. A Pivot Table was then created with Year-Month in Rows and Count of Flight ID in Values to show monthly flight trends from 2022 to 2024.</a:t>
          </a:r>
        </a:p>
        <a:p>
          <a:pPr algn="l"/>
          <a:r>
            <a:rPr lang="en-US" sz="1100"/>
            <a:t>Key observations:</a:t>
          </a:r>
        </a:p>
        <a:p>
          <a:pPr algn="l"/>
          <a:endParaRPr lang="en-US" sz="1100"/>
        </a:p>
        <a:p>
          <a:pPr algn="l"/>
          <a:r>
            <a:rPr lang="en-US" sz="1100"/>
            <a:t>Flight activity is fairly consistent across all three years ranging between 7 and 21 flights per month</a:t>
          </a:r>
        </a:p>
        <a:p>
          <a:pPr algn="l"/>
          <a:r>
            <a:rPr lang="en-US" sz="1100"/>
            <a:t>Peak months were July 2022 and May 2024 both with 21 flights</a:t>
          </a:r>
        </a:p>
        <a:p>
          <a:pPr algn="l"/>
          <a:r>
            <a:rPr lang="en-US" sz="1100"/>
            <a:t>The lowest month was April 2023 with only 7 flights</a:t>
          </a:r>
        </a:p>
        <a:p>
          <a:pPr algn="l"/>
          <a:r>
            <a:rPr lang="en-US" sz="1100"/>
            <a:t>Overall flight volume remained stable across 2022-2024 with no significant upward or downward trend</a:t>
          </a:r>
        </a:p>
      </xdr:txBody>
    </xdr:sp>
    <xdr:clientData/>
  </xdr:twoCellAnchor>
  <xdr:twoCellAnchor>
    <xdr:from>
      <xdr:col>3</xdr:col>
      <xdr:colOff>523875</xdr:colOff>
      <xdr:row>112</xdr:row>
      <xdr:rowOff>28575</xdr:rowOff>
    </xdr:from>
    <xdr:to>
      <xdr:col>6</xdr:col>
      <xdr:colOff>1047750</xdr:colOff>
      <xdr:row>121</xdr:row>
      <xdr:rowOff>85725</xdr:rowOff>
    </xdr:to>
    <xdr:sp macro="" textlink="">
      <xdr:nvSpPr>
        <xdr:cNvPr id="6" name="Text Box 5">
          <a:extLst>
            <a:ext uri="{FF2B5EF4-FFF2-40B4-BE49-F238E27FC236}">
              <a16:creationId xmlns:a16="http://schemas.microsoft.com/office/drawing/2014/main" id="{00000000-0008-0000-0800-000006000000}"/>
            </a:ext>
          </a:extLst>
        </xdr:cNvPr>
        <xdr:cNvSpPr txBox="1"/>
      </xdr:nvSpPr>
      <xdr:spPr>
        <a:xfrm>
          <a:off x="3352800" y="21364575"/>
          <a:ext cx="2543175" cy="177165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t>San Francisco has the highest average delay at 45.54 minutes, followed closely by Denver and Dallas. Detroit is the most punctual departure city with an average delay of just 11.69 minutes. The West Coast and mountain region airports generally show higher delays which could be linked to weather patterns or air traffic congestion.</a:t>
          </a:r>
        </a:p>
      </xdr:txBody>
    </xdr:sp>
    <xdr:clientData/>
  </xdr:twoCellAnchor>
  <xdr:twoCellAnchor>
    <xdr:from>
      <xdr:col>3</xdr:col>
      <xdr:colOff>485775</xdr:colOff>
      <xdr:row>137</xdr:row>
      <xdr:rowOff>76200</xdr:rowOff>
    </xdr:from>
    <xdr:to>
      <xdr:col>6</xdr:col>
      <xdr:colOff>1238250</xdr:colOff>
      <xdr:row>146</xdr:row>
      <xdr:rowOff>56515</xdr:rowOff>
    </xdr:to>
    <xdr:sp macro="" textlink="">
      <xdr:nvSpPr>
        <xdr:cNvPr id="7" name="Text Box 6">
          <a:extLst>
            <a:ext uri="{FF2B5EF4-FFF2-40B4-BE49-F238E27FC236}">
              <a16:creationId xmlns:a16="http://schemas.microsoft.com/office/drawing/2014/main" id="{00000000-0008-0000-0800-000007000000}"/>
            </a:ext>
          </a:extLst>
        </xdr:cNvPr>
        <xdr:cNvSpPr txBox="1"/>
      </xdr:nvSpPr>
      <xdr:spPr>
        <a:xfrm>
          <a:off x="3314700" y="26174700"/>
          <a:ext cx="2771775" cy="1694815"/>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t>Credit Card payments generate the highest total profit at $8,269,124.98 while Debit Card generates the least at $5,858,616.05. Travel Points coming in second suggests a strong loyalty programme usage among passengers. The gap between Credit Card and Debit Card profit could reflect that higher value ticket purchases tend to be made by credit card.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4</xdr:row>
      <xdr:rowOff>0</xdr:rowOff>
    </xdr:from>
    <xdr:to>
      <xdr:col>8</xdr:col>
      <xdr:colOff>558800</xdr:colOff>
      <xdr:row>18</xdr:row>
      <xdr:rowOff>76200</xdr:rowOff>
    </xdr:to>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24</xdr:row>
      <xdr:rowOff>0</xdr:rowOff>
    </xdr:from>
    <xdr:to>
      <xdr:col>8</xdr:col>
      <xdr:colOff>558800</xdr:colOff>
      <xdr:row>38</xdr:row>
      <xdr:rowOff>76200</xdr:rowOff>
    </xdr:to>
    <xdr:graphicFrame macro="">
      <xdr:nvGraphicFramePr>
        <xdr:cNvPr id="4" name="Chart 3">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46</xdr:row>
      <xdr:rowOff>0</xdr:rowOff>
    </xdr:from>
    <xdr:to>
      <xdr:col>9</xdr:col>
      <xdr:colOff>558800</xdr:colOff>
      <xdr:row>60</xdr:row>
      <xdr:rowOff>76200</xdr:rowOff>
    </xdr:to>
    <xdr:graphicFrame macro="">
      <xdr:nvGraphicFramePr>
        <xdr:cNvPr id="5" name="Chart 4">
          <a:extLst>
            <a:ext uri="{FF2B5EF4-FFF2-40B4-BE49-F238E27FC236}">
              <a16:creationId xmlns:a16="http://schemas.microsoft.com/office/drawing/2014/main" id="{00000000-0008-0000-09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409575</xdr:colOff>
      <xdr:row>4</xdr:row>
      <xdr:rowOff>123825</xdr:rowOff>
    </xdr:from>
    <xdr:to>
      <xdr:col>13</xdr:col>
      <xdr:colOff>419100</xdr:colOff>
      <xdr:row>14</xdr:row>
      <xdr:rowOff>95250</xdr:rowOff>
    </xdr:to>
    <xdr:sp macro="" textlink="">
      <xdr:nvSpPr>
        <xdr:cNvPr id="2" name="Text Box 1">
          <a:extLst>
            <a:ext uri="{FF2B5EF4-FFF2-40B4-BE49-F238E27FC236}">
              <a16:creationId xmlns:a16="http://schemas.microsoft.com/office/drawing/2014/main" id="{00000000-0008-0000-0900-000002000000}"/>
            </a:ext>
          </a:extLst>
        </xdr:cNvPr>
        <xdr:cNvSpPr txBox="1"/>
      </xdr:nvSpPr>
      <xdr:spPr>
        <a:xfrm>
          <a:off x="5895975" y="885825"/>
          <a:ext cx="2447925" cy="1876425"/>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t>Flight Status Distribution — Pie Chart</a:t>
          </a:r>
        </a:p>
        <a:p>
          <a:pPr algn="l"/>
          <a:endParaRPr lang="en-US" sz="1100"/>
        </a:p>
        <a:p>
          <a:pPr algn="l"/>
          <a:r>
            <a:rPr lang="en-US" sz="1100"/>
            <a:t>The majority of flights (67.3%) are On-Time, while 28.2% are Delayed and only 4.5% are Cancelled. Though cancellations are rare, the high delay rate of over 1 in 4 flights suggests operational inefficiencies worth investigating.</a:t>
          </a:r>
        </a:p>
      </xdr:txBody>
    </xdr:sp>
    <xdr:clientData/>
  </xdr:twoCellAnchor>
  <xdr:twoCellAnchor>
    <xdr:from>
      <xdr:col>9</xdr:col>
      <xdr:colOff>600075</xdr:colOff>
      <xdr:row>23</xdr:row>
      <xdr:rowOff>180975</xdr:rowOff>
    </xdr:from>
    <xdr:to>
      <xdr:col>15</xdr:col>
      <xdr:colOff>495300</xdr:colOff>
      <xdr:row>33</xdr:row>
      <xdr:rowOff>180975</xdr:rowOff>
    </xdr:to>
    <xdr:sp macro="" textlink="">
      <xdr:nvSpPr>
        <xdr:cNvPr id="6" name="Text Box 5">
          <a:extLst>
            <a:ext uri="{FF2B5EF4-FFF2-40B4-BE49-F238E27FC236}">
              <a16:creationId xmlns:a16="http://schemas.microsoft.com/office/drawing/2014/main" id="{00000000-0008-0000-0900-000006000000}"/>
            </a:ext>
          </a:extLst>
        </xdr:cNvPr>
        <xdr:cNvSpPr txBox="1"/>
      </xdr:nvSpPr>
      <xdr:spPr>
        <a:xfrm>
          <a:off x="6086475" y="4562475"/>
          <a:ext cx="3552825" cy="190500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pPr algn="l"/>
          <a:r>
            <a:rPr lang="en-US" sz="1100"/>
            <a:t>Average Ticket Price by Class — Bar Chart</a:t>
          </a:r>
        </a:p>
        <a:p>
          <a:pPr algn="l"/>
          <a:endParaRPr lang="en-US" sz="1100"/>
        </a:p>
        <a:p>
          <a:pPr algn="l"/>
          <a:r>
            <a:rPr lang="en-US" sz="1100"/>
            <a:t>First Class ($634.11) and Business ($624.40) tickets are priced similarly and both significantly higher than Economy ($586.99). The relatively small gap between Business and First Class suggests potential pricing strategy issues — customers may not see enough value difference to justify upgrading to First Class.</a:t>
          </a:r>
        </a:p>
      </xdr:txBody>
    </xdr:sp>
    <xdr:clientData/>
  </xdr:twoCellAnchor>
  <xdr:twoCellAnchor>
    <xdr:from>
      <xdr:col>10</xdr:col>
      <xdr:colOff>247650</xdr:colOff>
      <xdr:row>42</xdr:row>
      <xdr:rowOff>142875</xdr:rowOff>
    </xdr:from>
    <xdr:to>
      <xdr:col>17</xdr:col>
      <xdr:colOff>552450</xdr:colOff>
      <xdr:row>50</xdr:row>
      <xdr:rowOff>38100</xdr:rowOff>
    </xdr:to>
    <xdr:sp macro="" textlink="">
      <xdr:nvSpPr>
        <xdr:cNvPr id="7" name="Text Box 6">
          <a:extLst>
            <a:ext uri="{FF2B5EF4-FFF2-40B4-BE49-F238E27FC236}">
              <a16:creationId xmlns:a16="http://schemas.microsoft.com/office/drawing/2014/main" id="{00000000-0008-0000-0900-000007000000}"/>
            </a:ext>
          </a:extLst>
        </xdr:cNvPr>
        <xdr:cNvSpPr txBox="1"/>
      </xdr:nvSpPr>
      <xdr:spPr>
        <a:xfrm>
          <a:off x="6343650" y="8143875"/>
          <a:ext cx="4572000" cy="1419225"/>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u="sng"/>
            <a:t> Monthly Flight Count 2022-2024 — Line Chart</a:t>
          </a:r>
        </a:p>
        <a:p>
          <a:pPr algn="l"/>
          <a:endParaRPr lang="en-US" sz="1100"/>
        </a:p>
        <a:p>
          <a:pPr algn="l"/>
          <a:r>
            <a:rPr lang="en-US" sz="1100"/>
            <a:t>Flight counts fluctuate between 7 and 21 per month with no clear upward or downward trend over the 3 year period. Peak months were July 2022 and May 2024 both at 21 flights. April 2023 was the quietest month at just 7 flights, which could indicate seasonal demand dips or operational disruptions.</a:t>
          </a:r>
        </a:p>
      </xdr:txBody>
    </xdr:sp>
    <xdr:clientData/>
  </xdr:twoCellAnchor>
  <xdr:twoCellAnchor>
    <xdr:from>
      <xdr:col>2</xdr:col>
      <xdr:colOff>0</xdr:colOff>
      <xdr:row>66</xdr:row>
      <xdr:rowOff>0</xdr:rowOff>
    </xdr:from>
    <xdr:to>
      <xdr:col>9</xdr:col>
      <xdr:colOff>558800</xdr:colOff>
      <xdr:row>80</xdr:row>
      <xdr:rowOff>76200</xdr:rowOff>
    </xdr:to>
    <xdr:graphicFrame macro="">
      <xdr:nvGraphicFramePr>
        <xdr:cNvPr id="8" name="Chart 7">
          <a:extLst>
            <a:ext uri="{FF2B5EF4-FFF2-40B4-BE49-F238E27FC236}">
              <a16:creationId xmlns:a16="http://schemas.microsoft.com/office/drawing/2014/main" id="{00000000-0008-0000-09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0</xdr:colOff>
      <xdr:row>65</xdr:row>
      <xdr:rowOff>152400</xdr:rowOff>
    </xdr:from>
    <xdr:to>
      <xdr:col>17</xdr:col>
      <xdr:colOff>342900</xdr:colOff>
      <xdr:row>79</xdr:row>
      <xdr:rowOff>180975</xdr:rowOff>
    </xdr:to>
    <xdr:sp macro="" textlink="">
      <xdr:nvSpPr>
        <xdr:cNvPr id="9" name="Text Box 8">
          <a:extLst>
            <a:ext uri="{FF2B5EF4-FFF2-40B4-BE49-F238E27FC236}">
              <a16:creationId xmlns:a16="http://schemas.microsoft.com/office/drawing/2014/main" id="{00000000-0008-0000-0900-000009000000}"/>
            </a:ext>
          </a:extLst>
        </xdr:cNvPr>
        <xdr:cNvSpPr txBox="1"/>
      </xdr:nvSpPr>
      <xdr:spPr>
        <a:xfrm>
          <a:off x="6705600" y="12534900"/>
          <a:ext cx="4000500" cy="2695575"/>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pPr algn="l"/>
          <a:r>
            <a:rPr lang="en-US" sz="1100"/>
            <a:t>Top 5 Airlines by Total Revenue — Horizontal Bar Chart</a:t>
          </a:r>
        </a:p>
        <a:p>
          <a:pPr algn="l"/>
          <a:endParaRPr lang="en-US" sz="1100"/>
        </a:p>
        <a:p>
          <a:pPr algn="l"/>
          <a:r>
            <a:rPr lang="en-US" sz="1100"/>
            <a:t>Southwest leads the top 5 airlines with the highest total revenue at $6,470,138.36, followed closely by Spirit at $6,084,130.65. Interestingly Spirit ranks 2nd in revenue despite having the 2nd highest average delay from SA-03, suggesting strong passenger demand regardless of punctuality. Alaska, American and United are closely clustered between $5.2M and $5.7M indicating a competitive mid-tier revenue group. The gap between Southwest and United is approximately $1.27M which is significant and suggests Southwest has a stronger route network or pricing strategy.</a:t>
          </a:r>
        </a:p>
      </xdr:txBody>
    </xdr:sp>
    <xdr:clientData/>
  </xdr:twoCellAnchor>
  <xdr:twoCellAnchor>
    <xdr:from>
      <xdr:col>2</xdr:col>
      <xdr:colOff>0</xdr:colOff>
      <xdr:row>85</xdr:row>
      <xdr:rowOff>0</xdr:rowOff>
    </xdr:from>
    <xdr:to>
      <xdr:col>9</xdr:col>
      <xdr:colOff>558800</xdr:colOff>
      <xdr:row>99</xdr:row>
      <xdr:rowOff>76200</xdr:rowOff>
    </xdr:to>
    <xdr:graphicFrame macro="">
      <xdr:nvGraphicFramePr>
        <xdr:cNvPr id="10" name="Chart 9">
          <a:extLst>
            <a:ext uri="{FF2B5EF4-FFF2-40B4-BE49-F238E27FC236}">
              <a16:creationId xmlns:a16="http://schemas.microsoft.com/office/drawing/2014/main" id="{00000000-0008-0000-09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0</xdr:colOff>
      <xdr:row>86</xdr:row>
      <xdr:rowOff>19050</xdr:rowOff>
    </xdr:from>
    <xdr:to>
      <xdr:col>18</xdr:col>
      <xdr:colOff>85725</xdr:colOff>
      <xdr:row>97</xdr:row>
      <xdr:rowOff>151765</xdr:rowOff>
    </xdr:to>
    <xdr:sp macro="" textlink="">
      <xdr:nvSpPr>
        <xdr:cNvPr id="11" name="Text Box 10">
          <a:extLst>
            <a:ext uri="{FF2B5EF4-FFF2-40B4-BE49-F238E27FC236}">
              <a16:creationId xmlns:a16="http://schemas.microsoft.com/office/drawing/2014/main" id="{00000000-0008-0000-0900-00000B000000}"/>
            </a:ext>
          </a:extLst>
        </xdr:cNvPr>
        <xdr:cNvSpPr txBox="1"/>
      </xdr:nvSpPr>
      <xdr:spPr>
        <a:xfrm>
          <a:off x="6705600" y="16402050"/>
          <a:ext cx="4352925" cy="2228215"/>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t>Delay Minutes Distribution — Histogram</a:t>
          </a:r>
        </a:p>
        <a:p>
          <a:pPr algn="l"/>
          <a:endParaRPr lang="en-US" sz="1100"/>
        </a:p>
        <a:p>
          <a:pPr algn="l"/>
          <a:r>
            <a:rPr lang="en-US" sz="1100"/>
            <a:t>The distribution is heavily right-skewed with the vast majority of flights (367 out of 500, 73.4%) experiencing zero delay. Among delayed flights, the distribution is fairly even across all delay ranges from 1-180 minutes, with 31-60 minutes being the most common delay range at 27 flights. Notably delays of 151-180 minutes (24 flights) are almost as common as shorter delays of 1-30 minutes (15 flights), suggesting that when flights do get delayed they often experience significant delays rather than minor ones. This is an area worth investigating for operational improvements.</a:t>
          </a:r>
        </a:p>
      </xdr:txBody>
    </xdr:sp>
    <xdr:clientData/>
  </xdr:twoCellAnchor>
  <xdr:twoCellAnchor>
    <xdr:from>
      <xdr:col>2</xdr:col>
      <xdr:colOff>0</xdr:colOff>
      <xdr:row>103</xdr:row>
      <xdr:rowOff>0</xdr:rowOff>
    </xdr:from>
    <xdr:to>
      <xdr:col>9</xdr:col>
      <xdr:colOff>558800</xdr:colOff>
      <xdr:row>117</xdr:row>
      <xdr:rowOff>76200</xdr:rowOff>
    </xdr:to>
    <xdr:graphicFrame macro="">
      <xdr:nvGraphicFramePr>
        <xdr:cNvPr id="12" name="Chart 11">
          <a:extLst>
            <a:ext uri="{FF2B5EF4-FFF2-40B4-BE49-F238E27FC236}">
              <a16:creationId xmlns:a16="http://schemas.microsoft.com/office/drawing/2014/main" id="{00000000-0008-0000-09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161925</xdr:colOff>
      <xdr:row>103</xdr:row>
      <xdr:rowOff>9525</xdr:rowOff>
    </xdr:from>
    <xdr:to>
      <xdr:col>17</xdr:col>
      <xdr:colOff>85725</xdr:colOff>
      <xdr:row>117</xdr:row>
      <xdr:rowOff>161925</xdr:rowOff>
    </xdr:to>
    <xdr:sp macro="" textlink="">
      <xdr:nvSpPr>
        <xdr:cNvPr id="13" name="Text Box 12">
          <a:extLst>
            <a:ext uri="{FF2B5EF4-FFF2-40B4-BE49-F238E27FC236}">
              <a16:creationId xmlns:a16="http://schemas.microsoft.com/office/drawing/2014/main" id="{00000000-0008-0000-0900-00000D000000}"/>
            </a:ext>
          </a:extLst>
        </xdr:cNvPr>
        <xdr:cNvSpPr txBox="1"/>
      </xdr:nvSpPr>
      <xdr:spPr>
        <a:xfrm>
          <a:off x="6867525" y="19631025"/>
          <a:ext cx="3581400" cy="2819400"/>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t> Occupancy Rate by Airline — Column Chart</a:t>
          </a:r>
        </a:p>
        <a:p>
          <a:pPr algn="l"/>
          <a:endParaRPr lang="en-US" sz="1100"/>
        </a:p>
        <a:p>
          <a:pPr algn="l"/>
          <a:r>
            <a:rPr lang="en-US" sz="1100"/>
            <a:t>Southwest has the highest average occupancy rate at 66.33% while JetBlue has the lowest at 58.72%. The overall range across all airlines is relatively narrow — just 7.6 percentage points separating the best and worst performers — suggesting the industry operates at broadly similar capacity utilisation levels. Interestingly JetBlue has the best on-time performance from SA-03 but the lowest occupancy rate, which may suggest they operate more flights with fewer passengers to maintain scheduling reliability. Southwest's high occupancy combined with high revenue from DV-04 confirms it as the strongest overall performer in this dataset.</a:t>
          </a:r>
        </a:p>
      </xdr:txBody>
    </xdr:sp>
    <xdr:clientData/>
  </xdr:twoCellAnchor>
  <xdr:twoCellAnchor>
    <xdr:from>
      <xdr:col>2</xdr:col>
      <xdr:colOff>0</xdr:colOff>
      <xdr:row>122</xdr:row>
      <xdr:rowOff>0</xdr:rowOff>
    </xdr:from>
    <xdr:to>
      <xdr:col>9</xdr:col>
      <xdr:colOff>558800</xdr:colOff>
      <xdr:row>136</xdr:row>
      <xdr:rowOff>76200</xdr:rowOff>
    </xdr:to>
    <xdr:graphicFrame macro="">
      <xdr:nvGraphicFramePr>
        <xdr:cNvPr id="14" name="Chart 13">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19050</xdr:colOff>
      <xdr:row>122</xdr:row>
      <xdr:rowOff>19050</xdr:rowOff>
    </xdr:from>
    <xdr:to>
      <xdr:col>18</xdr:col>
      <xdr:colOff>476250</xdr:colOff>
      <xdr:row>134</xdr:row>
      <xdr:rowOff>161925</xdr:rowOff>
    </xdr:to>
    <xdr:sp macro="" textlink="">
      <xdr:nvSpPr>
        <xdr:cNvPr id="15" name="Text Box 14">
          <a:extLst>
            <a:ext uri="{FF2B5EF4-FFF2-40B4-BE49-F238E27FC236}">
              <a16:creationId xmlns:a16="http://schemas.microsoft.com/office/drawing/2014/main" id="{00000000-0008-0000-0900-00000F000000}"/>
            </a:ext>
          </a:extLst>
        </xdr:cNvPr>
        <xdr:cNvSpPr txBox="1"/>
      </xdr:nvSpPr>
      <xdr:spPr>
        <a:xfrm>
          <a:off x="6724650" y="23260050"/>
          <a:ext cx="4724400" cy="2428875"/>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pPr algn="l"/>
          <a:r>
            <a:rPr lang="en-US" sz="1100" b="1" u="sng"/>
            <a:t>Profit vs Fuel Cost — Scatter Plot</a:t>
          </a:r>
        </a:p>
        <a:p>
          <a:pPr algn="l"/>
          <a:endParaRPr lang="en-US" sz="1100" b="1" u="sng"/>
        </a:p>
        <a:p>
          <a:pPr algn="l"/>
          <a:r>
            <a:rPr lang="en-US" sz="1100"/>
            <a:t>The scatter plot shows no strong linear relationship between fuel cost and profit — points are widely scattered across all fuel cost ranges. This suggests that fuel cost alone does not determine profitability. Some flights with high fuel costs still generate strong profits while some low fuel cost flights show losses (negative profit shown in red). The cluster of points between </a:t>
          </a:r>
          <a:r>
            <a:rPr lang="en-US" sz="1100">
              <a:solidFill>
                <a:srgbClr val="FF0000"/>
              </a:solidFill>
            </a:rPr>
            <a:t>$10,000-$30,000</a:t>
          </a:r>
          <a:r>
            <a:rPr lang="en-US" sz="1100"/>
            <a:t> fuel cost represents the majority of flights, with profit ranging widely from -</a:t>
          </a:r>
          <a:r>
            <a:rPr lang="en-US" sz="1100" b="1">
              <a:solidFill>
                <a:srgbClr val="FF0000"/>
              </a:solidFill>
            </a:rPr>
            <a:t>$100,000 to $350,000</a:t>
          </a:r>
          <a:r>
            <a:rPr lang="en-US" sz="1100"/>
            <a:t> in that range. This indicates other factors such as ticket price, passenger load and route distance play a bigger role in determining profitability than fuel cost alone.</a:t>
          </a:r>
        </a:p>
      </xdr:txBody>
    </xdr:sp>
    <xdr:clientData/>
  </xdr:twoCellAnchor>
  <xdr:twoCellAnchor>
    <xdr:from>
      <xdr:col>10</xdr:col>
      <xdr:colOff>171450</xdr:colOff>
      <xdr:row>141</xdr:row>
      <xdr:rowOff>152400</xdr:rowOff>
    </xdr:from>
    <xdr:to>
      <xdr:col>19</xdr:col>
      <xdr:colOff>0</xdr:colOff>
      <xdr:row>153</xdr:row>
      <xdr:rowOff>66675</xdr:rowOff>
    </xdr:to>
    <xdr:sp macro="" textlink="">
      <xdr:nvSpPr>
        <xdr:cNvPr id="16" name="Text Box 15">
          <a:extLst>
            <a:ext uri="{FF2B5EF4-FFF2-40B4-BE49-F238E27FC236}">
              <a16:creationId xmlns:a16="http://schemas.microsoft.com/office/drawing/2014/main" id="{00000000-0008-0000-0900-000010000000}"/>
            </a:ext>
          </a:extLst>
        </xdr:cNvPr>
        <xdr:cNvSpPr txBox="1"/>
      </xdr:nvSpPr>
      <xdr:spPr>
        <a:xfrm>
          <a:off x="6267450" y="27012900"/>
          <a:ext cx="5314950" cy="2200275"/>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pPr algn="l"/>
          <a:r>
            <a:rPr lang="en-US" sz="1100"/>
            <a:t> </a:t>
          </a:r>
          <a:r>
            <a:rPr lang="en-US" sz="1100" b="1" u="sng"/>
            <a:t>Revenue Breakdown by Top 8 Airports — Stacked Bar Chart</a:t>
          </a:r>
        </a:p>
        <a:p>
          <a:pPr algn="l"/>
          <a:endParaRPr lang="en-US" sz="1100" b="1" u="sng"/>
        </a:p>
        <a:p>
          <a:pPr algn="l"/>
          <a:r>
            <a:rPr lang="en-US" sz="1100"/>
            <a:t>Hartsfield-Jackson Atlanta (ATL) is the top revenue generating airport by a significant margin at $3,387,371, consistent with it being the busiest departure airport from SA-08. Charlotte Douglas International and Newark Liberty follow in 2nd and 3rd place. Ancillary Revenue is consistently small across all airports — representing roughly 3-5% of Total Revenue — suggesting the airline network relies heavily on ticket sales rather than ancillary services like baggage fees and upgrades. San Francisco generates the least revenue among the top 8 despite having the highest average delay from PT-05, suggesting delays are not significantly deterring passengers.</a:t>
          </a:r>
        </a:p>
      </xdr:txBody>
    </xdr:sp>
    <xdr:clientData/>
  </xdr:twoCellAnchor>
  <xdr:twoCellAnchor>
    <xdr:from>
      <xdr:col>2</xdr:col>
      <xdr:colOff>0</xdr:colOff>
      <xdr:row>141</xdr:row>
      <xdr:rowOff>0</xdr:rowOff>
    </xdr:from>
    <xdr:to>
      <xdr:col>9</xdr:col>
      <xdr:colOff>558800</xdr:colOff>
      <xdr:row>155</xdr:row>
      <xdr:rowOff>76200</xdr:rowOff>
    </xdr:to>
    <xdr:graphicFrame macro="">
      <xdr:nvGraphicFramePr>
        <xdr:cNvPr id="17" name="Chart 16">
          <a:extLst>
            <a:ext uri="{FF2B5EF4-FFF2-40B4-BE49-F238E27FC236}">
              <a16:creationId xmlns:a16="http://schemas.microsoft.com/office/drawing/2014/main" id="{00000000-0008-0000-09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9525</xdr:colOff>
      <xdr:row>9</xdr:row>
      <xdr:rowOff>95250</xdr:rowOff>
    </xdr:from>
    <xdr:to>
      <xdr:col>8</xdr:col>
      <xdr:colOff>568325</xdr:colOff>
      <xdr:row>23</xdr:row>
      <xdr:rowOff>171450</xdr:rowOff>
    </xdr:to>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311150</xdr:colOff>
      <xdr:row>9</xdr:row>
      <xdr:rowOff>118745</xdr:rowOff>
    </xdr:from>
    <xdr:to>
      <xdr:col>17</xdr:col>
      <xdr:colOff>260350</xdr:colOff>
      <xdr:row>24</xdr:row>
      <xdr:rowOff>4445</xdr:rowOff>
    </xdr:to>
    <xdr:graphicFrame macro="">
      <xdr:nvGraphicFramePr>
        <xdr:cNvPr id="3" name="Chart 2">
          <a:extLst>
            <a:ext uri="{FF2B5EF4-FFF2-40B4-BE49-F238E27FC236}">
              <a16:creationId xmlns:a16="http://schemas.microsoft.com/office/drawing/2014/main" id="{00000000-0008-0000-0A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584835</xdr:colOff>
      <xdr:row>9</xdr:row>
      <xdr:rowOff>119380</xdr:rowOff>
    </xdr:from>
    <xdr:to>
      <xdr:col>25</xdr:col>
      <xdr:colOff>534035</xdr:colOff>
      <xdr:row>24</xdr:row>
      <xdr:rowOff>5080</xdr:rowOff>
    </xdr:to>
    <xdr:graphicFrame macro="">
      <xdr:nvGraphicFramePr>
        <xdr:cNvPr id="4" name="Chart 3">
          <a:extLst>
            <a:ext uri="{FF2B5EF4-FFF2-40B4-BE49-F238E27FC236}">
              <a16:creationId xmlns:a16="http://schemas.microsoft.com/office/drawing/2014/main" id="{00000000-0008-0000-0A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608965</xdr:colOff>
      <xdr:row>24</xdr:row>
      <xdr:rowOff>167005</xdr:rowOff>
    </xdr:from>
    <xdr:to>
      <xdr:col>8</xdr:col>
      <xdr:colOff>558165</xdr:colOff>
      <xdr:row>39</xdr:row>
      <xdr:rowOff>52705</xdr:rowOff>
    </xdr:to>
    <xdr:graphicFrame macro="">
      <xdr:nvGraphicFramePr>
        <xdr:cNvPr id="5" name="Chart 4">
          <a:extLst>
            <a:ext uri="{FF2B5EF4-FFF2-40B4-BE49-F238E27FC236}">
              <a16:creationId xmlns:a16="http://schemas.microsoft.com/office/drawing/2014/main" id="{00000000-0008-0000-0A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311150</xdr:colOff>
      <xdr:row>24</xdr:row>
      <xdr:rowOff>166370</xdr:rowOff>
    </xdr:from>
    <xdr:to>
      <xdr:col>17</xdr:col>
      <xdr:colOff>260350</xdr:colOff>
      <xdr:row>39</xdr:row>
      <xdr:rowOff>52070</xdr:rowOff>
    </xdr:to>
    <xdr:graphicFrame macro="">
      <xdr:nvGraphicFramePr>
        <xdr:cNvPr id="6" name="Chart 5">
          <a:extLst>
            <a:ext uri="{FF2B5EF4-FFF2-40B4-BE49-F238E27FC236}">
              <a16:creationId xmlns:a16="http://schemas.microsoft.com/office/drawing/2014/main" id="{00000000-0008-0000-0A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0</xdr:colOff>
      <xdr:row>26</xdr:row>
      <xdr:rowOff>0</xdr:rowOff>
    </xdr:from>
    <xdr:to>
      <xdr:col>25</xdr:col>
      <xdr:colOff>558800</xdr:colOff>
      <xdr:row>40</xdr:row>
      <xdr:rowOff>76200</xdr:rowOff>
    </xdr:to>
    <xdr:graphicFrame macro="">
      <xdr:nvGraphicFramePr>
        <xdr:cNvPr id="7" name="Chart 6">
          <a:extLst>
            <a:ext uri="{FF2B5EF4-FFF2-40B4-BE49-F238E27FC236}">
              <a16:creationId xmlns:a16="http://schemas.microsoft.com/office/drawing/2014/main" id="{00000000-0008-0000-0A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46355</xdr:colOff>
      <xdr:row>0</xdr:row>
      <xdr:rowOff>635</xdr:rowOff>
    </xdr:from>
    <xdr:to>
      <xdr:col>15</xdr:col>
      <xdr:colOff>8890</xdr:colOff>
      <xdr:row>4</xdr:row>
      <xdr:rowOff>37465</xdr:rowOff>
    </xdr:to>
    <xdr:sp macro="" textlink="">
      <xdr:nvSpPr>
        <xdr:cNvPr id="8" name="Text Box 7">
          <a:extLst>
            <a:ext uri="{FF2B5EF4-FFF2-40B4-BE49-F238E27FC236}">
              <a16:creationId xmlns:a16="http://schemas.microsoft.com/office/drawing/2014/main" id="{00000000-0008-0000-0A00-000008000000}"/>
            </a:ext>
          </a:extLst>
        </xdr:cNvPr>
        <xdr:cNvSpPr txBox="1"/>
      </xdr:nvSpPr>
      <xdr:spPr>
        <a:xfrm>
          <a:off x="1875155" y="635"/>
          <a:ext cx="7620635" cy="7988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scene3d>
            <a:camera prst="orthographicFront"/>
            <a:lightRig rig="threePt" dir="t"/>
          </a:scene3d>
        </a:bodyPr>
        <a:lstStyle/>
        <a:p>
          <a:pPr algn="ctr"/>
          <a:r>
            <a:rPr lang="en-US" sz="2800"/>
            <a:t> </a:t>
          </a:r>
          <a:r>
            <a:rPr lang="en-US" sz="2800" b="1">
              <a:ln w="22225">
                <a:solidFill>
                  <a:schemeClr val="accent2"/>
                </a:solidFill>
                <a:prstDash val="solid"/>
              </a:ln>
              <a:solidFill>
                <a:schemeClr val="accent2">
                  <a:lumMod val="40000"/>
                  <a:lumOff val="60000"/>
                </a:schemeClr>
              </a:solidFill>
              <a:effectLst/>
            </a:rPr>
            <a:t>Airline Dataset Analysis Dashboard</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airline_dataset%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t Analysis"/>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GATHA" refreshedDate="46087.965289351901" createdVersion="5" refreshedVersion="5" minRefreshableVersion="3" recordCount="500" xr:uid="{00000000-000A-0000-FFFF-FFFF00000000}">
  <cacheSource type="worksheet">
    <worksheetSource ref="A1:T501" sheet="✈ Flights (2)"/>
  </cacheSource>
  <cacheFields count="20">
    <cacheField name="Flight Id" numFmtId="0">
      <sharedItems count="500">
        <s v="FL001"/>
        <s v="FL002"/>
        <s v="FL003"/>
        <s v="FL004"/>
        <s v="FL005"/>
        <s v="FL006"/>
        <s v="FL007"/>
        <s v="FL008"/>
        <s v="FL009"/>
        <s v="FL010"/>
        <s v="FL011"/>
        <s v="FL012"/>
        <s v="FL013"/>
        <s v="FL014"/>
        <s v="FL015"/>
        <s v="FL016"/>
        <s v="FL017"/>
        <s v="FL018"/>
        <s v="FL019"/>
        <s v="FL020"/>
        <s v="FL021"/>
        <s v="FL022"/>
        <s v="FL023"/>
        <s v="FL024"/>
        <s v="FL025"/>
        <s v="FL026"/>
        <s v="FL027"/>
        <s v="FL028"/>
        <s v="FL029"/>
        <s v="FL030"/>
        <s v="FL031"/>
        <s v="FL032"/>
        <s v="FL033"/>
        <s v="FL034"/>
        <s v="FL035"/>
        <s v="FL036"/>
        <s v="FL037"/>
        <s v="FL038"/>
        <s v="FL039"/>
        <s v="FL040"/>
        <s v="FL041"/>
        <s v="FL042"/>
        <s v="FL043"/>
        <s v="FL044"/>
        <s v="FL045"/>
        <s v="FL046"/>
        <s v="FL047"/>
        <s v="FL048"/>
        <s v="FL049"/>
        <s v="FL050"/>
        <s v="FL051"/>
        <s v="FL052"/>
        <s v="FL053"/>
        <s v="FL054"/>
        <s v="FL055"/>
        <s v="FL056"/>
        <s v="FL057"/>
        <s v="FL058"/>
        <s v="FL059"/>
        <s v="FL060"/>
        <s v="FL061"/>
        <s v="FL062"/>
        <s v="FL063"/>
        <s v="FL064"/>
        <s v="FL065"/>
        <s v="FL066"/>
        <s v="FL067"/>
        <s v="FL068"/>
        <s v="FL069"/>
        <s v="FL070"/>
        <s v="FL071"/>
        <s v="FL072"/>
        <s v="FL073"/>
        <s v="FL074"/>
        <s v="FL075"/>
        <s v="FL076"/>
        <s v="FL077"/>
        <s v="FL078"/>
        <s v="FL079"/>
        <s v="FL080"/>
        <s v="FL081"/>
        <s v="FL082"/>
        <s v="FL083"/>
        <s v="FL084"/>
        <s v="FL085"/>
        <s v="FL086"/>
        <s v="FL087"/>
        <s v="FL088"/>
        <s v="FL089"/>
        <s v="FL090"/>
        <s v="FL091"/>
        <s v="FL092"/>
        <s v="FL093"/>
        <s v="FL094"/>
        <s v="FL095"/>
        <s v="FL096"/>
        <s v="FL097"/>
        <s v="FL098"/>
        <s v="FL099"/>
        <s v="FL100"/>
        <s v="FL101"/>
        <s v="FL102"/>
        <s v="FL103"/>
        <s v="FL104"/>
        <s v="FL105"/>
        <s v="FL106"/>
        <s v="FL107"/>
        <s v="FL108"/>
        <s v="FL109"/>
        <s v="FL110"/>
        <s v="FL111"/>
        <s v="FL112"/>
        <s v="FL113"/>
        <s v="FL114"/>
        <s v="FL115"/>
        <s v="FL116"/>
        <s v="FL117"/>
        <s v="FL118"/>
        <s v="FL119"/>
        <s v="FL120"/>
        <s v="FL121"/>
        <s v="FL122"/>
        <s v="FL123"/>
        <s v="FL124"/>
        <s v="FL125"/>
        <s v="FL126"/>
        <s v="FL127"/>
        <s v="FL128"/>
        <s v="FL129"/>
        <s v="FL130"/>
        <s v="FL131"/>
        <s v="FL132"/>
        <s v="FL133"/>
        <s v="FL134"/>
        <s v="FL135"/>
        <s v="FL136"/>
        <s v="FL137"/>
        <s v="FL138"/>
        <s v="FL139"/>
        <s v="FL140"/>
        <s v="FL141"/>
        <s v="FL142"/>
        <s v="FL143"/>
        <s v="FL144"/>
        <s v="FL145"/>
        <s v="FL146"/>
        <s v="FL147"/>
        <s v="FL148"/>
        <s v="FL149"/>
        <s v="FL150"/>
        <s v="FL151"/>
        <s v="FL152"/>
        <s v="FL153"/>
        <s v="FL154"/>
        <s v="FL155"/>
        <s v="FL156"/>
        <s v="FL157"/>
        <s v="FL158"/>
        <s v="FL159"/>
        <s v="FL160"/>
        <s v="FL161"/>
        <s v="FL162"/>
        <s v="FL163"/>
        <s v="FL164"/>
        <s v="FL165"/>
        <s v="FL166"/>
        <s v="FL167"/>
        <s v="FL168"/>
        <s v="FL169"/>
        <s v="FL170"/>
        <s v="FL171"/>
        <s v="FL172"/>
        <s v="FL173"/>
        <s v="FL174"/>
        <s v="FL175"/>
        <s v="FL176"/>
        <s v="FL177"/>
        <s v="FL178"/>
        <s v="FL179"/>
        <s v="FL180"/>
        <s v="FL181"/>
        <s v="FL182"/>
        <s v="FL183"/>
        <s v="FL184"/>
        <s v="FL185"/>
        <s v="FL186"/>
        <s v="FL187"/>
        <s v="FL188"/>
        <s v="FL189"/>
        <s v="FL190"/>
        <s v="FL191"/>
        <s v="FL192"/>
        <s v="FL193"/>
        <s v="FL194"/>
        <s v="FL195"/>
        <s v="FL196"/>
        <s v="FL197"/>
        <s v="FL198"/>
        <s v="FL199"/>
        <s v="FL200"/>
        <s v="FL201"/>
        <s v="FL202"/>
        <s v="FL203"/>
        <s v="FL204"/>
        <s v="FL205"/>
        <s v="FL206"/>
        <s v="FL207"/>
        <s v="FL208"/>
        <s v="FL209"/>
        <s v="FL210"/>
        <s v="FL211"/>
        <s v="FL212"/>
        <s v="FL213"/>
        <s v="FL214"/>
        <s v="FL215"/>
        <s v="FL216"/>
        <s v="FL217"/>
        <s v="FL218"/>
        <s v="FL219"/>
        <s v="FL220"/>
        <s v="FL221"/>
        <s v="FL222"/>
        <s v="FL223"/>
        <s v="FL224"/>
        <s v="FL225"/>
        <s v="FL226"/>
        <s v="FL227"/>
        <s v="FL228"/>
        <s v="FL229"/>
        <s v="FL230"/>
        <s v="FL231"/>
        <s v="FL232"/>
        <s v="FL233"/>
        <s v="FL234"/>
        <s v="FL235"/>
        <s v="FL236"/>
        <s v="FL237"/>
        <s v="FL238"/>
        <s v="FL239"/>
        <s v="FL240"/>
        <s v="FL241"/>
        <s v="FL242"/>
        <s v="FL243"/>
        <s v="FL244"/>
        <s v="FL245"/>
        <s v="FL246"/>
        <s v="FL247"/>
        <s v="FL248"/>
        <s v="FL249"/>
        <s v="FL250"/>
        <s v="FL251"/>
        <s v="FL252"/>
        <s v="FL253"/>
        <s v="FL254"/>
        <s v="FL255"/>
        <s v="FL256"/>
        <s v="FL257"/>
        <s v="FL258"/>
        <s v="FL259"/>
        <s v="FL260"/>
        <s v="FL261"/>
        <s v="FL262"/>
        <s v="FL263"/>
        <s v="FL264"/>
        <s v="FL265"/>
        <s v="FL266"/>
        <s v="FL267"/>
        <s v="FL268"/>
        <s v="FL269"/>
        <s v="FL270"/>
        <s v="FL271"/>
        <s v="FL272"/>
        <s v="FL273"/>
        <s v="FL274"/>
        <s v="FL275"/>
        <s v="FL276"/>
        <s v="FL277"/>
        <s v="FL278"/>
        <s v="FL279"/>
        <s v="FL280"/>
        <s v="FL281"/>
        <s v="FL282"/>
        <s v="FL283"/>
        <s v="FL284"/>
        <s v="FL285"/>
        <s v="FL286"/>
        <s v="FL287"/>
        <s v="FL288"/>
        <s v="FL289"/>
        <s v="FL290"/>
        <s v="FL291"/>
        <s v="FL292"/>
        <s v="FL293"/>
        <s v="FL294"/>
        <s v="FL295"/>
        <s v="FL296"/>
        <s v="FL297"/>
        <s v="FL298"/>
        <s v="FL299"/>
        <s v="FL300"/>
        <s v="FL301"/>
        <s v="FL302"/>
        <s v="FL303"/>
        <s v="FL304"/>
        <s v="FL305"/>
        <s v="FL306"/>
        <s v="FL307"/>
        <s v="FL308"/>
        <s v="FL309"/>
        <s v="FL310"/>
        <s v="FL311"/>
        <s v="FL312"/>
        <s v="FL313"/>
        <s v="FL314"/>
        <s v="FL315"/>
        <s v="FL316"/>
        <s v="FL317"/>
        <s v="FL318"/>
        <s v="FL319"/>
        <s v="FL320"/>
        <s v="FL321"/>
        <s v="FL322"/>
        <s v="FL323"/>
        <s v="FL324"/>
        <s v="FL325"/>
        <s v="FL326"/>
        <s v="FL327"/>
        <s v="FL328"/>
        <s v="FL329"/>
        <s v="FL330"/>
        <s v="FL331"/>
        <s v="FL332"/>
        <s v="FL333"/>
        <s v="FL334"/>
        <s v="FL335"/>
        <s v="FL336"/>
        <s v="FL337"/>
        <s v="FL338"/>
        <s v="FL339"/>
        <s v="FL340"/>
        <s v="FL341"/>
        <s v="FL342"/>
        <s v="FL343"/>
        <s v="FL344"/>
        <s v="FL345"/>
        <s v="FL346"/>
        <s v="FL347"/>
        <s v="FL348"/>
        <s v="FL349"/>
        <s v="FL350"/>
        <s v="FL351"/>
        <s v="FL352"/>
        <s v="FL353"/>
        <s v="FL354"/>
        <s v="FL355"/>
        <s v="FL356"/>
        <s v="FL357"/>
        <s v="FL358"/>
        <s v="FL359"/>
        <s v="FL360"/>
        <s v="FL361"/>
        <s v="FL362"/>
        <s v="FL363"/>
        <s v="FL364"/>
        <s v="FL365"/>
        <s v="FL366"/>
        <s v="FL367"/>
        <s v="FL368"/>
        <s v="FL369"/>
        <s v="FL370"/>
        <s v="FL371"/>
        <s v="FL372"/>
        <s v="FL373"/>
        <s v="FL374"/>
        <s v="FL375"/>
        <s v="FL376"/>
        <s v="FL377"/>
        <s v="FL378"/>
        <s v="FL379"/>
        <s v="FL380"/>
        <s v="FL381"/>
        <s v="FL382"/>
        <s v="FL383"/>
        <s v="FL384"/>
        <s v="FL385"/>
        <s v="FL386"/>
        <s v="FL387"/>
        <s v="FL388"/>
        <s v="FL389"/>
        <s v="FL390"/>
        <s v="FL391"/>
        <s v="FL392"/>
        <s v="FL393"/>
        <s v="FL394"/>
        <s v="FL395"/>
        <s v="FL396"/>
        <s v="FL397"/>
        <s v="FL398"/>
        <s v="FL399"/>
        <s v="FL400"/>
        <s v="FL401"/>
        <s v="FL402"/>
        <s v="FL403"/>
        <s v="FL404"/>
        <s v="FL405"/>
        <s v="FL406"/>
        <s v="FL407"/>
        <s v="FL408"/>
        <s v="FL409"/>
        <s v="FL410"/>
        <s v="FL411"/>
        <s v="FL412"/>
        <s v="FL413"/>
        <s v="FL414"/>
        <s v="FL415"/>
        <s v="FL416"/>
        <s v="FL417"/>
        <s v="FL418"/>
        <s v="FL419"/>
        <s v="FL420"/>
        <s v="FL421"/>
        <s v="FL422"/>
        <s v="FL423"/>
        <s v="FL424"/>
        <s v="FL425"/>
        <s v="FL426"/>
        <s v="FL427"/>
        <s v="FL428"/>
        <s v="FL429"/>
        <s v="FL430"/>
        <s v="FL431"/>
        <s v="FL432"/>
        <s v="FL433"/>
        <s v="FL434"/>
        <s v="FL435"/>
        <s v="FL436"/>
        <s v="FL437"/>
        <s v="FL438"/>
        <s v="FL439"/>
        <s v="FL440"/>
        <s v="FL441"/>
        <s v="FL442"/>
        <s v="FL443"/>
        <s v="FL444"/>
        <s v="FL445"/>
        <s v="FL446"/>
        <s v="FL447"/>
        <s v="FL448"/>
        <s v="FL449"/>
        <s v="FL450"/>
        <s v="FL451"/>
        <s v="FL452"/>
        <s v="FL453"/>
        <s v="FL454"/>
        <s v="FL455"/>
        <s v="FL456"/>
        <s v="FL457"/>
        <s v="FL458"/>
        <s v="FL459"/>
        <s v="FL460"/>
        <s v="FL461"/>
        <s v="FL462"/>
        <s v="FL463"/>
        <s v="FL464"/>
        <s v="FL465"/>
        <s v="FL466"/>
        <s v="FL467"/>
        <s v="FL468"/>
        <s v="FL469"/>
        <s v="FL470"/>
        <s v="FL471"/>
        <s v="FL472"/>
        <s v="FL473"/>
        <s v="FL474"/>
        <s v="FL475"/>
        <s v="FL476"/>
        <s v="FL477"/>
        <s v="FL478"/>
        <s v="FL479"/>
        <s v="FL480"/>
        <s v="FL481"/>
        <s v="FL482"/>
        <s v="FL483"/>
        <s v="FL484"/>
        <s v="FL485"/>
        <s v="FL486"/>
        <s v="FL487"/>
        <s v="FL488"/>
        <s v="FL489"/>
        <s v="FL490"/>
        <s v="FL491"/>
        <s v="FL492"/>
        <s v="FL493"/>
        <s v="FL494"/>
        <s v="FL495"/>
        <s v="FL496"/>
        <s v="FL497"/>
        <s v="FL498"/>
        <s v="FL499"/>
        <s v="FL500"/>
      </sharedItems>
    </cacheField>
    <cacheField name="Flight Date" numFmtId="167">
      <sharedItems containsSemiMixedTypes="0" containsNonDate="0" containsDate="1" containsString="0" minDate="2022-01-04T00:00:00" maxDate="2024-12-30T00:00:00" count="399">
        <d v="2022-08-17T00:00:00"/>
        <d v="2022-07-11T00:00:00"/>
        <d v="2023-07-24T00:00:00"/>
        <d v="2024-01-06T00:00:00"/>
        <d v="2024-01-11T00:00:00"/>
        <d v="2024-01-18T00:00:00"/>
        <d v="2024-08-04T00:00:00"/>
        <d v="2023-10-07T00:00:00"/>
        <d v="2024-05-27T00:00:00"/>
        <d v="2022-05-11T00:00:00"/>
        <d v="2023-11-28T00:00:00"/>
        <d v="2024-11-05T00:00:00"/>
        <d v="2023-05-06T00:00:00"/>
        <d v="2024-08-31T00:00:00"/>
        <d v="2024-02-04T00:00:00"/>
        <d v="2022-01-15T00:00:00"/>
        <d v="2022-09-28T00:00:00"/>
        <d v="2022-04-21T00:00:00"/>
        <d v="2023-07-25T00:00:00"/>
        <d v="2022-12-07T00:00:00"/>
        <d v="2024-05-16T00:00:00"/>
        <d v="2024-09-03T00:00:00"/>
        <d v="2023-05-20T00:00:00"/>
        <d v="2023-09-07T00:00:00"/>
        <d v="2022-09-29T00:00:00"/>
        <d v="2023-09-06T00:00:00"/>
        <d v="2023-06-25T00:00:00"/>
        <d v="2024-06-23T00:00:00"/>
        <d v="2022-09-19T00:00:00"/>
        <d v="2022-11-13T00:00:00"/>
        <d v="2022-08-10T00:00:00"/>
        <d v="2023-11-04T00:00:00"/>
        <d v="2023-06-28T00:00:00"/>
        <d v="2022-04-01T00:00:00"/>
        <d v="2022-09-13T00:00:00"/>
        <d v="2024-02-16T00:00:00"/>
        <d v="2023-10-22T00:00:00"/>
        <d v="2024-11-21T00:00:00"/>
        <d v="2022-05-30T00:00:00"/>
        <d v="2024-05-20T00:00:00"/>
        <d v="2023-10-12T00:00:00"/>
        <d v="2024-09-19T00:00:00"/>
        <d v="2024-02-24T00:00:00"/>
        <d v="2022-02-10T00:00:00"/>
        <d v="2024-09-26T00:00:00"/>
        <d v="2024-12-29T00:00:00"/>
        <d v="2023-11-02T00:00:00"/>
        <d v="2023-12-18T00:00:00"/>
        <d v="2023-03-23T00:00:00"/>
        <d v="2024-02-08T00:00:00"/>
        <d v="2022-03-26T00:00:00"/>
        <d v="2024-06-06T00:00:00"/>
        <d v="2024-08-10T00:00:00"/>
        <d v="2022-01-21T00:00:00"/>
        <d v="2022-02-05T00:00:00"/>
        <d v="2023-11-09T00:00:00"/>
        <d v="2023-01-15T00:00:00"/>
        <d v="2024-08-19T00:00:00"/>
        <d v="2022-04-20T00:00:00"/>
        <d v="2024-12-06T00:00:00"/>
        <d v="2023-03-02T00:00:00"/>
        <d v="2023-08-20T00:00:00"/>
        <d v="2023-02-10T00:00:00"/>
        <d v="2023-08-15T00:00:00"/>
        <d v="2022-03-23T00:00:00"/>
        <d v="2022-03-24T00:00:00"/>
        <d v="2022-07-06T00:00:00"/>
        <d v="2024-03-31T00:00:00"/>
        <d v="2023-08-13T00:00:00"/>
        <d v="2022-08-21T00:00:00"/>
        <d v="2022-10-24T00:00:00"/>
        <d v="2022-01-06T00:00:00"/>
        <d v="2022-11-08T00:00:00"/>
        <d v="2024-06-27T00:00:00"/>
        <d v="2023-01-04T00:00:00"/>
        <d v="2023-06-05T00:00:00"/>
        <d v="2023-09-05T00:00:00"/>
        <d v="2023-08-28T00:00:00"/>
        <d v="2023-12-23T00:00:00"/>
        <d v="2023-07-13T00:00:00"/>
        <d v="2024-01-20T00:00:00"/>
        <d v="2024-01-31T00:00:00"/>
        <d v="2024-04-16T00:00:00"/>
        <d v="2024-05-08T00:00:00"/>
        <d v="2024-01-13T00:00:00"/>
        <d v="2023-03-11T00:00:00"/>
        <d v="2023-04-23T00:00:00"/>
        <d v="2024-01-04T00:00:00"/>
        <d v="2024-07-07T00:00:00"/>
        <d v="2023-09-10T00:00:00"/>
        <d v="2022-10-31T00:00:00"/>
        <d v="2022-08-23T00:00:00"/>
        <d v="2023-06-07T00:00:00"/>
        <d v="2022-05-03T00:00:00"/>
        <d v="2022-02-23T00:00:00"/>
        <d v="2022-10-18T00:00:00"/>
        <d v="2022-06-23T00:00:00"/>
        <d v="2024-04-28T00:00:00"/>
        <d v="2023-09-24T00:00:00"/>
        <d v="2023-11-03T00:00:00"/>
        <d v="2023-12-27T00:00:00"/>
        <d v="2024-05-05T00:00:00"/>
        <d v="2022-08-05T00:00:00"/>
        <d v="2022-08-22T00:00:00"/>
        <d v="2022-06-04T00:00:00"/>
        <d v="2022-05-20T00:00:00"/>
        <d v="2023-08-11T00:00:00"/>
        <d v="2023-01-21T00:00:00"/>
        <d v="2022-12-20T00:00:00"/>
        <d v="2023-11-17T00:00:00"/>
        <d v="2022-10-17T00:00:00"/>
        <d v="2022-10-09T00:00:00"/>
        <d v="2022-11-29T00:00:00"/>
        <d v="2024-07-08T00:00:00"/>
        <d v="2024-10-26T00:00:00"/>
        <d v="2022-02-24T00:00:00"/>
        <d v="2022-07-22T00:00:00"/>
        <d v="2022-06-12T00:00:00"/>
        <d v="2024-07-25T00:00:00"/>
        <d v="2023-12-24T00:00:00"/>
        <d v="2022-02-11T00:00:00"/>
        <d v="2022-08-01T00:00:00"/>
        <d v="2022-10-04T00:00:00"/>
        <d v="2024-08-27T00:00:00"/>
        <d v="2024-03-30T00:00:00"/>
        <d v="2024-05-19T00:00:00"/>
        <d v="2024-05-22T00:00:00"/>
        <d v="2022-04-28T00:00:00"/>
        <d v="2022-05-18T00:00:00"/>
        <d v="2022-08-30T00:00:00"/>
        <d v="2024-06-30T00:00:00"/>
        <d v="2022-12-23T00:00:00"/>
        <d v="2024-08-15T00:00:00"/>
        <d v="2022-04-24T00:00:00"/>
        <d v="2023-05-29T00:00:00"/>
        <d v="2022-11-12T00:00:00"/>
        <d v="2023-03-08T00:00:00"/>
        <d v="2024-03-27T00:00:00"/>
        <d v="2022-04-14T00:00:00"/>
        <d v="2024-11-20T00:00:00"/>
        <d v="2022-04-03T00:00:00"/>
        <d v="2022-09-01T00:00:00"/>
        <d v="2023-10-15T00:00:00"/>
        <d v="2022-02-04T00:00:00"/>
        <d v="2023-04-12T00:00:00"/>
        <d v="2023-10-05T00:00:00"/>
        <d v="2023-03-01T00:00:00"/>
        <d v="2023-06-26T00:00:00"/>
        <d v="2024-09-09T00:00:00"/>
        <d v="2022-10-27T00:00:00"/>
        <d v="2023-07-10T00:00:00"/>
        <d v="2022-07-25T00:00:00"/>
        <d v="2023-02-13T00:00:00"/>
        <d v="2022-12-25T00:00:00"/>
        <d v="2023-11-18T00:00:00"/>
        <d v="2024-07-28T00:00:00"/>
        <d v="2024-05-25T00:00:00"/>
        <d v="2024-07-03T00:00:00"/>
        <d v="2022-11-24T00:00:00"/>
        <d v="2024-07-20T00:00:00"/>
        <d v="2024-12-17T00:00:00"/>
        <d v="2024-12-01T00:00:00"/>
        <d v="2024-07-24T00:00:00"/>
        <d v="2024-05-10T00:00:00"/>
        <d v="2024-03-15T00:00:00"/>
        <d v="2023-12-10T00:00:00"/>
        <d v="2022-03-10T00:00:00"/>
        <d v="2024-10-28T00:00:00"/>
        <d v="2023-07-18T00:00:00"/>
        <d v="2024-02-20T00:00:00"/>
        <d v="2022-10-23T00:00:00"/>
        <d v="2022-06-11T00:00:00"/>
        <d v="2023-03-21T00:00:00"/>
        <d v="2023-05-12T00:00:00"/>
        <d v="2024-11-16T00:00:00"/>
        <d v="2023-03-30T00:00:00"/>
        <d v="2023-11-23T00:00:00"/>
        <d v="2022-05-01T00:00:00"/>
        <d v="2024-07-22T00:00:00"/>
        <d v="2023-07-17T00:00:00"/>
        <d v="2024-12-14T00:00:00"/>
        <d v="2022-06-15T00:00:00"/>
        <d v="2024-06-07T00:00:00"/>
        <d v="2022-06-02T00:00:00"/>
        <d v="2022-06-07T00:00:00"/>
        <d v="2023-07-14T00:00:00"/>
        <d v="2022-01-11T00:00:00"/>
        <d v="2022-07-31T00:00:00"/>
        <d v="2024-06-09T00:00:00"/>
        <d v="2023-02-05T00:00:00"/>
        <d v="2024-05-31T00:00:00"/>
        <d v="2024-10-02T00:00:00"/>
        <d v="2022-02-25T00:00:00"/>
        <d v="2024-02-12T00:00:00"/>
        <d v="2024-01-07T00:00:00"/>
        <d v="2023-11-11T00:00:00"/>
        <d v="2024-07-01T00:00:00"/>
        <d v="2023-02-09T00:00:00"/>
        <d v="2023-01-18T00:00:00"/>
        <d v="2023-05-04T00:00:00"/>
        <d v="2024-09-23T00:00:00"/>
        <d v="2022-03-05T00:00:00"/>
        <d v="2024-11-12T00:00:00"/>
        <d v="2022-07-29T00:00:00"/>
        <d v="2023-12-20T00:00:00"/>
        <d v="2023-08-23T00:00:00"/>
        <d v="2023-05-27T00:00:00"/>
        <d v="2024-07-27T00:00:00"/>
        <d v="2022-09-25T00:00:00"/>
        <d v="2024-05-26T00:00:00"/>
        <d v="2023-09-18T00:00:00"/>
        <d v="2022-01-18T00:00:00"/>
        <d v="2023-05-24T00:00:00"/>
        <d v="2024-10-10T00:00:00"/>
        <d v="2024-05-11T00:00:00"/>
        <d v="2024-11-03T00:00:00"/>
        <d v="2024-06-14T00:00:00"/>
        <d v="2022-03-02T00:00:00"/>
        <d v="2024-10-20T00:00:00"/>
        <d v="2023-05-16T00:00:00"/>
        <d v="2024-11-22T00:00:00"/>
        <d v="2023-09-15T00:00:00"/>
        <d v="2022-02-18T00:00:00"/>
        <d v="2024-12-21T00:00:00"/>
        <d v="2024-02-02T00:00:00"/>
        <d v="2023-04-30T00:00:00"/>
        <d v="2022-08-12T00:00:00"/>
        <d v="2024-08-06T00:00:00"/>
        <d v="2024-03-22T00:00:00"/>
        <d v="2022-10-14T00:00:00"/>
        <d v="2023-06-15T00:00:00"/>
        <d v="2023-01-19T00:00:00"/>
        <d v="2024-09-08T00:00:00"/>
        <d v="2022-02-09T00:00:00"/>
        <d v="2023-03-25T00:00:00"/>
        <d v="2024-12-28T00:00:00"/>
        <d v="2023-12-22T00:00:00"/>
        <d v="2022-11-19T00:00:00"/>
        <d v="2022-01-04T00:00:00"/>
        <d v="2022-06-09T00:00:00"/>
        <d v="2024-02-15T00:00:00"/>
        <d v="2022-07-10T00:00:00"/>
        <d v="2023-02-25T00:00:00"/>
        <d v="2022-02-22T00:00:00"/>
        <d v="2024-03-04T00:00:00"/>
        <d v="2022-05-07T00:00:00"/>
        <d v="2024-03-03T00:00:00"/>
        <d v="2024-11-24T00:00:00"/>
        <d v="2022-10-30T00:00:00"/>
        <d v="2022-07-26T00:00:00"/>
        <d v="2024-04-05T00:00:00"/>
        <d v="2024-05-03T00:00:00"/>
        <d v="2022-11-22T00:00:00"/>
        <d v="2022-03-09T00:00:00"/>
        <d v="2023-08-07T00:00:00"/>
        <d v="2022-01-16T00:00:00"/>
        <d v="2023-09-04T00:00:00"/>
        <d v="2023-06-16T00:00:00"/>
        <d v="2024-12-30T00:00:00"/>
        <d v="2023-01-10T00:00:00"/>
        <d v="2024-08-07T00:00:00"/>
        <d v="2022-12-29T00:00:00"/>
        <d v="2023-01-26T00:00:00"/>
        <d v="2022-04-04T00:00:00"/>
        <d v="2024-04-06T00:00:00"/>
        <d v="2024-06-28T00:00:00"/>
        <d v="2023-02-14T00:00:00"/>
        <d v="2022-07-27T00:00:00"/>
        <d v="2023-10-03T00:00:00"/>
        <d v="2023-07-04T00:00:00"/>
        <d v="2024-05-13T00:00:00"/>
        <d v="2024-02-17T00:00:00"/>
        <d v="2023-10-06T00:00:00"/>
        <d v="2023-05-25T00:00:00"/>
        <d v="2022-06-03T00:00:00"/>
        <d v="2024-07-29T00:00:00"/>
        <d v="2023-11-30T00:00:00"/>
        <d v="2022-07-19T00:00:00"/>
        <d v="2022-10-15T00:00:00"/>
        <d v="2023-11-24T00:00:00"/>
        <d v="2022-04-10T00:00:00"/>
        <d v="2024-11-15T00:00:00"/>
        <d v="2022-12-31T00:00:00"/>
        <d v="2024-05-15T00:00:00"/>
        <d v="2024-03-07T00:00:00"/>
        <d v="2023-05-30T00:00:00"/>
        <d v="2023-08-26T00:00:00"/>
        <d v="2022-09-24T00:00:00"/>
        <d v="2023-09-09T00:00:00"/>
        <d v="2024-05-01T00:00:00"/>
        <d v="2024-08-30T00:00:00"/>
        <d v="2024-02-21T00:00:00"/>
        <d v="2022-03-31T00:00:00"/>
        <d v="2022-06-29T00:00:00"/>
        <d v="2024-06-05T00:00:00"/>
        <d v="2024-01-03T00:00:00"/>
        <d v="2023-03-27T00:00:00"/>
        <d v="2022-03-27T00:00:00"/>
        <d v="2024-08-02T00:00:00"/>
        <d v="2022-07-24T00:00:00"/>
        <d v="2024-01-17T00:00:00"/>
        <d v="2023-02-07T00:00:00"/>
        <d v="2024-08-24T00:00:00"/>
        <d v="2023-05-05T00:00:00"/>
        <d v="2024-01-05T00:00:00"/>
        <d v="2024-03-05T00:00:00"/>
        <d v="2023-12-08T00:00:00"/>
        <d v="2022-11-27T00:00:00"/>
        <d v="2022-04-25T00:00:00"/>
        <d v="2023-03-20T00:00:00"/>
        <d v="2024-10-29T00:00:00"/>
        <d v="2022-07-20T00:00:00"/>
        <d v="2023-06-20T00:00:00"/>
        <d v="2024-01-29T00:00:00"/>
        <d v="2022-11-28T00:00:00"/>
        <d v="2024-12-03T00:00:00"/>
        <d v="2024-03-20T00:00:00"/>
        <d v="2023-12-14T00:00:00"/>
        <d v="2022-05-29T00:00:00"/>
        <d v="2023-05-14T00:00:00"/>
        <d v="2023-04-16T00:00:00"/>
        <d v="2023-01-01T00:00:00"/>
        <d v="2022-01-14T00:00:00"/>
        <d v="2023-03-31T00:00:00"/>
        <d v="2022-09-04T00:00:00"/>
        <d v="2023-06-23T00:00:00"/>
        <d v="2024-06-04T00:00:00"/>
        <d v="2023-10-09T00:00:00"/>
        <d v="2022-07-17T00:00:00"/>
        <d v="2023-12-21T00:00:00"/>
        <d v="2023-08-10T00:00:00"/>
        <d v="2023-12-05T00:00:00"/>
        <d v="2024-01-14T00:00:00"/>
        <d v="2022-12-08T00:00:00"/>
        <d v="2022-11-15T00:00:00"/>
        <d v="2022-03-13T00:00:00"/>
        <d v="2023-06-17T00:00:00"/>
        <d v="2024-09-04T00:00:00"/>
        <d v="2022-12-01T00:00:00"/>
        <d v="2024-12-25T00:00:00"/>
        <d v="2024-10-04T00:00:00"/>
        <d v="2024-06-16T00:00:00"/>
        <d v="2023-05-28T00:00:00"/>
        <d v="2022-09-08T00:00:00"/>
        <d v="2022-12-09T00:00:00"/>
        <d v="2022-07-03T00:00:00"/>
        <d v="2022-09-15T00:00:00"/>
        <d v="2022-03-22T00:00:00"/>
        <d v="2022-11-25T00:00:00"/>
        <d v="2024-10-15T00:00:00"/>
        <d v="2022-09-23T00:00:00"/>
        <d v="2023-06-09T00:00:00"/>
        <d v="2022-07-18T00:00:00"/>
        <d v="2024-04-30T00:00:00"/>
        <d v="2024-10-30T00:00:00"/>
        <d v="2024-03-24T00:00:00"/>
        <d v="2023-03-16T00:00:00"/>
        <d v="2022-07-15T00:00:00"/>
        <d v="2022-01-24T00:00:00"/>
        <d v="2024-09-01T00:00:00"/>
        <d v="2024-04-27T00:00:00"/>
        <d v="2024-06-24T00:00:00"/>
        <d v="2022-04-22T00:00:00"/>
        <d v="2023-03-10T00:00:00"/>
        <d v="2024-12-24T00:00:00"/>
        <d v="2022-11-18T00:00:00"/>
        <d v="2023-07-28T00:00:00"/>
        <d v="2023-05-08T00:00:00"/>
        <d v="2023-02-19T00:00:00"/>
        <d v="2022-08-31T00:00:00"/>
        <d v="2023-07-15T00:00:00"/>
        <d v="2023-04-21T00:00:00"/>
        <d v="2023-04-01T00:00:00"/>
        <d v="2024-03-21T00:00:00"/>
        <d v="2022-10-05T00:00:00"/>
        <d v="2024-11-13T00:00:00"/>
        <d v="2023-03-06T00:00:00"/>
        <d v="2023-10-11T00:00:00"/>
        <d v="2024-04-29T00:00:00"/>
        <d v="2023-07-09T00:00:00"/>
        <d v="2023-11-08T00:00:00"/>
        <d v="2022-05-16T00:00:00"/>
        <d v="2022-08-28T00:00:00"/>
        <d v="2023-09-12T00:00:00"/>
        <d v="2023-10-02T00:00:00"/>
        <d v="2023-08-04T00:00:00"/>
        <d v="2022-06-10T00:00:00"/>
        <d v="2023-04-20T00:00:00"/>
        <d v="2022-08-08T00:00:00"/>
        <d v="2024-09-14T00:00:00"/>
        <d v="2022-05-23T00:00:00"/>
        <d v="2024-07-16T00:00:00"/>
        <d v="2022-07-02T00:00:00"/>
        <d v="2024-06-10T00:00:00"/>
        <d v="2022-03-19T00:00:00"/>
        <d v="2022-01-23T00:00:00"/>
        <d v="2022-06-18T00:00:00"/>
        <d v="2022-12-24T00:00:00"/>
        <d v="2022-06-22T00:00:00"/>
      </sharedItems>
    </cacheField>
    <cacheField name="Airline" numFmtId="0">
      <sharedItems count="9">
        <s v="Delta"/>
        <s v="Southwest"/>
        <s v="Alaska"/>
        <s v="American"/>
        <s v="Spirit"/>
        <s v="United"/>
        <s v="Frontier"/>
        <s v="Jetblue"/>
        <s v="Airline" u="1"/>
      </sharedItems>
    </cacheField>
    <cacheField name="Origin City" numFmtId="0">
      <sharedItems count="19">
        <s v="Boston"/>
        <s v="Denver"/>
        <s v="Miami"/>
        <s v="San Diego"/>
        <s v="Chicago"/>
        <s v="San Francisco"/>
        <s v="Newark"/>
        <s v="Minneapolis"/>
        <s v="Las Vegas"/>
        <s v="Dallas"/>
        <s v="Houston"/>
        <s v="Los Angeles"/>
        <s v="Phoenix"/>
        <s v="Orlando"/>
        <s v="Atlanta"/>
        <s v="New York"/>
        <s v="Charlotte"/>
        <s v="Detroit"/>
        <s v="Seattle"/>
      </sharedItems>
    </cacheField>
    <cacheField name="Origin Code" numFmtId="0">
      <sharedItems count="20">
        <s v="BOS"/>
        <s v="DEN"/>
        <s v="MIA"/>
        <s v="SAN"/>
        <s v="ORD"/>
        <s v="SFO"/>
        <s v="EWR"/>
        <s v="MSP"/>
        <s v="LAS"/>
        <s v="DFW"/>
        <s v="IAH"/>
        <s v="LAX"/>
        <s v="PHX"/>
        <s v="MCO"/>
        <s v="ATL"/>
        <s v="JFK"/>
        <s v="CLT"/>
        <s v="DTW"/>
        <s v="SEA"/>
        <s v="MDW"/>
      </sharedItems>
    </cacheField>
    <cacheField name="Destination City" numFmtId="0">
      <sharedItems count="19">
        <s v="Denver"/>
        <s v="Orlando"/>
        <s v="Charlotte"/>
        <s v="Boston"/>
        <s v="Los Angeles"/>
        <s v="Minneapolis"/>
        <s v="Chicago"/>
        <s v="Newark"/>
        <s v="San Diego"/>
        <s v="Houston"/>
        <s v="Detroit"/>
        <s v="Las Vegas"/>
        <s v="New York"/>
        <s v="Seattle"/>
        <s v="Phoenix"/>
        <s v="Dallas"/>
        <s v="Atlanta"/>
        <s v="Miami"/>
        <s v="San Francisco"/>
      </sharedItems>
    </cacheField>
    <cacheField name="Routes" numFmtId="0">
      <sharedItems count="261">
        <s v="Boston → Denver"/>
        <s v="Denver → Orlando"/>
        <s v="Miami → Charlotte"/>
        <s v="San Diego → Boston"/>
        <s v="Chicago → Los Angeles"/>
        <s v="San Francisco → Minneapolis"/>
        <s v="Boston → Chicago"/>
        <s v="Newark → Minneapolis"/>
        <s v="San Francisco → Denver"/>
        <s v="Minneapolis → Newark"/>
        <s v="Las Vegas → Charlotte"/>
        <s v="Dallas → Minneapolis"/>
        <s v="Denver → San Diego"/>
        <s v="Boston → Orlando"/>
        <s v="Houston → Charlotte"/>
        <s v="Los Angeles → Boston"/>
        <s v="Denver → Houston"/>
        <s v="Los Angeles → Detroit"/>
        <s v="Denver → Chicago"/>
        <s v="Newark → Houston"/>
        <s v="Dallas → Denver"/>
        <s v="Los Angeles → Orlando"/>
        <s v="San Diego → Chicago"/>
        <s v="Phoenix → Chicago"/>
        <s v="Chicago → Boston"/>
        <s v="Dallas → Las Vegas"/>
        <s v="Boston → Los Angeles"/>
        <s v="Orlando → New York"/>
        <s v="Las Vegas → Minneapolis"/>
        <s v="Miami → Seattle"/>
        <s v="Los Angeles → Houston"/>
        <s v="Chicago → Las Vegas"/>
        <s v="Atlanta → Charlotte"/>
        <s v="New York → Orlando"/>
        <s v="Houston → Las Vegas"/>
        <s v="Charlotte → Newark"/>
        <s v="Detroit → San Diego"/>
        <s v="Miami → Orlando"/>
        <s v="San Diego → Houston"/>
        <s v="Boston → Newark"/>
        <s v="Seattle → Chicago"/>
        <s v="Newark → New York"/>
        <s v="Boston → Charlotte"/>
        <s v="Minneapolis → San Diego"/>
        <s v="Charlotte → Phoenix"/>
        <s v="Boston → Minneapolis"/>
        <s v="Orlando → Detroit"/>
        <s v="Charlotte → Dallas"/>
        <s v="New York → Houston"/>
        <s v="Las Vegas → Denver"/>
        <s v="Charlotte → Boston"/>
        <s v="Seattle → Houston"/>
        <s v="Dallas → San Diego"/>
        <s v="Denver → Phoenix"/>
        <s v="Atlanta → Chicago"/>
        <s v="Atlanta → Newark"/>
        <s v="Phoenix → Boston"/>
        <s v="Newark → Orlando"/>
        <s v="San Francisco → Charlotte"/>
        <s v="Charlotte → Chicago"/>
        <s v="Los Angeles → Denver"/>
        <s v="Newark → Atlanta"/>
        <s v="Atlanta → Miami"/>
        <s v="Seattle → Orlando"/>
        <s v="Las Vegas → San Diego"/>
        <s v="Los Angeles → Miami"/>
        <s v="Newark → Boston"/>
        <s v="Las Vegas → New York"/>
        <s v="Miami → Chicago"/>
        <s v="Boston → New York"/>
        <s v="Minneapolis → Boston"/>
        <s v="Seattle → Las Vegas"/>
        <s v="Chicago → Phoenix"/>
        <s v="Boston → Houston"/>
        <s v="Minneapolis → New York"/>
        <s v="Dallas → Los Angeles"/>
        <s v="Detroit → Atlanta"/>
        <s v="San Francisco → Chicago"/>
        <s v="Los Angeles → San Francisco"/>
        <s v="Dallas → New York"/>
        <s v="Houston → San Diego"/>
        <s v="New York → Chicago"/>
        <s v="Detroit → Newark"/>
        <s v="Dallas → Houston"/>
        <s v="New York → Seattle"/>
        <s v="Chicago → Orlando"/>
        <s v="Dallas → Seattle"/>
        <s v="Denver → Detroit"/>
        <s v="Minneapolis → Los Angeles"/>
        <s v="Atlanta → Detroit"/>
        <s v="Newark → Charlotte"/>
        <s v="Charlotte → Las Vegas"/>
        <s v="San Diego → Newark"/>
        <s v="Denver → Newark"/>
        <s v="Phoenix → Atlanta"/>
        <s v="Las Vegas → Detroit"/>
        <s v="Houston → San Francisco"/>
        <s v="San Diego → Miami"/>
        <s v="Orlando → Denver"/>
        <s v="Miami → Denver"/>
        <s v="Chicago → Seattle"/>
        <s v="Dallas → Miami"/>
        <s v="Boston → Seattle"/>
        <s v="Atlanta → Houston"/>
        <s v="Chicago → Detroit"/>
        <s v="Newark → Los Angeles"/>
        <s v="Charlotte → Los Angeles"/>
        <s v="Minneapolis → Phoenix"/>
        <s v="Detroit → Miami"/>
        <s v="Charlotte → San Francisco"/>
        <s v="Minneapolis → San Francisco"/>
        <s v="Phoenix → Minneapolis"/>
        <s v="Houston → Denver"/>
        <s v="Houston → Dallas"/>
        <s v="Orlando → Boston"/>
        <s v="San Diego → Phoenix"/>
        <s v="San Diego → New York"/>
        <s v="Charlotte → Detroit"/>
        <s v="San Francisco → Orlando"/>
        <s v="Minneapolis → Charlotte"/>
        <s v="Newark → Las Vegas"/>
        <s v="Los Angeles → San Diego"/>
        <s v="Minneapolis → Las Vegas"/>
        <s v="Chicago → Newark"/>
        <s v="Dallas → Charlotte"/>
        <s v="Seattle → Boston"/>
        <s v="Los Angeles → Phoenix"/>
        <s v="Dallas → Atlanta"/>
        <s v="Phoenix → Houston"/>
        <s v="Phoenix → Las Vegas"/>
        <s v="Miami → Los Angeles"/>
        <s v="Miami → New York"/>
        <s v="Detroit → Chicago"/>
        <s v="Chicago → San Diego"/>
        <s v="Atlanta → Denver"/>
        <s v="Orlando → Charlotte"/>
        <s v="Denver → New York"/>
        <s v="San Diego → Los Angeles"/>
        <s v="Orlando → San Diego"/>
        <s v="Detroit → Charlotte"/>
        <s v="Los Angeles → Chicago"/>
        <s v="Seattle → San Francisco"/>
        <s v="Minneapolis → Denver"/>
        <s v="Charlotte → Atlanta"/>
        <s v="New York → Las Vegas"/>
        <s v="San Francisco → Boston"/>
        <s v="Chicago → Atlanta"/>
        <s v="Miami → San Diego"/>
        <s v="Newark → Denver"/>
        <s v="Chicago → Minneapolis"/>
        <s v="Chicago → Houston"/>
        <s v="Detroit → Las Vegas"/>
        <s v="Las Vegas → San Francisco"/>
        <s v="Phoenix → Detroit"/>
        <s v="Seattle → Newark"/>
        <s v="Charlotte → Houston"/>
        <s v="Atlanta → Boston"/>
        <s v="Atlanta → New York"/>
        <s v="Phoenix → Seattle"/>
        <s v="San Francisco → Newark"/>
        <s v="Atlanta → Seattle"/>
        <s v="Orlando → Miami"/>
        <s v="Seattle → Detroit"/>
        <s v="Las Vegas → Los Angeles"/>
        <s v="Miami → Dallas"/>
        <s v="Phoenix → Denver"/>
        <s v="Minneapolis → Orlando"/>
        <s v="Chicago → Chicago"/>
        <s v="Phoenix → Los Angeles"/>
        <s v="Dallas → Phoenix"/>
        <s v="New York → San Francisco"/>
        <s v="San Francisco → Las Vegas"/>
        <s v="Atlanta → San Diego"/>
        <s v="New York → Phoenix"/>
        <s v="Houston → Detroit"/>
        <s v="Dallas → Chicago"/>
        <s v="Miami → Houston"/>
        <s v="Detroit → Boston"/>
        <s v="San Francisco → Miami"/>
        <s v="Newark → San Francisco"/>
        <s v="Detroit → Phoenix"/>
        <s v="Minneapolis → Chicago"/>
        <s v="Orlando → San Francisco"/>
        <s v="Detroit → Houston"/>
        <s v="Boston → San Francisco"/>
        <s v="Las Vegas → Boston"/>
        <s v="New York → Atlanta"/>
        <s v="San Francisco → Houston"/>
        <s v="Newark → Phoenix"/>
        <s v="San Francisco → Phoenix"/>
        <s v="Orlando → Minneapolis"/>
        <s v="Los Angeles → Minneapolis"/>
        <s v="Miami → Phoenix"/>
        <s v="San Francisco → Detroit"/>
        <s v="Orlando → Newark"/>
        <s v="San Diego → Minneapolis"/>
        <s v="Las Vegas → Orlando"/>
        <s v="San Diego → Charlotte"/>
        <s v="Newark → Dallas"/>
        <s v="Orlando → Las Vegas"/>
        <s v="Dallas → Orlando"/>
        <s v="Minneapolis → Detroit"/>
        <s v="Los Angeles → New York"/>
        <s v="New York → Boston"/>
        <s v="Las Vegas → Newark"/>
        <s v="Denver → Boston"/>
        <s v="Orlando → Los Angeles"/>
        <s v="San Diego → Dallas"/>
        <s v="Houston → Seattle"/>
        <s v="New York → Los Angeles"/>
        <s v="Atlanta → Dallas"/>
        <s v="Chicago → Charlotte"/>
        <s v="Atlanta → Las Vegas"/>
        <s v="Detroit → Los Angeles"/>
        <s v="Detroit → Denver"/>
        <s v="Orlando → Phoenix"/>
        <s v="Atlanta → Minneapolis"/>
        <s v="Houston → Atlanta"/>
        <s v="Los Angeles → Seattle"/>
        <s v="New York → Detroit"/>
        <s v="Las Vegas → Phoenix"/>
        <s v="Las Vegas → Chicago"/>
        <s v="San Francisco → Atlanta"/>
        <s v="Boston → Miami"/>
        <s v="Miami → San Francisco"/>
        <s v="Detroit → Orlando"/>
        <s v="Houston → New York"/>
        <s v="Chicago → San Francisco"/>
        <s v="Boston → Phoenix"/>
        <s v="Detroit → San Francisco"/>
        <s v="Denver → Seattle"/>
        <s v="Phoenix → New York"/>
        <s v="Charlotte → Miami"/>
        <s v="Seattle → Dallas"/>
        <s v="Phoenix → San Francisco"/>
        <s v="Houston → Chicago"/>
        <s v="New York → Charlotte"/>
        <s v="Detroit → Seattle"/>
        <s v="New York → Dallas"/>
        <s v="Denver → San Francisco"/>
        <s v="San Diego → San Francisco"/>
        <s v="San Diego → Las Vegas"/>
        <s v="Los Angeles → Las Vegas"/>
        <s v="San Diego → Denver"/>
        <s v="Charlotte → San Diego"/>
        <s v="Orlando → Houston"/>
        <s v="Dallas → San Francisco"/>
        <s v="Phoenix → Dallas"/>
        <s v="Seattle → Atlanta"/>
        <s v="New York → Minneapolis"/>
        <s v="Miami → Atlanta"/>
        <s v="Los Angeles → Charlotte"/>
        <s v="New York → Newark"/>
        <s v="San Francisco → Los Angeles"/>
        <s v="Las Vegas → Seattle"/>
        <s v="Detroit → Minneapolis"/>
        <s v="Chicago → Dallas"/>
        <s v="Orlando → Chicago"/>
        <s v="San Diego → Detroit"/>
        <s v="Charlotte → Orlando"/>
        <s v="Boston → Atlanta"/>
      </sharedItems>
    </cacheField>
    <cacheField name="Destination Code" numFmtId="0">
      <sharedItems count="20">
        <s v="DEN"/>
        <s v="MCO"/>
        <s v="CLT"/>
        <s v="BOS"/>
        <s v="LAX"/>
        <s v="MSP"/>
        <s v="MDW"/>
        <s v="EWR"/>
        <s v="SAN"/>
        <s v="IAH"/>
        <s v="DTW"/>
        <s v="ORD"/>
        <s v="LAS"/>
        <s v="JFK"/>
        <s v="SEA"/>
        <s v="PHX"/>
        <s v="DFW"/>
        <s v="ATL"/>
        <s v="MIA"/>
        <s v="SFO"/>
      </sharedItems>
    </cacheField>
    <cacheField name="Departure Time" numFmtId="0">
      <sharedItems count="96">
        <s v="07:15"/>
        <s v="19:00"/>
        <s v="10:30"/>
        <s v="01:45"/>
        <s v="21:15"/>
        <s v="06:30"/>
        <s v="07:30"/>
        <s v="20:45"/>
        <s v="04:45"/>
        <s v="16:30"/>
        <s v="05:45"/>
        <s v="05:00"/>
        <s v="02:00"/>
        <s v="19:45"/>
        <s v="03:15"/>
        <s v="13:15"/>
        <s v="23:30"/>
        <s v="14:00"/>
        <s v="06:45"/>
        <s v="09:15"/>
        <s v="02:15"/>
        <s v="13:30"/>
        <s v="00:45"/>
        <s v="11:30"/>
        <s v="03:00"/>
        <s v="02:45"/>
        <s v="01:30"/>
        <s v="13:00"/>
        <s v="11:45"/>
        <s v="17:15"/>
        <s v="21:45"/>
        <s v="09:45"/>
        <s v="21:30"/>
        <s v="13:45"/>
        <s v="02:30"/>
        <s v="15:00"/>
        <s v="18:00"/>
        <s v="10:45"/>
        <s v="00:15"/>
        <s v="18:15"/>
        <s v="10:15"/>
        <s v="23:45"/>
        <s v="12:15"/>
        <s v="09:30"/>
        <s v="08:30"/>
        <s v="09:00"/>
        <s v="05:15"/>
        <s v="22:30"/>
        <s v="00:00"/>
        <s v="15:30"/>
        <s v="23:15"/>
        <s v="18:45"/>
        <s v="14:30"/>
        <s v="08:00"/>
        <s v="00:30"/>
        <s v="15:45"/>
        <s v="20:30"/>
        <s v="08:15"/>
        <s v="03:45"/>
        <s v="19:30"/>
        <s v="07:45"/>
        <s v="07:00"/>
        <s v="03:30"/>
        <s v="12:00"/>
        <s v="12:45"/>
        <s v="16:15"/>
        <s v="14:15"/>
        <s v="17:45"/>
        <s v="04:00"/>
        <s v="19:15"/>
        <s v="08:45"/>
        <s v="17:30"/>
        <s v="22:00"/>
        <s v="04:30"/>
        <s v="17:00"/>
        <s v="18:30"/>
        <s v="22:15"/>
        <s v="12:30"/>
        <s v="20:00"/>
        <s v="16:45"/>
        <s v="21:00"/>
        <s v="15:15"/>
        <s v="22:45"/>
        <s v="23:00"/>
        <s v="16:00"/>
        <s v="10:00"/>
        <s v="11:15"/>
        <s v="06:15"/>
        <s v="01:00"/>
        <s v="05:30"/>
        <s v="01:15"/>
        <s v="14:45"/>
        <s v="04:15"/>
        <s v="20:15"/>
        <s v="06:00"/>
        <s v="11:00"/>
      </sharedItems>
    </cacheField>
    <cacheField name="Arrival Time" numFmtId="0">
      <sharedItems count="408">
        <s v="15:02"/>
        <s v="01:17"/>
        <s v="13:19"/>
        <s v="07:49"/>
        <s v="01:13"/>
        <s v="13:59"/>
        <s v="09:28"/>
        <s v="23:28"/>
        <s v="07:01"/>
        <s v="22:43"/>
        <s v="07:16"/>
        <s v="11:36"/>
        <s v="09:44"/>
        <s v="23:03"/>
        <s v="06:40"/>
        <s v="06:19"/>
        <s v="15:33"/>
        <s v="01:55"/>
        <s v="15:55"/>
        <s v="08:45"/>
        <s v="11:14"/>
        <s v="04:20"/>
        <s v="17:13"/>
        <s v="07:33"/>
        <s v="14:20"/>
        <s v="10:50"/>
        <s v="06:36"/>
        <s v="10:23"/>
        <s v="04:47"/>
        <s v="16:01"/>
        <s v="12:40"/>
        <s v="19:02"/>
        <s v="16:43"/>
        <s v="21:51"/>
        <s v="02:02"/>
        <s v="03:06"/>
        <s v="00:55"/>
        <s v="12:28"/>
        <s v="20:15"/>
        <s v="16:36"/>
        <s v="06:00"/>
        <s v="18:04"/>
        <s v="19:25"/>
        <s v="19:49"/>
        <s v="20:12"/>
        <s v="14:37"/>
        <s v="03:27"/>
        <s v="07:53"/>
        <s v="20:37"/>
        <s v="23:35"/>
        <s v="21:00"/>
        <s v="12:29"/>
        <s v="15:54"/>
        <s v="05:25"/>
        <s v="16:21"/>
        <s v="12:58"/>
        <s v="10:51"/>
        <s v="08:57"/>
        <s v="08:39"/>
        <s v="12:37"/>
        <s v="13:51"/>
        <s v="08:13"/>
        <s v="05:59"/>
        <s v="11:01"/>
        <s v="05:58"/>
        <s v="00:37"/>
        <s v="17:43"/>
        <s v="14:45"/>
        <s v="23:18"/>
        <s v="07:48"/>
        <s v="21:20"/>
        <s v="01:20"/>
        <s v="21:31"/>
        <s v="17:15"/>
        <s v="18:51"/>
        <s v="17:47"/>
        <s v="10:56"/>
        <s v="03:28"/>
        <s v="02:32"/>
        <s v="21:46"/>
        <s v="14:01"/>
        <s v="04:06"/>
        <s v="13:44"/>
        <s v="11:58"/>
        <s v="13:22"/>
        <s v="07:12"/>
        <s v="19:38"/>
        <s v="22:31"/>
        <s v="13:34"/>
        <s v="04:00"/>
        <s v="09:32"/>
        <s v="20:53"/>
        <s v="00:15"/>
        <s v="12:08"/>
        <s v="04:13"/>
        <s v="19:24"/>
        <s v="11:29"/>
        <s v="12:53"/>
        <s v="11:49"/>
        <s v="02:15"/>
        <s v="08:40"/>
        <s v="20:33"/>
        <s v="02:44"/>
        <s v="18:25"/>
        <s v="16:52"/>
        <s v="02:45"/>
        <s v="02:03"/>
        <s v="12:30"/>
        <s v="19:12"/>
        <s v="18:16"/>
        <s v="21:40"/>
        <s v="08:08"/>
        <s v="04:38"/>
        <s v="10:08"/>
        <s v="01:37"/>
        <s v="12:54"/>
        <s v="22:53"/>
        <s v="20:00"/>
        <s v="07:11"/>
        <s v="01:53"/>
        <s v="10:58"/>
        <s v="01:26"/>
        <s v="18:29"/>
        <s v="11:07"/>
        <s v="11:24"/>
        <s v="13:09"/>
        <s v="21:44"/>
        <s v="21:42"/>
        <s v="18:00"/>
        <s v="18:39"/>
        <s v="00:07"/>
        <s v="13:55"/>
        <s v="04:11"/>
        <s v="05:56"/>
        <s v="07:23"/>
        <s v="00:05"/>
        <s v="12:07"/>
        <s v="19:44"/>
        <s v="22:28"/>
        <s v="18:59"/>
        <s v="21:13"/>
        <s v="11:32"/>
        <s v="17:16"/>
        <s v="11:25"/>
        <s v="21:50"/>
        <s v="17:45"/>
        <s v="04:02"/>
        <s v="00:19"/>
        <s v="21:11"/>
        <s v="08:30"/>
        <s v="03:15"/>
        <s v="15:28"/>
        <s v="11:55"/>
        <s v="15:23"/>
        <s v="02:27"/>
        <s v="22:49"/>
        <s v="22:15"/>
        <s v="15:50"/>
        <s v="19:23"/>
        <s v="03:31"/>
        <s v="00:04"/>
        <s v="21:43"/>
        <s v="04:57"/>
        <s v="23:15"/>
        <s v="09:10"/>
        <s v="01:01"/>
        <s v="05:10"/>
        <s v="19:05"/>
        <s v="14:56"/>
        <s v="05:57"/>
        <s v="00:46"/>
        <s v="06:05"/>
        <s v="09:12"/>
        <s v="19:11"/>
        <s v="12:18"/>
        <s v="21:24"/>
        <s v="07:44"/>
        <s v="22:00"/>
        <s v="03:25"/>
        <s v="23:23"/>
        <s v="01:46"/>
        <s v="16:41"/>
        <s v="18:57"/>
        <s v="19:27"/>
        <s v="00:01"/>
        <s v="15:01"/>
        <s v="16:56"/>
        <s v="12:19"/>
        <s v="10:37"/>
        <s v="08:41"/>
        <s v="19:34"/>
        <s v="13:52"/>
        <s v="00:50"/>
        <s v="13:21"/>
        <s v="00:48"/>
        <s v="00:25"/>
        <s v="06:53"/>
        <s v="01:41"/>
        <s v="20:11"/>
        <s v="19:30"/>
        <s v="17:44"/>
        <s v="02:29"/>
        <s v="17:06"/>
        <s v="18:11"/>
        <s v="22:44"/>
        <s v="18:58"/>
        <s v="08:15"/>
        <s v="06:55"/>
        <s v="17:24"/>
        <s v="07:50"/>
        <s v="07:47"/>
        <s v="23:30"/>
        <s v="11:10"/>
        <s v="06:06"/>
        <s v="04:14"/>
        <s v="14:07"/>
        <s v="16:38"/>
        <s v="15:57"/>
        <s v="05:14"/>
        <s v="14:25"/>
        <s v="14:23"/>
        <s v="15:16"/>
        <s v="14:22"/>
        <s v="21:55"/>
        <s v="00:21"/>
        <s v="08:49"/>
        <s v="10:11"/>
        <s v="16:42"/>
        <s v="18:55"/>
        <s v="13:00"/>
        <s v="09:57"/>
        <s v="10:26"/>
        <s v="09:20"/>
        <s v="05:29"/>
        <s v="10:44"/>
        <s v="17:19"/>
        <s v="22:11"/>
        <s v="21:59"/>
        <s v="10:00"/>
        <s v="08:54"/>
        <s v="12:13"/>
        <s v="12:32"/>
        <s v="04:54"/>
        <s v="10:10"/>
        <s v="10:07"/>
        <s v="03:10"/>
        <s v="06:38"/>
        <s v="02:59"/>
        <s v="16:33"/>
        <s v="03:37"/>
        <s v="23:48"/>
        <s v="08:33"/>
        <s v="08:59"/>
        <s v="10:35"/>
        <s v="06:04"/>
        <s v="18:26"/>
        <s v="14:34"/>
        <s v="18:13"/>
        <s v="02:05"/>
        <s v="12:15"/>
        <s v="08:38"/>
        <s v="02:52"/>
        <s v="17:51"/>
        <s v="14:36"/>
        <s v="13:37"/>
        <s v="05:28"/>
        <s v="19:06"/>
        <s v="01:31"/>
        <s v="17:17"/>
        <s v="11:39"/>
        <s v="04:42"/>
        <s v="02:33"/>
        <s v="02:08"/>
        <s v="16:14"/>
        <s v="15:46"/>
        <s v="23:26"/>
        <s v="14:57"/>
        <s v="03:40"/>
        <s v="09:55"/>
        <s v="00:51"/>
        <s v="06:27"/>
        <s v="05:35"/>
        <s v="12:25"/>
        <s v="08:03"/>
        <s v="19:16"/>
        <s v="20:46"/>
        <s v="17:40"/>
        <s v="22:21"/>
        <s v="23:39"/>
        <s v="13:10"/>
        <s v="01:27"/>
        <s v="00:13"/>
        <s v="03:29"/>
        <s v="10:33"/>
        <s v="15:26"/>
        <s v="13:01"/>
        <s v="18:32"/>
        <s v="14:24"/>
        <s v="18:19"/>
        <s v="13:46"/>
        <s v="03:03"/>
        <s v="22:54"/>
        <s v="13:17"/>
        <s v="21:06"/>
        <s v="10:39"/>
        <s v="11:11"/>
        <s v="17:09"/>
        <s v="10:45"/>
        <s v="03:52"/>
        <s v="23:54"/>
        <s v="21:30"/>
        <s v="02:17"/>
        <s v="07:38"/>
        <s v="23:21"/>
        <s v="18:37"/>
        <s v="17:27"/>
        <s v="15:22"/>
        <s v="19:37"/>
        <s v="02:48"/>
        <s v="02:01"/>
        <s v="18:41"/>
        <s v="10:59"/>
        <s v="01:34"/>
        <s v="23:47"/>
        <s v="22:35"/>
        <s v="23:36"/>
        <s v="09:33"/>
        <s v="10:19"/>
        <s v="01:12"/>
        <s v="19:51"/>
        <s v="04:59"/>
        <s v="00:39"/>
        <s v="21:53"/>
        <s v="17:46"/>
        <s v="00:10"/>
        <s v="01:35"/>
        <s v="04:03"/>
        <s v="07:34"/>
        <s v="08:55"/>
        <s v="20:40"/>
        <s v="15:06"/>
        <s v="04:41"/>
        <s v="10:48"/>
        <s v="13:06"/>
        <s v="10:03"/>
        <s v="09:42"/>
        <s v="03:02"/>
        <s v="01:45"/>
        <s v="08:26"/>
        <s v="13:49"/>
        <s v="10:28"/>
        <s v="12:52"/>
        <s v="18:14"/>
        <s v="23:29"/>
        <s v="20:36"/>
        <s v="23:45"/>
        <s v="22:57"/>
        <s v="19:33"/>
        <s v="09:06"/>
        <s v="13:58"/>
        <s v="20:13"/>
        <s v="09:49"/>
        <s v="14:35"/>
        <s v="13:25"/>
        <s v="13:13"/>
        <s v="23:02"/>
        <s v="15:00"/>
        <s v="14:29"/>
        <s v="00:49"/>
        <s v="07:29"/>
        <s v="03:13"/>
        <s v="05:23"/>
        <s v="00:56"/>
        <s v="19:07"/>
        <s v="03:42"/>
        <s v="17:01"/>
        <s v="09:31"/>
        <s v="00:38"/>
        <s v="08:01"/>
        <s v="08:37"/>
        <s v="22:06"/>
        <s v="01:42"/>
        <s v="12:50"/>
        <s v="01:54"/>
        <s v="06:51"/>
        <s v="00:44"/>
        <s v="17:35"/>
        <s v="03:32"/>
        <s v="12:35"/>
        <s v="05:20"/>
        <s v="10:21"/>
        <s v="15:36"/>
        <s v="05:04"/>
        <s v="14:48"/>
        <s v="18:09"/>
        <s v="14:40"/>
        <s v="11:57"/>
        <s v="17:30"/>
        <s v="16:15"/>
        <s v="15:14"/>
        <s v="10:29"/>
        <s v="06:49"/>
        <s v="03:20"/>
        <s v="20:35"/>
        <s v="20:31"/>
        <s v="06:42"/>
        <s v="06:21"/>
        <s v="23:46"/>
      </sharedItems>
    </cacheField>
    <cacheField name="Flight Duration Min" numFmtId="0">
      <sharedItems containsSemiMixedTypes="0" containsString="0" containsNumber="1" containsInteger="1" minValue="0" maxValue="480" count="276">
        <n v="467"/>
        <n v="377"/>
        <n v="169"/>
        <n v="364"/>
        <n v="238"/>
        <n v="449"/>
        <n v="118"/>
        <n v="163"/>
        <n v="136"/>
        <n v="373"/>
        <n v="91"/>
        <n v="396"/>
        <n v="464"/>
        <n v="198"/>
        <n v="205"/>
        <n v="259"/>
        <n v="138"/>
        <n v="145"/>
        <n v="115"/>
        <n v="120"/>
        <n v="119"/>
        <n v="125"/>
        <n v="223"/>
        <n v="408"/>
        <n v="170"/>
        <n v="470"/>
        <n v="231"/>
        <n v="443"/>
        <n v="197"/>
        <n v="181"/>
        <n v="325"/>
        <n v="437"/>
        <n v="313"/>
        <n v="276"/>
        <n v="257"/>
        <n v="370"/>
        <n v="351"/>
        <n v="343"/>
        <n v="375"/>
        <n v="171"/>
        <n v="210"/>
        <n v="475"/>
        <n v="289"/>
        <n v="132"/>
        <n v="232"/>
        <n v="192"/>
        <n v="173"/>
        <n v="142"/>
        <n v="465"/>
        <n v="134"/>
        <n v="339"/>
        <n v="340"/>
        <n v="246"/>
        <n v="208"/>
        <n v="141"/>
        <n v="447"/>
        <n v="219"/>
        <n v="217"/>
        <n v="178"/>
        <n v="226"/>
        <n v="448"/>
        <n v="207"/>
        <n v="433"/>
        <n v="255"/>
        <n v="453"/>
        <n v="350"/>
        <n v="166"/>
        <n v="300"/>
        <n v="422"/>
        <n v="206"/>
        <n v="407"/>
        <n v="436"/>
        <n v="286"/>
        <n v="400"/>
        <n v="411"/>
        <n v="179"/>
        <n v="148"/>
        <n v="322"/>
        <n v="402"/>
        <n v="342"/>
        <n v="233"/>
        <n v="121"/>
        <n v="379"/>
        <n v="156"/>
        <n v="225"/>
        <n v="347"/>
        <n v="308"/>
        <n v="285"/>
        <n v="263"/>
        <n v="133"/>
        <n v="459"/>
        <n v="269"/>
        <n v="304"/>
        <n v="435"/>
        <n v="310"/>
        <n v="93"/>
        <n v="177"/>
        <n v="292"/>
        <n v="438"/>
        <n v="270"/>
        <n v="387"/>
        <n v="235"/>
        <n v="248"/>
        <n v="428"/>
        <n v="112"/>
        <n v="189"/>
        <n v="218"/>
        <n v="352"/>
        <n v="331"/>
        <n v="146"/>
        <n v="413"/>
        <n v="358"/>
        <n v="281"/>
        <n v="419"/>
        <n v="114"/>
        <n v="444"/>
        <n v="254"/>
        <n v="462"/>
        <n v="105"/>
        <n v="399"/>
        <n v="445"/>
        <n v="371"/>
        <n v="161"/>
        <n v="293"/>
        <n v="155"/>
        <n v="172"/>
        <n v="404"/>
        <n v="104"/>
        <n v="418"/>
        <n v="194"/>
        <n v="253"/>
        <n v="275"/>
        <n v="332"/>
        <n v="349"/>
        <n v="461"/>
        <n v="165"/>
        <n v="383"/>
        <n v="267"/>
        <n v="214"/>
        <n v="92"/>
        <n v="135"/>
        <n v="185"/>
        <n v="158"/>
        <n v="241"/>
        <n v="184"/>
        <n v="417"/>
        <n v="480"/>
        <n v="460"/>
        <n v="131"/>
        <n v="327"/>
        <n v="106"/>
        <n v="295"/>
        <n v="211"/>
        <n v="410"/>
        <n v="282"/>
        <n v="116"/>
        <n v="234"/>
        <n v="479"/>
        <n v="160"/>
        <n v="98"/>
        <n v="372"/>
        <n v="264"/>
        <n v="311"/>
        <n v="454"/>
        <n v="157"/>
        <n v="395"/>
        <n v="176"/>
        <n v="274"/>
        <n v="335"/>
        <n v="299"/>
        <n v="363"/>
        <n v="175"/>
        <n v="203"/>
        <n v="266"/>
        <n v="356"/>
        <n v="297"/>
        <n v="450"/>
        <n v="224"/>
        <n v="434"/>
        <n v="365"/>
        <n v="367"/>
        <n v="268"/>
        <n v="159"/>
        <n v="309"/>
        <n v="137"/>
        <n v="90"/>
        <n v="472"/>
        <n v="360"/>
        <n v="390"/>
        <n v="149"/>
        <n v="382"/>
        <n v="249"/>
        <n v="190"/>
        <n v="261"/>
        <n v="416"/>
        <n v="252"/>
        <n v="250"/>
        <n v="191"/>
        <n v="344"/>
        <n v="389"/>
        <n v="204"/>
        <n v="403"/>
        <n v="452"/>
        <n v="385"/>
        <n v="127"/>
        <n v="318"/>
        <n v="333"/>
        <n v="374"/>
        <n v="380"/>
        <n v="469"/>
        <n v="230"/>
        <n v="397"/>
        <n v="201"/>
        <n v="336"/>
        <n v="388"/>
        <n v="426"/>
        <n v="471"/>
        <n v="381"/>
        <n v="312"/>
        <n v="337"/>
        <n v="432"/>
        <n v="95"/>
        <n v="376"/>
        <n v="186"/>
        <n v="320"/>
        <n v="265"/>
        <n v="164"/>
        <n v="273"/>
        <n v="476"/>
        <n v="466"/>
        <n v="328"/>
        <n v="429"/>
        <n v="102"/>
        <n v="139"/>
        <n v="421"/>
        <n v="384"/>
        <n v="242"/>
        <n v="338"/>
        <n v="216"/>
        <n v="354"/>
        <n v="315"/>
        <n v="302"/>
        <n v="202"/>
        <n v="442"/>
        <n v="451"/>
        <n v="314"/>
        <n v="183"/>
        <n v="366"/>
        <n v="284"/>
        <n v="277"/>
        <n v="305"/>
        <n v="154"/>
        <n v="306"/>
        <n v="287"/>
        <n v="94"/>
        <n v="478"/>
        <n v="187"/>
        <n v="188"/>
        <n v="96"/>
        <n v="355"/>
        <n v="294"/>
        <n v="440"/>
        <n v="319"/>
        <n v="103"/>
        <n v="405"/>
        <n v="463"/>
        <n v="368"/>
        <n v="215"/>
        <n v="431"/>
        <n v="323"/>
        <n v="140"/>
        <n v="260"/>
        <n v="195"/>
        <n v="256"/>
        <n v="420"/>
        <n v="240"/>
      </sharedItems>
    </cacheField>
    <cacheField name="Distance Miles" numFmtId="0">
      <sharedItems containsSemiMixedTypes="0" containsString="0" containsNumber="1" containsInteger="1" minValue="0" maxValue="2987" count="456">
        <n v="719"/>
        <n v="1114"/>
        <n v="1181"/>
        <n v="811"/>
        <n v="626"/>
        <n v="2954"/>
        <n v="1238"/>
        <n v="1384"/>
        <n v="492"/>
        <n v="347"/>
        <n v="1378"/>
        <n v="1627"/>
        <n v="2290"/>
        <n v="2508"/>
        <n v="562"/>
        <n v="590"/>
        <n v="697"/>
        <n v="1318"/>
        <n v="2971"/>
        <n v="974"/>
        <n v="2672"/>
        <n v="2737"/>
        <n v="1136"/>
        <n v="2606"/>
        <n v="2094"/>
        <n v="2566"/>
        <n v="480"/>
        <n v="910"/>
        <n v="1322"/>
        <n v="1660"/>
        <n v="1732"/>
        <n v="2496"/>
        <n v="2783"/>
        <n v="2066"/>
        <n v="1948"/>
        <n v="301"/>
        <n v="2238"/>
        <n v="1115"/>
        <n v="1936"/>
        <n v="1320"/>
        <n v="2244"/>
        <n v="1412"/>
        <n v="2522"/>
        <n v="1897"/>
        <n v="1676"/>
        <n v="2932"/>
        <n v="2026"/>
        <n v="383"/>
        <n v="1574"/>
        <n v="1535"/>
        <n v="2372"/>
        <n v="2437"/>
        <n v="1442"/>
        <n v="1168"/>
        <n v="2574"/>
        <n v="2682"/>
        <n v="794"/>
        <n v="1095"/>
        <n v="817"/>
        <n v="2256"/>
        <n v="785"/>
        <n v="2629"/>
        <n v="2560"/>
        <n v="2159"/>
        <n v="882"/>
        <n v="2656"/>
        <n v="1043"/>
        <n v="728"/>
        <n v="774"/>
        <n v="2341"/>
        <n v="948"/>
        <n v="1419"/>
        <n v="1431"/>
        <n v="2129"/>
        <n v="478"/>
        <n v="2103"/>
        <n v="628"/>
        <n v="670"/>
        <n v="1501"/>
        <n v="1286"/>
        <n v="2538"/>
        <n v="2279"/>
        <n v="2334"/>
        <n v="1122"/>
        <n v="2218"/>
        <n v="1809"/>
        <n v="1206"/>
        <n v="775"/>
        <n v="434"/>
        <n v="1930"/>
        <n v="1140"/>
        <n v="2512"/>
        <n v="514"/>
        <n v="1207"/>
        <n v="742"/>
        <n v="2746"/>
        <n v="2157"/>
        <n v="681"/>
        <n v="510"/>
        <n v="2578"/>
        <n v="1737"/>
        <n v="2158"/>
        <n v="634"/>
        <n v="754"/>
        <n v="1137"/>
        <n v="829"/>
        <n v="618"/>
        <n v="2831"/>
        <n v="1570"/>
        <n v="721"/>
        <n v="2612"/>
        <n v="2378"/>
        <n v="2570"/>
        <n v="2145"/>
        <n v="1827"/>
        <n v="1332"/>
        <n v="2589"/>
        <n v="1038"/>
        <n v="1679"/>
        <n v="1982"/>
        <n v="1806"/>
        <n v="513"/>
        <n v="903"/>
        <n v="1881"/>
        <n v="868"/>
        <n v="1480"/>
        <n v="2410"/>
        <n v="1777"/>
        <n v="1338"/>
        <n v="1017"/>
        <n v="1117"/>
        <n v="2985"/>
        <n v="2337"/>
        <n v="720"/>
        <n v="1744"/>
        <n v="884"/>
        <n v="928"/>
        <n v="764"/>
        <n v="2311"/>
        <n v="2520"/>
        <n v="1269"/>
        <n v="2260"/>
        <n v="2558"/>
        <n v="1621"/>
        <n v="2485"/>
        <n v="632"/>
        <n v="1537"/>
        <n v="1693"/>
        <n v="1290"/>
        <n v="2666"/>
        <n v="1910"/>
        <n v="2065"/>
        <n v="1797"/>
        <n v="2427"/>
        <n v="2387"/>
        <n v="2877"/>
        <n v="1292"/>
        <n v="2355"/>
        <n v="2182"/>
        <n v="1519"/>
        <n v="2524"/>
        <n v="2111"/>
        <n v="507"/>
        <n v="2554"/>
        <n v="1485"/>
        <n v="2365"/>
        <n v="2625"/>
        <n v="875"/>
        <n v="2977"/>
        <n v="1508"/>
        <n v="1313"/>
        <n v="2370"/>
        <n v="2390"/>
        <n v="389"/>
        <n v="2233"/>
        <n v="2530"/>
        <n v="2017"/>
        <n v="2097"/>
        <n v="1536"/>
        <n v="2049"/>
        <n v="1053"/>
        <n v="2470"/>
        <n v="1399"/>
        <n v="1078"/>
        <n v="1859"/>
        <n v="1611"/>
        <n v="924"/>
        <n v="1742"/>
        <n v="2883"/>
        <n v="327"/>
        <n v="738"/>
        <n v="1963"/>
        <n v="2249"/>
        <n v="1165"/>
        <n v="1588"/>
        <n v="2514"/>
        <n v="2778"/>
        <n v="1060"/>
        <n v="2896"/>
        <n v="657"/>
        <n v="2749"/>
        <n v="1330"/>
        <n v="1586"/>
        <n v="766"/>
        <n v="2345"/>
        <n v="2375"/>
        <n v="2950"/>
        <n v="2391"/>
        <n v="400"/>
        <n v="2278"/>
        <n v="973"/>
        <n v="2879"/>
        <n v="1179"/>
        <n v="2304"/>
        <n v="1518"/>
        <n v="1891"/>
        <n v="1066"/>
        <n v="2314"/>
        <n v="1482"/>
        <n v="470"/>
        <n v="656"/>
        <n v="2635"/>
        <n v="1985"/>
        <n v="1811"/>
        <n v="1167"/>
        <n v="2981"/>
        <n v="1174"/>
        <n v="841"/>
        <n v="845"/>
        <n v="920"/>
        <n v="2058"/>
        <n v="1904"/>
        <n v="349"/>
        <n v="2705"/>
        <n v="2923"/>
        <n v="2898"/>
        <n v="1823"/>
        <n v="2661"/>
        <n v="772"/>
        <n v="444"/>
        <n v="1640"/>
        <n v="305"/>
        <n v="1446"/>
        <n v="1915"/>
        <n v="2154"/>
        <n v="1965"/>
        <n v="2771"/>
        <n v="2152"/>
        <n v="1940"/>
        <n v="676"/>
        <n v="420"/>
        <n v="2836"/>
        <n v="1116"/>
        <n v="2616"/>
        <n v="1253"/>
        <n v="1021"/>
        <n v="2308"/>
        <n v="1695"/>
        <n v="1920"/>
        <n v="2712"/>
        <n v="1204"/>
        <n v="2917"/>
        <n v="1880"/>
        <n v="2966"/>
        <n v="1700"/>
        <n v="1453"/>
        <n v="1506"/>
        <n v="1563"/>
        <n v="482"/>
        <n v="1995"/>
        <n v="1524"/>
        <n v="1089"/>
        <n v="1927"/>
        <n v="2708"/>
        <n v="2982"/>
        <n v="1273"/>
        <n v="850"/>
        <n v="2284"/>
        <n v="1808"/>
        <n v="2951"/>
        <n v="334"/>
        <n v="2211"/>
        <n v="561"/>
        <n v="1955"/>
        <n v="2643"/>
        <n v="2586"/>
        <n v="1557"/>
        <n v="1096"/>
        <n v="2174"/>
        <n v="990"/>
        <n v="454"/>
        <n v="828"/>
        <n v="848"/>
        <n v="927"/>
        <n v="2830"/>
        <n v="956"/>
        <n v="2651"/>
        <n v="505"/>
        <n v="1939"/>
        <n v="724"/>
        <n v="2299"/>
        <n v="1685"/>
        <n v="2935"/>
        <n v="2376"/>
        <n v="1594"/>
        <n v="2774"/>
        <n v="2838"/>
        <n v="2438"/>
        <n v="2173"/>
        <n v="2669"/>
        <n v="1504"/>
        <n v="1158"/>
        <n v="2637"/>
        <n v="517"/>
        <n v="2153"/>
        <n v="1887"/>
        <n v="2710"/>
        <n v="2404"/>
        <n v="934"/>
        <n v="1601"/>
        <n v="1659"/>
        <n v="2813"/>
        <n v="2417"/>
        <n v="985"/>
        <n v="595"/>
        <n v="1232"/>
        <n v="324"/>
        <n v="2092"/>
        <n v="2953"/>
        <n v="1160"/>
        <n v="769"/>
        <n v="2678"/>
        <n v="2559"/>
        <n v="2671"/>
        <n v="2203"/>
        <n v="2619"/>
        <n v="1813"/>
        <n v="2435"/>
        <n v="978"/>
        <n v="1652"/>
        <n v="2726"/>
        <n v="2608"/>
        <n v="1849"/>
        <n v="2756"/>
        <n v="1460"/>
        <n v="1593"/>
        <n v="2815"/>
        <n v="343"/>
        <n v="1279"/>
        <n v="581"/>
        <n v="1954"/>
        <n v="2654"/>
        <n v="776"/>
        <n v="736"/>
        <n v="2653"/>
        <n v="433"/>
        <n v="2679"/>
        <n v="1236"/>
        <n v="339"/>
        <n v="705"/>
        <n v="2583"/>
        <n v="1754"/>
        <n v="2885"/>
        <n v="1395"/>
        <n v="1261"/>
        <n v="520"/>
        <n v="1463"/>
        <n v="2122"/>
        <n v="2510"/>
        <n v="1474"/>
        <n v="2545"/>
        <n v="2861"/>
        <n v="1486"/>
        <n v="390"/>
        <n v="1189"/>
        <n v="1391"/>
        <n v="2114"/>
        <n v="949"/>
        <n v="1192"/>
        <n v="472"/>
        <n v="2860"/>
        <n v="1090"/>
        <n v="2621"/>
        <n v="2518"/>
        <n v="559"/>
        <n v="1619"/>
        <n v="704"/>
        <n v="1154"/>
        <n v="588"/>
        <n v="2455"/>
        <n v="1590"/>
        <n v="2553"/>
        <n v="853"/>
        <n v="1190"/>
        <n v="1669"/>
        <n v="2511"/>
        <n v="2069"/>
        <n v="593"/>
        <n v="2732"/>
        <n v="1831"/>
        <n v="755"/>
        <n v="878"/>
        <n v="388"/>
        <n v="2353"/>
        <n v="1865"/>
        <n v="2987"/>
        <n v="2806"/>
        <n v="2357"/>
        <n v="432"/>
        <n v="2306"/>
        <n v="747"/>
        <n v="1492"/>
        <n v="2946"/>
        <n v="2140"/>
        <n v="1672"/>
        <n v="2127"/>
        <n v="323"/>
        <n v="2541"/>
        <n v="2667"/>
        <n v="851"/>
        <n v="2777"/>
        <n v="2816"/>
        <n v="2204"/>
        <n v="1922"/>
        <n v="936"/>
        <n v="2494"/>
        <n v="2488"/>
        <n v="2335"/>
        <n v="2117"/>
        <n v="2414"/>
        <n v="2212"/>
        <n v="2480"/>
        <n v="1756"/>
        <n v="2166"/>
        <n v="1653"/>
        <n v="1727"/>
        <n v="2718"/>
        <n v="2623"/>
        <n v="2573"/>
        <n v="551"/>
        <n v="1596"/>
        <n v="555"/>
        <n v="2717"/>
        <n v="1875"/>
        <n v="2293"/>
        <n v="2386"/>
        <n v="627"/>
        <n v="2895"/>
        <n v="1745"/>
        <n v="511"/>
        <n v="2822"/>
        <n v="1267"/>
        <n v="1274"/>
        <n v="1933"/>
        <n v="1407"/>
        <n v="1036"/>
      </sharedItems>
    </cacheField>
    <cacheField name="Ticket Price" numFmtId="0">
      <sharedItems containsSemiMixedTypes="0" containsString="0" containsNumber="1" minValue="0" maxValue="1196.58" count="465">
        <n v="837.9"/>
        <n v="881.94"/>
        <n v="1152.08"/>
        <n v="1169.8900000000001"/>
        <n v="1037.96"/>
        <n v="159.97"/>
        <n v="1000.42"/>
        <n v="236.39"/>
        <n v="1044.44"/>
        <n v="587.19000000000005"/>
        <n v="494.95499999999998"/>
        <n v="677.70500000000004"/>
        <n v="579.745"/>
        <n v="498.48"/>
        <n v="527.08500000000004"/>
        <n v="627.39"/>
        <n v="641.17750000000001"/>
        <n v="956.27"/>
        <n v="450.89"/>
        <n v="1182.3399999999999"/>
        <n v="158.37"/>
        <n v="860.87"/>
        <n v="420.34"/>
        <n v="968.98"/>
        <n v="245.04"/>
        <n v="353.26"/>
        <n v="1107.57"/>
        <n v="584.08000000000004"/>
        <n v="456.15"/>
        <n v="601.84"/>
        <n v="1035.8599999999999"/>
        <n v="829.14"/>
        <n v="560.04999999999995"/>
        <n v="362.54"/>
        <n v="775.9"/>
        <n v="201.07"/>
        <n v="1032.33"/>
        <n v="805.25"/>
        <n v="1161.33"/>
        <n v="1067.43"/>
        <n v="477.4"/>
        <n v="929.14"/>
        <n v="493.3"/>
        <n v="887.84"/>
        <n v="411.8"/>
        <n v="794.41"/>
        <n v="207.78"/>
        <n v="705.04"/>
        <n v="775.55"/>
        <n v="164.07"/>
        <n v="159.72"/>
        <n v="159.97999999999999"/>
        <n v="1135.8"/>
        <n v="737.58"/>
        <n v="1196.58"/>
        <n v="496.71749999999997"/>
        <n v="1166.6099999999999"/>
        <n v="780.46"/>
        <n v="428.04"/>
        <n v="545.35"/>
        <n v="683.21"/>
        <n v="436.36"/>
        <n v="191.68"/>
        <n v="1033.98"/>
        <n v="566.04999999999995"/>
        <n v="481.48"/>
        <n v="637.39"/>
        <n v="256.93"/>
        <n v="199.45"/>
        <n v="1012.78"/>
        <n v="228.02"/>
        <n v="1158.44"/>
        <n v="833.57"/>
        <n v="805.37"/>
        <n v="188.86"/>
        <n v="853.11"/>
        <n v="388.99"/>
        <n v="156.84"/>
        <n v="360.73"/>
        <n v="221.97"/>
        <n v="1138.8699999999999"/>
        <n v="629.1"/>
        <n v="674.22"/>
        <n v="526.58000000000004"/>
        <n v="563.70000000000005"/>
        <n v="1164.6099999999999"/>
        <n v="491.67"/>
        <n v="86.84"/>
        <n v="461.8"/>
        <n v="397.24"/>
        <n v="417.59"/>
        <n v="505.83"/>
        <n v="1045.56"/>
        <n v="595.30999999999995"/>
        <n v="915.3"/>
        <n v="244.02"/>
        <n v="800.15"/>
        <n v="163.09"/>
        <n v="1148.74"/>
        <n v="195.92"/>
        <n v="1108.0899999999999"/>
        <n v="890.58"/>
        <n v="501.88"/>
        <n v="1145.31"/>
        <n v="1061.56"/>
        <n v="488.02"/>
        <n v="839.7"/>
        <n v="798.12"/>
        <n v="1193.8699999999999"/>
        <n v="929.9"/>
        <n v="346.16"/>
        <n v="724.05"/>
        <n v="155.80000000000001"/>
        <n v="916.99"/>
        <n v="1010.03"/>
        <n v="1072.0899999999999"/>
        <n v="451.76"/>
        <n v="491.43"/>
        <n v="169.68"/>
        <n v="768.63"/>
        <n v="1030.51"/>
        <n v="840.55"/>
        <n v="109.02"/>
        <n v="304.2"/>
        <n v="607.15771802325605"/>
        <n v="965.22"/>
        <n v="668.78"/>
        <n v="796.57"/>
        <n v="1126.9100000000001"/>
        <n v="184.64"/>
        <n v="130.91999999999999"/>
        <n v="620.9"/>
        <n v="759.46"/>
        <n v="887.66"/>
        <n v="646.1"/>
        <n v="230.01"/>
        <n v="403.23"/>
        <n v="591.83000000000004"/>
        <n v="676.22"/>
        <n v="109.84"/>
        <n v="115.36"/>
        <n v="947.97"/>
        <n v="1101.58"/>
        <n v="943.72"/>
        <n v="505.26"/>
        <n v="814.69"/>
        <n v="830.21"/>
        <n v="1175.26"/>
        <n v="723.03"/>
        <n v="1061.95"/>
        <n v="604.17999999999995"/>
        <n v="835.33"/>
        <n v="614.75"/>
        <n v="482.7"/>
        <n v="491.65"/>
        <n v="841.98"/>
        <n v="306.42"/>
        <n v="578.94000000000005"/>
        <n v="523.46"/>
        <n v="115.54"/>
        <n v="228.95"/>
        <n v="555.02"/>
        <n v="768.71"/>
        <n v="342.46"/>
        <n v="1061.4100000000001"/>
        <n v="702.55"/>
        <n v="924.95"/>
        <n v="230.18"/>
        <n v="502.43"/>
        <n v="1157.53"/>
        <n v="602.20000000000005"/>
        <n v="1104.05"/>
        <n v="299.73"/>
        <n v="269.58"/>
        <n v="339.21"/>
        <n v="1108.21"/>
        <n v="594.08000000000004"/>
        <n v="142.85"/>
        <n v="1089.43"/>
        <n v="97.54"/>
        <n v="451.54"/>
        <n v="941.29"/>
        <n v="841.26"/>
        <n v="252.79"/>
        <n v="289.88"/>
        <n v="958.57"/>
        <n v="381.19"/>
        <n v="1137.53"/>
        <n v="1022.61"/>
        <n v="278.95"/>
        <n v="1123.92"/>
        <n v="235.88"/>
        <n v="1114.32"/>
        <n v="766.2"/>
        <n v="916.48"/>
        <n v="620.70000000000005"/>
        <n v="470.1"/>
        <n v="1121.51"/>
        <n v="286.58999999999997"/>
        <n v="310.48"/>
        <n v="671.04"/>
        <n v="1108.92"/>
        <n v="548.42999999999995"/>
        <n v="432.33"/>
        <n v="545.51"/>
        <n v="268.39"/>
        <n v="931.2"/>
        <n v="571.76"/>
        <n v="472.91"/>
        <n v="1109.02"/>
        <n v="726.72"/>
        <n v="589.26"/>
        <n v="634.08000000000004"/>
        <n v="98.24"/>
        <n v="483.69"/>
        <n v="614.02"/>
        <n v="615.02"/>
        <n v="798.57"/>
        <n v="1110.28"/>
        <n v="432.24"/>
        <n v="411.01"/>
        <n v="1185.31"/>
        <n v="155.63999999999999"/>
        <n v="680.95"/>
        <n v="934.81"/>
        <n v="765.77"/>
        <n v="222.16"/>
        <n v="782.84"/>
        <n v="335.81"/>
        <n v="699.21"/>
        <n v="213.73"/>
        <n v="176.75"/>
        <n v="931.74"/>
        <n v="930"/>
        <n v="184.19"/>
        <n v="163.81"/>
        <n v="384.59"/>
        <n v="215.23"/>
        <n v="125.17"/>
        <n v="702.67"/>
        <n v="496.91"/>
        <n v="1093.69"/>
        <n v="508.66"/>
        <n v="771.01"/>
        <n v="799.77"/>
        <n v="642.67999999999995"/>
        <n v="1170.8599999999999"/>
        <n v="344.94"/>
        <n v="122.52"/>
        <n v="882.97"/>
        <n v="736.34"/>
        <n v="992.19"/>
        <n v="796.4"/>
        <n v="896.8"/>
        <n v="570.80999999999995"/>
        <n v="929.23"/>
        <n v="270.52"/>
        <n v="264.8"/>
        <n v="413.09"/>
        <n v="1002.76"/>
        <n v="959.06"/>
        <n v="374.89"/>
        <n v="1167.19"/>
        <n v="168.43"/>
        <n v="221.33"/>
        <n v="698.3"/>
        <n v="732.6"/>
        <n v="623.85"/>
        <n v="135.21"/>
        <n v="416.54"/>
        <n v="930.63"/>
        <n v="112.42"/>
        <n v="1002.33"/>
        <n v="471.73"/>
        <n v="332.13"/>
        <n v="330.62"/>
        <n v="418.4"/>
        <n v="456.64"/>
        <n v="819.79"/>
        <n v="993.94"/>
        <n v="282.87"/>
        <n v="550.92999999999995"/>
        <n v="640.53"/>
        <n v="240.41"/>
        <n v="725.43"/>
        <n v="677.84"/>
        <n v="195.03"/>
        <n v="463.86"/>
        <n v="740.46"/>
        <n v="812"/>
        <n v="310.14999999999998"/>
        <n v="211.86"/>
        <n v="124.13"/>
        <n v="829.3"/>
        <n v="191.79"/>
        <n v="633.96"/>
        <n v="545.95000000000005"/>
        <n v="206.49"/>
        <n v="661.39"/>
        <n v="1126.5"/>
        <n v="329.43"/>
        <n v="212.95"/>
        <n v="1158.75"/>
        <n v="751.95"/>
        <n v="498.76"/>
        <n v="817.47"/>
        <n v="274.49"/>
        <n v="779.07"/>
        <n v="629.91020467836302"/>
        <n v="830.68"/>
        <n v="194.78"/>
        <n v="546.54999999999995"/>
        <n v="692.21"/>
        <n v="213.68"/>
        <n v="124.73"/>
        <n v="668.44"/>
        <n v="450.79"/>
        <n v="1108.8399999999999"/>
        <n v="1000.76"/>
        <n v="1168.22"/>
        <n v="916.52"/>
        <n v="1100.3"/>
        <n v="798.39"/>
        <n v="507.18"/>
        <n v="497.91"/>
        <n v="918.09"/>
        <n v="283.12"/>
        <n v="625.65"/>
        <n v="447.75"/>
        <n v="877.66"/>
        <n v="201.89"/>
        <n v="533.75"/>
        <n v="641.26"/>
        <n v="1142.56"/>
        <n v="342.1"/>
        <n v="789.6"/>
        <n v="501.49"/>
        <n v="337.59"/>
        <n v="260.45999999999998"/>
        <n v="794.14"/>
        <n v="752.94"/>
        <n v="511.72"/>
        <n v="123.72"/>
        <n v="560.42999999999995"/>
        <n v="750.09"/>
        <n v="537.91"/>
        <n v="925.57"/>
        <n v="860.7"/>
        <n v="374.66"/>
        <n v="813.62"/>
        <n v="1109.48"/>
        <n v="360.16"/>
        <n v="368.76"/>
        <n v="358.05"/>
        <n v="638.88"/>
        <n v="214.26"/>
        <n v="1053.02"/>
        <n v="642.77"/>
        <n v="192.84"/>
        <n v="638.62"/>
        <n v="991.89"/>
        <n v="853.41"/>
        <n v="1123.67"/>
        <n v="444.1"/>
        <n v="765.79"/>
        <n v="758.03"/>
        <n v="109.53"/>
        <n v="576.34"/>
        <n v="231.33"/>
        <n v="334.38"/>
        <n v="605.5"/>
        <n v="348.31"/>
        <n v="203.6"/>
        <n v="288.25"/>
        <n v="462.94"/>
        <n v="948.73"/>
        <n v="784.66"/>
        <n v="730.81"/>
        <n v="147.26"/>
        <n v="103.92"/>
        <n v="289.02"/>
        <n v="491.17"/>
        <n v="817.28"/>
        <n v="203.72"/>
        <n v="115.64"/>
        <n v="814.44"/>
        <n v="1014.59"/>
        <n v="815.7"/>
        <n v="1068.76"/>
        <n v="696.09"/>
        <n v="1117.28"/>
        <n v="1192.6199999999999"/>
        <n v="595.61"/>
        <n v="902.38"/>
        <n v="469.68"/>
        <n v="712.7"/>
        <n v="404.56"/>
        <n v="566.63"/>
        <n v="378.21"/>
        <n v="814.06"/>
        <n v="254.71"/>
        <n v="421.73"/>
        <n v="858.48"/>
        <n v="383.84"/>
        <n v="649.57000000000005"/>
        <n v="124.52"/>
        <n v="388.98"/>
        <n v="663.2"/>
        <n v="227.58"/>
        <n v="1124.99"/>
        <n v="1156.54"/>
        <n v="770.98"/>
        <n v="1027.67"/>
        <n v="537.62"/>
        <n v="850.41"/>
        <n v="585.79999999999995"/>
        <n v="572.29999999999995"/>
        <n v="585.9"/>
        <n v="790.16"/>
        <n v="713.35"/>
        <n v="403.43"/>
        <n v="760.94"/>
        <n v="391.49"/>
        <n v="1018.58"/>
        <n v="483.41"/>
        <n v="216.67"/>
        <n v="1125.96"/>
        <n v="710.15"/>
        <n v="780.52"/>
        <n v="305.33"/>
        <n v="891.32"/>
        <n v="782.46"/>
        <n v="100.96"/>
        <n v="1023.49"/>
        <n v="1062.29"/>
        <n v="646.71"/>
        <n v="837.92"/>
        <n v="1075.8900000000001"/>
        <n v="437.45"/>
        <n v="472.36"/>
        <n v="136.81"/>
        <n v="429.93"/>
        <n v="427.64"/>
        <n v="963.43"/>
        <n v="756.97"/>
        <n v="543.04999999999995"/>
        <n v="961.81"/>
        <n v="189.37"/>
        <n v="181.4"/>
        <n v="415.7"/>
        <n v="493.53"/>
        <n v="521.58000000000004"/>
        <n v="1024.53"/>
        <n v="816.88"/>
        <n v="381.56"/>
        <n v="239.14"/>
        <n v="683.9"/>
        <n v="1155.8499999999999"/>
        <n v="815.08"/>
        <n v="394.69"/>
        <n v="623.11"/>
        <n v="613.38"/>
        <n v="1118.49"/>
        <n v="379.14"/>
        <n v="430.86"/>
      </sharedItems>
    </cacheField>
    <cacheField name="Class" numFmtId="0">
      <sharedItems containsBlank="1" count="5">
        <s v="First Class"/>
        <s v="Business"/>
        <s v="Economy"/>
        <s v="Unknown"/>
        <m u="1"/>
      </sharedItems>
    </cacheField>
    <cacheField name="Seats Available" numFmtId="0">
      <sharedItems containsSemiMixedTypes="0" containsString="0" containsNumber="1" containsInteger="1" minValue="0" maxValue="350" count="218">
        <n v="122"/>
        <n v="239"/>
        <n v="126"/>
        <n v="120"/>
        <n v="197"/>
        <n v="143"/>
        <n v="202"/>
        <n v="243"/>
        <n v="260"/>
        <n v="274"/>
        <n v="229"/>
        <n v="337"/>
        <n v="296"/>
        <n v="151"/>
        <n v="241"/>
        <n v="271"/>
        <n v="208"/>
        <n v="214"/>
        <n v="348"/>
        <n v="167"/>
        <n v="291"/>
        <n v="203"/>
        <n v="161"/>
        <n v="237"/>
        <n v="177"/>
        <n v="254"/>
        <n v="263"/>
        <n v="249"/>
        <n v="299"/>
        <n v="305"/>
        <n v="157"/>
        <n v="129"/>
        <n v="198"/>
        <n v="335"/>
        <n v="132"/>
        <n v="210"/>
        <n v="162"/>
        <n v="276"/>
        <n v="216"/>
        <n v="315"/>
        <n v="152"/>
        <n v="285"/>
        <n v="146"/>
        <n v="220"/>
        <n v="306"/>
        <n v="317"/>
        <n v="257"/>
        <n v="292"/>
        <n v="187"/>
        <n v="221"/>
        <n v="235"/>
        <n v="130"/>
        <n v="145"/>
        <n v="255"/>
        <n v="345"/>
        <n v="204"/>
        <n v="336"/>
        <n v="302"/>
        <n v="238"/>
        <n v="295"/>
        <n v="262"/>
        <n v="205"/>
        <n v="321"/>
        <n v="350"/>
        <n v="185"/>
        <n v="280"/>
        <n v="103"/>
        <n v="319"/>
        <n v="294"/>
        <n v="137"/>
        <n v="136"/>
        <n v="341"/>
        <n v="246"/>
        <n v="298"/>
        <n v="110"/>
        <n v="324"/>
        <n v="293"/>
        <n v="310"/>
        <n v="134"/>
        <n v="213"/>
        <n v="342"/>
        <n v="153"/>
        <n v="128"/>
        <n v="234"/>
        <n v="286"/>
        <n v="118"/>
        <n v="124"/>
        <n v="289"/>
        <n v="179"/>
        <n v="244"/>
        <n v="251"/>
        <n v="158"/>
        <n v="209"/>
        <n v="144"/>
        <n v="182"/>
        <n v="215"/>
        <n v="329"/>
        <n v="282"/>
        <n v="346"/>
        <n v="308"/>
        <n v="133"/>
        <n v="160"/>
        <n v="212"/>
        <n v="112"/>
        <n v="301"/>
        <n v="218"/>
        <n v="338"/>
        <n v="304"/>
        <n v="168"/>
        <n v="175"/>
        <n v="170"/>
        <n v="300"/>
        <n v="195"/>
        <n v="227"/>
        <n v="318"/>
        <n v="192"/>
        <n v="188"/>
        <n v="297"/>
        <n v="320"/>
        <n v="155"/>
        <n v="328"/>
        <n v="323"/>
        <n v="309"/>
        <n v="222"/>
        <n v="176"/>
        <n v="307"/>
        <n v="101"/>
        <n v="115"/>
        <n v="156"/>
        <n v="138"/>
        <n v="290"/>
        <n v="233"/>
        <n v="165"/>
        <n v="191"/>
        <n v="180"/>
        <n v="278"/>
        <n v="279"/>
        <n v="327"/>
        <n v="250"/>
        <n v="135"/>
        <n v="201"/>
        <n v="181"/>
        <n v="242"/>
        <n v="226"/>
        <n v="347"/>
        <n v="207"/>
        <n v="265"/>
        <n v="248"/>
        <n v="206"/>
        <n v="268"/>
        <n v="121"/>
        <n v="247"/>
        <n v="258"/>
        <n v="225"/>
        <n v="252"/>
        <n v="183"/>
        <n v="312"/>
        <n v="275"/>
        <n v="163"/>
        <n v="139"/>
        <n v="287"/>
        <n v="100"/>
        <n v="330"/>
        <n v="102"/>
        <n v="340"/>
        <n v="131"/>
        <n v="169"/>
        <n v="159"/>
        <n v="178"/>
        <n v="339"/>
        <n v="141"/>
        <n v="140"/>
        <n v="253"/>
        <n v="108"/>
        <n v="314"/>
        <n v="311"/>
        <n v="261"/>
        <n v="333"/>
        <n v="343"/>
        <n v="313"/>
        <n v="223"/>
        <n v="196"/>
        <n v="111"/>
        <n v="150"/>
        <n v="231"/>
        <n v="236"/>
        <n v="106"/>
        <n v="199"/>
        <n v="116"/>
        <n v="107"/>
        <n v="211"/>
        <n v="154"/>
        <n v="232"/>
        <n v="264"/>
        <n v="272"/>
        <n v="104"/>
        <n v="228"/>
        <n v="113"/>
        <n v="172"/>
        <n v="273"/>
        <n v="256"/>
        <n v="224"/>
        <n v="325"/>
        <n v="219"/>
        <n v="316"/>
        <n v="105"/>
        <n v="267"/>
        <n v="125"/>
        <n v="245"/>
        <n v="184"/>
        <n v="123"/>
        <n v="173"/>
        <n v="288"/>
        <n v="331"/>
        <n v="281"/>
        <n v="230"/>
        <n v="277"/>
        <n v="174"/>
      </sharedItems>
    </cacheField>
    <cacheField name="Passengers Boarded" numFmtId="0">
      <sharedItems containsSemiMixedTypes="0" containsString="0" containsNumber="1" containsInteger="1" minValue="0" maxValue="316" count="196">
        <n v="104"/>
        <n v="157"/>
        <n v="61"/>
        <n v="120"/>
        <n v="121"/>
        <n v="118"/>
        <n v="187"/>
        <n v="90"/>
        <n v="77"/>
        <n v="235"/>
        <n v="82"/>
        <n v="141"/>
        <n v="108"/>
        <n v="174"/>
        <n v="155"/>
        <n v="85"/>
        <n v="97"/>
        <n v="150"/>
        <n v="130"/>
        <n v="80"/>
        <n v="83"/>
        <n v="52"/>
        <n v="103"/>
        <n v="117"/>
        <n v="142"/>
        <n v="193"/>
        <n v="177"/>
        <n v="53"/>
        <n v="197"/>
        <n v="219"/>
        <n v="74"/>
        <n v="198"/>
        <n v="134"/>
        <n v="110"/>
        <n v="51"/>
        <n v="84"/>
        <n v="191"/>
        <n v="67"/>
        <n v="189"/>
        <n v="92"/>
        <n v="56"/>
        <n v="54"/>
        <n v="137"/>
        <n v="209"/>
        <n v="111"/>
        <n v="265"/>
        <n v="256"/>
        <n v="168"/>
        <n v="215"/>
        <n v="138"/>
        <n v="88"/>
        <n v="175"/>
        <n v="202"/>
        <n v="100"/>
        <n v="165"/>
        <n v="185"/>
        <n v="128"/>
        <n v="176"/>
        <n v="222"/>
        <n v="258"/>
        <n v="313"/>
        <n v="154"/>
        <n v="291"/>
        <n v="179"/>
        <n v="146"/>
        <n v="257"/>
        <n v="244"/>
        <n v="136"/>
        <n v="81"/>
        <n v="79"/>
        <n v="226"/>
        <n v="254"/>
        <n v="69"/>
        <n v="237"/>
        <n v="107"/>
        <n v="124"/>
        <n v="287"/>
        <n v="99"/>
        <n v="282"/>
        <n v="125"/>
        <n v="250"/>
        <n v="60"/>
        <n v="204"/>
        <n v="145"/>
        <n v="140"/>
        <n v="218"/>
        <n v="133"/>
        <n v="114"/>
        <n v="196"/>
        <n v="93"/>
        <n v="127"/>
        <n v="59"/>
        <n v="71"/>
        <n v="126"/>
        <n v="115"/>
        <n v="298"/>
        <n v="106"/>
        <n v="76"/>
        <n v="163"/>
        <n v="207"/>
        <n v="65"/>
        <n v="87"/>
        <n v="172"/>
        <n v="208"/>
        <n v="144"/>
        <n v="152"/>
        <n v="89"/>
        <n v="131"/>
        <n v="162"/>
        <n v="182"/>
        <n v="213"/>
        <n v="113"/>
        <n v="143"/>
        <n v="180"/>
        <n v="171"/>
        <n v="122"/>
        <n v="66"/>
        <n v="91"/>
        <n v="105"/>
        <n v="72"/>
        <n v="167"/>
        <n v="271"/>
        <n v="158"/>
        <n v="243"/>
        <n v="195"/>
        <n v="293"/>
        <n v="86"/>
        <n v="192"/>
        <n v="68"/>
        <n v="223"/>
        <n v="116"/>
        <n v="149"/>
        <n v="148"/>
        <n v="63"/>
        <n v="240"/>
        <n v="156"/>
        <n v="50"/>
        <n v="166"/>
        <n v="58"/>
        <n v="279"/>
        <n v="55"/>
        <n v="214"/>
        <n v="94"/>
        <n v="276"/>
        <n v="217"/>
        <n v="73"/>
        <n v="316"/>
        <n v="153"/>
        <n v="95"/>
        <n v="132"/>
        <n v="304"/>
        <n v="135"/>
        <n v="75"/>
        <n v="78"/>
        <n v="206"/>
        <n v="253"/>
        <n v="232"/>
        <n v="98"/>
        <n v="96"/>
        <n v="70"/>
        <n v="274"/>
        <n v="247"/>
        <n v="290"/>
        <n v="102"/>
        <n v="186"/>
        <n v="184"/>
        <n v="62"/>
        <n v="246"/>
        <n v="315"/>
        <n v="251"/>
        <n v="139"/>
        <n v="164"/>
        <n v="241"/>
        <n v="273"/>
        <n v="170"/>
        <n v="289"/>
        <n v="161"/>
        <n v="169"/>
        <n v="248"/>
        <n v="160"/>
        <n v="173"/>
        <n v="228"/>
        <n v="210"/>
        <n v="216"/>
        <n v="188"/>
        <n v="261"/>
        <n v="231"/>
        <n v="211"/>
        <n v="267"/>
        <n v="151"/>
        <n v="64"/>
        <n v="221"/>
        <n v="306"/>
        <n v="147"/>
        <n v="263"/>
        <n v="242"/>
      </sharedItems>
    </cacheField>
    <cacheField name="Occupancy Rate." numFmtId="0">
      <sharedItems containsSemiMixedTypes="0" containsString="0" containsNumber="1" minValue="0" maxValue="137.864077669903" count="487">
        <n v="85.245901639344297"/>
        <n v="65.690376569037696"/>
        <n v="48.412698412698397"/>
        <n v="100"/>
        <n v="61.4213197969543"/>
        <n v="82.517482517482506"/>
        <n v="58.4158415841584"/>
        <n v="76.954732510288096"/>
        <n v="34.615384615384599"/>
        <n v="68.248175182481802"/>
        <n v="33.6244541484716"/>
        <n v="69.732937685460001"/>
        <n v="27.702702702702702"/>
        <n v="93.377483443708599"/>
        <n v="44.813278008298802"/>
        <n v="64.206642066420699"/>
        <n v="74.519230769230802"/>
        <n v="39.719626168224302"/>
        <n v="27.8735632183908"/>
        <n v="89.820359281437106"/>
        <n v="44.673539518900398"/>
        <n v="39.4088669950739"/>
        <n v="51.552795031055901"/>
        <n v="43.881856540084399"/>
        <n v="29.3785310734463"/>
        <n v="40.5511811023622"/>
        <n v="44.486692015209101"/>
        <n v="57.028112449799202"/>
        <n v="64.548494983277607"/>
        <n v="58.032786885245898"/>
        <n v="33.757961783439498"/>
        <n v="64.341085271317795"/>
        <n v="99.494949494949495"/>
        <n v="65.373134328358205"/>
        <n v="56.060606060606098"/>
        <n v="94.285714285714306"/>
        <n v="93.706293706293707"/>
        <n v="67.901234567901199"/>
        <n v="18.478260869565201"/>
        <n v="38.8888888888889"/>
        <n v="60.634920634920597"/>
        <n v="55.8333333333333"/>
        <n v="67.763157894736906"/>
        <n v="79.746835443037995"/>
        <n v="32.280701754386001"/>
        <n v="38.356164383561598"/>
        <n v="24.545454545454501"/>
        <n v="103.787878787879"/>
        <n v="62.017804154302702"/>
        <n v="36.274509803921603"/>
        <n v="83.596214511040998"/>
        <n v="99.6108949416342"/>
        <n v="57.5342465753425"/>
        <n v="64.705882352941202"/>
        <n v="97.285067873303205"/>
        <n v="58.723404255319203"/>
        <n v="90.769230769230802"/>
        <n v="60.689655172413801"/>
        <n v="40.476190476190503"/>
        <n v="86.633663366336606"/>
        <n v="79.215686274509807"/>
        <n v="28.985507246376802"/>
        <n v="80.882352941176507"/>
        <n v="55.059523809523803"/>
        <n v="42.384105960264897"/>
        <n v="73.949579831932795"/>
        <n v="75.254237288135599"/>
        <n v="98.473282442748101"/>
        <n v="85.853658536585399"/>
        <n v="97.507788161993801"/>
        <n v="55.263157894736899"/>
        <n v="63.900414937759301"/>
        <n v="83.142857142857096"/>
        <n v="95.721925133689894"/>
        <n v="78.918918918918905"/>
        <n v="91.785714285714306"/>
        <n v="137.864077669903"/>
        <n v="76.489028213166094"/>
        <n v="46.2585034013605"/>
        <n v="59.124087591240901"/>
        <n v="58.088235294117702"/>
        <n v="66.275659824046897"/>
        <n v="57.317073170731703"/>
        <n v="85.2348993288591"/>
        <n v="62.727272727272698"/>
        <n v="73.148148148148195"/>
        <n v="36.518771331057998"/>
        <n v="74.251497005988"/>
        <n v="92.580645161290306"/>
        <n v="73.880597014925399"/>
        <n v="63.849765258216003"/>
        <n v="82.456140350877206"/>
        <n v="81.699346405228795"/>
        <n v="41.40625"/>
        <n v="33.760683760683797"/>
        <n v="87.412587412587399"/>
        <n v="50.847457627118601"/>
        <n v="89.0829694323144"/>
        <n v="72.580645161290306"/>
        <n v="50.173010380622799"/>
        <n v="78.212290502793294"/>
        <n v="57.723577235772403"/>
        <n v="89.344262295082004"/>
        <n v="74.301675977653602"/>
        <n v="83.653846153846203"/>
        <n v="69.322709163346602"/>
        <n v="28.7162162162162"/>
        <n v="72.151898734177195"/>
        <n v="93.779904306220104"/>
        <n v="70.149253731343293"/>
        <n v="50.270270270270302"/>
        <n v="88.1944444444444"/>
        <n v="71.428571428571402"/>
        <n v="27.441860465116299"/>
        <n v="21.580547112462"/>
        <n v="50.354609929078002"/>
        <n v="66.6666666666667"/>
        <n v="36.416184971098303"/>
        <n v="37.337662337662302"/>
        <n v="87.134502923976598"/>
        <n v="94.736842105263193"/>
        <n v="66.25"/>
        <n v="79.245283018867894"/>
        <n v="31.535269709543599"/>
        <n v="47.660818713450297"/>
        <n v="96.728971962616797"/>
        <n v="58.035714285714299"/>
        <n v="63.970588235294102"/>
        <n v="74.895397489539803"/>
        <n v="22.2591362126246"/>
        <n v="78.899082568807401"/>
        <n v="61.538461538461497"/>
        <n v="47.368421052631597"/>
        <n v="90.476190476190496"/>
        <n v="50.857142857142897"/>
        <n v="77.058823529411796"/>
        <n v="54"/>
        <n v="83.589743589743605"/>
        <n v="80.1762114537445"/>
        <n v="27.358490566037698"/>
        <n v="41.009463722397498"/>
        <n v="99.4791666666667"/>
        <n v="28.064516129032299"/>
        <n v="28.040540540540501"/>
        <n v="96.808510638297903"/>
        <n v="66.329966329966297"/>
        <n v="62.068965517241402"/>
        <n v="66.5625"/>
        <n v="52.558139534883701"/>
        <n v="30.508474576271201"/>
        <n v="80"/>
        <n v="50"/>
        <n v="72.052401746724897"/>
        <n v="70.866141732283495"/>
        <n v="95.426829268292707"/>
        <n v="51.639344262295097"/>
        <n v="79.640718562874198"/>
        <n v="57.8125"/>
        <n v="25.077399380805002"/>
        <n v="58.577405857740601"/>
        <n v="90.196078431372598"/>
        <n v="73.139158576051798"/>
        <n v="46.846846846846802"/>
        <n v="83.439490445859903"/>
        <n v="83.823529411764696"/>
        <n v="81.314878892733603"/>
        <n v="69.318181818181799"/>
        <n v="34.853420195439703"/>
        <n v="88.8888888888889"/>
        <n v="65.346534653465397"/>
        <n v="56.521739130434803"/>
        <n v="42.948717948717999"/>
        <n v="28.173374613003102"/>
        <n v="51.449275362318801"/>
        <n v="38.425925925925903"/>
        <n v="36.2068965517241"/>
        <n v="45.890410958904098"/>
        <n v="55.384615384615401"/>
        <n v="53.870967741935502"/>
        <n v="47.204968944099399"/>
        <n v="92.491467576791806"/>
        <n v="45.493562231759697"/>
        <n v="39.080459770114899"/>
        <n v="98.136645962732899"/>
        <n v="46.060606060606098"/>
        <n v="23.6220472440945"/>
        <n v="83.505154639175302"/>
        <n v="67.015706806282694"/>
        <n v="86.1111111111111"/>
        <n v="98.984771573604107"/>
        <n v="73.221757322175705"/>
        <n v="36.956521739130402"/>
        <n v="49.514563106796103"/>
        <n v="57.971014492753604"/>
        <n v="38.489208633093497"/>
        <n v="33.3333333333333"/>
        <n v="89.602446483180401"/>
        <n v="34.4"/>
        <n v="44.4444444444444"/>
        <n v="66.169154228855703"/>
        <n v="36.040609137055803"/>
        <n v="78.453038674033195"/>
        <n v="79.338842975206603"/>
        <n v="66.019417475728204"/>
        <n v="38.495575221238902"/>
        <n v="67.692307692307693"/>
        <n v="71.475409836065595"/>
        <n v="61.383285302593698"/>
        <n v="75.298804780876495"/>
        <n v="50.931677018633501"/>
        <n v="91.304347826086996"/>
        <n v="84.150943396226396"/>
        <n v="91.129032258064498"/>
        <n v="34.4660194174757"/>
        <n v="77.830188679245296"/>
        <n v="71.604938271604894"/>
        <n v="49.626865671641802"/>
        <n v="26.710097719869701"/>
        <n v="82.7777777777778"/>
        <n v="55.3719008264463"/>
        <n v="59.919028340080999"/>
        <n v="24.418604651162799"/>
        <n v="40.8888888888889"/>
        <n v="98.360655737704903"/>
        <n v="43.933054393305397"/>
        <n v="86.241610738255005"/>
        <n v="74.206349206349202"/>
        <n v="35.514018691588802"/>
        <n v="60"/>
        <n v="27.3224043715847"/>
        <n v="62.5"/>
        <n v="78.301886792452805"/>
        <n v="47.179487179487197"/>
        <n v="42.629482071713198"/>
        <n v="36.363636363636402"/>
        <n v="42.647058823529399"/>
        <n v="59.272727272727302"/>
        <n v="52.147239263803698"/>
        <n v="93"/>
        <n v="74.436090225563902"/>
        <n v="35.4838709677419"/>
        <n v="61.151079136690697"/>
        <n v="78.102189781021906"/>
        <n v="52.513966480446904"/>
        <n v="96.167247386759598"/>
        <n v="83.3333333333333"/>
        <n v="52"/>
        <n v="75.086505190311399"/>
        <n v="23.030303030302999"/>
        <n v="71.568627450980401"/>
        <n v="36.231884057971001"/>
        <n v="65.299684542586803"/>
        <n v="96.048632218845"/>
        <n v="44.868035190615799"/>
        <n v="41.040462427745702"/>
        <n v="44.525547445255498"/>
        <n v="81.595092024539895"/>
        <n v="27.352941176470601"/>
        <n v="41.984732824427503"/>
        <n v="65.9722222222222"/>
        <n v="64.571428571428598"/>
        <n v="79.754601226993898"/>
        <n v="43.1952662721894"/>
        <n v="82.208588957055198"/>
        <n v="46.405228758169898"/>
        <n v="79.874213836478006"/>
        <n v="45.2173913043478"/>
        <n v="74.576271186440707"/>
        <n v="70.224719101123597"/>
        <n v="89.675516224188797"/>
        <n v="66.355140186915904"/>
        <n v="38.7931034482759"/>
        <n v="75.886524822694994"/>
        <n v="41.843971631205697"/>
        <n v="40"/>
        <n v="66.964285714285694"/>
        <n v="67.984189723320199"/>
        <n v="97.3333333333333"/>
        <n v="46.706586826347298"/>
        <n v="75.949367088607602"/>
        <n v="75.925925925925895"/>
        <n v="87.5"/>
        <n v="71.6738197424893"/>
        <n v="30.952380952380999"/>
        <n v="26.6968325791855"/>
        <n v="55.820895522388099"/>
        <n v="61.971830985915503"/>
        <n v="25.161290322580601"/>
        <n v="46.913580246913597"/>
        <n v="40.298507462686601"/>
        <n v="57.961783439490503"/>
        <n v="79.1666666666667"/>
        <n v="67.320261437908499"/>
        <n v="81.350482315112501"/>
        <n v="50.5703422053232"/>
        <n v="39.259259259259302"/>
        <n v="81.403508771929793"/>
        <n v="37.272727272727302"/>
        <n v="59.487179487179503"/>
        <n v="93.908629441624399"/>
        <n v="41.095890410958901"/>
        <n v="32"/>
        <n v="27.1794871794872"/>
        <n v="51.2"/>
        <n v="51.308900523560197"/>
        <n v="73.282442748091597"/>
        <n v="83.928571428571402"/>
        <n v="19.923371647509601"/>
        <n v="25.6666666666667"/>
        <n v="27.9883381924198"/>
        <n v="21.671826625386998"/>
        <n v="83.536585365853696"/>
        <n v="78.913738019169301"/>
        <n v="87.443946188340803"/>
        <n v="28.7735849056604"/>
        <n v="74.551971326164903"/>
        <n v="91.4826498422713"/>
        <n v="78.061224489795904"/>
        <n v="74.827586206896598"/>
        <n v="57.627118644067799"/>
        <n v="53.358208955223901"/>
        <n v="96.396396396396398"/>
        <n v="69.677419354838705"/>
        <n v="84.328358208955194"/>
        <n v="78.571428571428598"/>
        <n v="75.5555555555556"/>
        <n v="50.181818181818201"/>
        <n v="90.291262135922295"/>
        <n v="86.904761904761898"/>
        <n v="66.782006920415199"/>
        <n v="35"/>
        <n v="99.3333333333333"/>
        <n v="57.894736842105303"/>
        <n v="25"/>
        <n v="28.755364806867"/>
        <n v="94.193548387096797"/>
        <n v="20.289855072463801"/>
        <n v="77.922077922077904"/>
        <n v="21.610169491525401"/>
        <n v="74.528301886792505"/>
        <n v="82.914572864321599"/>
        <n v="47.413793103448299"/>
        <n v="74.766355140186903"/>
        <n v="79.668049792531093"/>
        <n v="55.319148936170201"/>
        <n v="24.2138364779874"/>
        <n v="42.931937172774902"/>
        <n v="56.872037914692001"/>
        <n v="27.4509803921569"/>
        <n v="35.064935064935099"/>
        <n v="71.144278606965202"/>
        <n v="38.390092879256997"/>
        <n v="76.315789473684205"/>
        <n v="58.785942492012801"/>
        <n v="65.948275862068996"/>
        <n v="45.8333333333333"/>
        <n v="63.235294117647101"/>
        <n v="25.974025974025999"/>
        <n v="76.573426573426602"/>
        <n v="46.129032258064498"/>
        <n v="59.615384615384599"/>
        <n v="35.087719298245602"/>
        <n v="81.456953642384093"/>
        <n v="56.372549019607902"/>
        <n v="74.820143884892104"/>
        <n v="60.769230769230802"/>
        <n v="61.946902654867301"/>
        <n v="45"/>
        <n v="93.195266272189301"/>
        <n v="69.672131147540995"/>
        <n v="82.558139534883693"/>
        <n v="70.8333333333333"/>
        <n v="70.028818443803999"/>
        <n v="95.801526717557294"/>
        <n v="67.821782178217802"/>
        <n v="90"/>
        <n v="80.219780219780205"/>
        <n v="78.767123287671197"/>
        <n v="43.4375"/>
        <n v="45.3125"/>
        <n v="70.048309178744006"/>
        <n v="89.940828402366904"/>
        <n v="97.014925373134304"/>
        <n v="99.354838709677395"/>
        <n v="29.255319148936199"/>
        <n v="73.214285714285694"/>
        <n v="27.1293375394322"/>
        <n v="96.449704142011797"/>
        <n v="86.379928315412201"/>
        <n v="30.341880341880302"/>
        <n v="87.969924812030101"/>
        <n v="39.915966386554601"/>
        <n v="60.093896713615003"/>
        <n v="63.405797101449302"/>
        <n v="84"/>
        <n v="61.764705882352899"/>
        <n v="63.953488372092998"/>
        <n v="48.837209302325597"/>
        <n v="84.385382059800705"/>
        <n v="71.129707112970706"/>
        <n v="72"/>
        <n v="99.655172413793096"/>
        <n v="61.450381679389302"/>
        <n v="91.402714932126699"/>
        <n v="33.584905660377402"/>
        <n v="43.979057591622997"/>
        <n v="92.857142857142904"/>
        <n v="71.476510067114106"/>
        <n v="80.258899676375407"/>
        <n v="78.980891719745202"/>
        <n v="97.260273972602803"/>
        <n v="46.920821114369502"/>
        <n v="36.538461538461497"/>
        <n v="31.788079470198699"/>
        <n v="43.354430379746802"/>
        <n v="85.9375"/>
        <n v="68.316831683168303"/>
        <n v="61.481481481481502"/>
        <n v="94.535519125683095"/>
        <n v="38.834951456310698"/>
        <n v="48.175182481751797"/>
        <n v="50.375939849624103"/>
        <n v="39.560439560439598"/>
        <n v="65.734265734265705"/>
        <n v="29.245283018867902"/>
        <n v="67.619047619047606"/>
        <n v="71.153846153846203"/>
        <n v="53.183520599250897"/>
        <n v="75.842696629213506"/>
        <n v="44.230769230769198"/>
        <n v="82.03125"/>
        <n v="91.851851851851904"/>
        <n v="37.016574585635396"/>
        <n v="84.081632653061206"/>
        <n v="76.595744680851098"/>
        <n v="55.952380952380999"/>
        <n v="53.822629969418998"/>
        <n v="54.012345679012299"/>
        <n v="87.583892617449706"/>
        <n v="34.210526315789501"/>
        <n v="46.504559270516701"/>
        <n v="98.717948717948701"/>
        <n v="39.375"/>
        <n v="50.769230769230802"/>
        <n v="48.125"/>
        <n v="54.958677685950398"/>
        <n v="39.130434782608702"/>
        <n v="71.544715447154502"/>
        <n v="76.878612716763001"/>
        <n v="73.776223776223802"/>
        <n v="92.7083333333333"/>
        <n v="91.515151515151501"/>
        <n v="18.550724637681199"/>
        <n v="67.173252279635307"/>
        <n v="48.727272727272698"/>
        <n v="58.431372549019599"/>
        <n v="59.069767441860499"/>
        <n v="92.4471299093656"/>
        <n v="89.473684210526301"/>
        <n v="93.562231759656697"/>
        <n v="52.398523985239898"/>
        <n v="84.023668639053298"/>
        <n v="28.181818181818201"/>
        <n v="86.524822695035496"/>
        <n v="87.544483985765098"/>
        <n v="80.5555555555556"/>
        <n v="33.043478260869598"/>
        <n v="74.074074074074105"/>
        <n v="39.711191335740097"/>
        <n v="61.379310344827601"/>
        <n v="15.2905198776758"/>
        <n v="90.960451977401107"/>
        <n v="22.190201729106601"/>
        <n v="52.127659574468098"/>
        <n v="83.492063492063494"/>
        <n v="70.707070707070699"/>
        <n v="51.709401709401703"/>
        <n v="35.195530726256997"/>
        <n v="40.804597701149397"/>
        <n v="20.5211726384365"/>
        <n v="94.174757281553397"/>
        <n v="20.625"/>
        <n v="34.980988593155899"/>
        <n v="83.161512027491398"/>
        <n v="65.989847715736005"/>
        <n v="80.606060606060595"/>
        <n v="19.117647058823501"/>
      </sharedItems>
    </cacheField>
    <cacheField name="Status" numFmtId="0">
      <sharedItems count="3">
        <s v="On-Time"/>
        <s v="Delayed"/>
        <s v="Cancelled"/>
      </sharedItems>
    </cacheField>
    <cacheField name="Year-MONTH" numFmtId="0">
      <sharedItems count="36">
        <s v="2022-08"/>
        <s v="2022-07"/>
        <s v="2023-07"/>
        <s v="2024-01"/>
        <s v="2024-08"/>
        <s v="2023-10"/>
        <s v="2024-05"/>
        <s v="2022-05"/>
        <s v="2023-11"/>
        <s v="2024-11"/>
        <s v="2023-05"/>
        <s v="2024-02"/>
        <s v="2022-01"/>
        <s v="2022-09"/>
        <s v="2022-04"/>
        <s v="2022-12"/>
        <s v="2024-09"/>
        <s v="2023-09"/>
        <s v="2023-06"/>
        <s v="2024-06"/>
        <s v="2022-11"/>
        <s v="2022-02"/>
        <s v="2024-12"/>
        <s v="2023-12"/>
        <s v="2023-03"/>
        <s v="2022-03"/>
        <s v="2023-01"/>
        <s v="2023-08"/>
        <s v="2023-02"/>
        <s v="2024-03"/>
        <s v="2022-10"/>
        <s v="2024-04"/>
        <s v="2023-04"/>
        <s v="2024-07"/>
        <s v="2022-06"/>
        <s v="2024-10"/>
      </sharedItems>
    </cacheField>
    <cacheField name="Delay Minutes" numFmtId="0">
      <sharedItems containsSemiMixedTypes="0" containsString="0" containsNumber="1" containsInteger="1" minValue="0" maxValue="180" count="90">
        <n v="0"/>
        <n v="56"/>
        <n v="123"/>
        <n v="179"/>
        <n v="91"/>
        <n v="93"/>
        <n v="75"/>
        <n v="88"/>
        <n v="156"/>
        <n v="67"/>
        <n v="119"/>
        <n v="117"/>
        <n v="42"/>
        <n v="150"/>
        <n v="148"/>
        <n v="71"/>
        <n v="47"/>
        <n v="28"/>
        <n v="159"/>
        <n v="138"/>
        <n v="85"/>
        <n v="129"/>
        <n v="72"/>
        <n v="135"/>
        <n v="175"/>
        <n v="15"/>
        <n v="40"/>
        <n v="23"/>
        <n v="116"/>
        <n v="92"/>
        <n v="136"/>
        <n v="157"/>
        <n v="158"/>
        <n v="160"/>
        <n v="89"/>
        <n v="149"/>
        <n v="112"/>
        <n v="104"/>
        <n v="144"/>
        <n v="161"/>
        <n v="178"/>
        <n v="35"/>
        <n v="103"/>
        <n v="108"/>
        <n v="163"/>
        <n v="147"/>
        <n v="96"/>
        <n v="24"/>
        <n v="118"/>
        <n v="180"/>
        <n v="50"/>
        <n v="63"/>
        <n v="142"/>
        <n v="90"/>
        <n v="141"/>
        <n v="48"/>
        <n v="38"/>
        <n v="41"/>
        <n v="37"/>
        <n v="76"/>
        <n v="18"/>
        <n v="106"/>
        <n v="22"/>
        <n v="20"/>
        <n v="78"/>
        <n v="81"/>
        <n v="34"/>
        <n v="107"/>
        <n v="137"/>
        <n v="61"/>
        <n v="57"/>
        <n v="131"/>
        <n v="44"/>
        <n v="170"/>
        <n v="64"/>
        <n v="55"/>
        <n v="97"/>
        <n v="155"/>
        <n v="49"/>
        <n v="52"/>
        <n v="36"/>
        <n v="79"/>
        <n v="105"/>
        <n v="164"/>
        <n v="39"/>
        <n v="73"/>
        <n v="121"/>
        <n v="151"/>
        <n v="53"/>
        <n v="74"/>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GATHA" refreshedDate="46087.965289351901" createdVersion="5" refreshedVersion="5" minRefreshableVersion="3" recordCount="500" xr:uid="{00000000-000A-0000-FFFF-FFFF01000000}">
  <cacheSource type="worksheet">
    <worksheetSource ref="A1:O501" sheet="💰 Revenue (2)"/>
  </cacheSource>
  <cacheFields count="15">
    <cacheField name="Revenue Id" numFmtId="0">
      <sharedItems count="500">
        <s v="REV001"/>
        <s v="REV002"/>
        <s v="REV003"/>
        <s v="REV004"/>
        <s v="REV005"/>
        <s v="REV006"/>
        <s v="REV007"/>
        <s v="REV008"/>
        <s v="REV009"/>
        <s v="REV010"/>
        <s v="REV011"/>
        <s v="REV012"/>
        <s v="REV013"/>
        <s v="REV014"/>
        <s v="REV015"/>
        <s v="REV016"/>
        <s v="REV017"/>
        <s v="REV018"/>
        <s v="REV019"/>
        <s v="REV020"/>
        <s v="REV021"/>
        <s v="REV022"/>
        <s v="REV023"/>
        <s v="REV024"/>
        <s v="REV025"/>
        <s v="REV026"/>
        <s v="REV027"/>
        <s v="REV028"/>
        <s v="REV029"/>
        <s v="REV030"/>
        <s v="REV031"/>
        <s v="REV032"/>
        <s v="REV033"/>
        <s v="REV034"/>
        <s v="REV035"/>
        <s v="REV036"/>
        <s v="REV037"/>
        <s v="REV038"/>
        <s v="REV039"/>
        <s v="REV040"/>
        <s v="REV041"/>
        <s v="REV042"/>
        <s v="REV043"/>
        <s v="REV044"/>
        <s v="REV045"/>
        <s v="REV046"/>
        <s v="REV047"/>
        <s v="REV048"/>
        <s v="REV049"/>
        <s v="REV050"/>
        <s v="REV051"/>
        <s v="REV052"/>
        <s v="REV053"/>
        <s v="REV054"/>
        <s v="REV055"/>
        <s v="REV056"/>
        <s v="REV057"/>
        <s v="REV058"/>
        <s v="REV059"/>
        <s v="REV060"/>
        <s v="REV061"/>
        <s v="REV062"/>
        <s v="REV063"/>
        <s v="REV064"/>
        <s v="REV065"/>
        <s v="REV066"/>
        <s v="REV067"/>
        <s v="REV068"/>
        <s v="REV069"/>
        <s v="REV070"/>
        <s v="REV071"/>
        <s v="REV072"/>
        <s v="REV073"/>
        <s v="REV074"/>
        <s v="REV075"/>
        <s v="REV076"/>
        <s v="REV077"/>
        <s v="REV078"/>
        <s v="REV079"/>
        <s v="REV080"/>
        <s v="REV081"/>
        <s v="REV082"/>
        <s v="REV083"/>
        <s v="REV084"/>
        <s v="REV085"/>
        <s v="REV086"/>
        <s v="REV087"/>
        <s v="REV088"/>
        <s v="REV089"/>
        <s v="REV090"/>
        <s v="REV091"/>
        <s v="REV092"/>
        <s v="REV093"/>
        <s v="REV094"/>
        <s v="REV095"/>
        <s v="REV096"/>
        <s v="REV097"/>
        <s v="REV098"/>
        <s v="REV099"/>
        <s v="REV100"/>
        <s v="REV101"/>
        <s v="REV102"/>
        <s v="REV103"/>
        <s v="REV104"/>
        <s v="REV105"/>
        <s v="REV106"/>
        <s v="REV107"/>
        <s v="REV108"/>
        <s v="REV109"/>
        <s v="REV110"/>
        <s v="REV111"/>
        <s v="REV112"/>
        <s v="REV113"/>
        <s v="REV114"/>
        <s v="REV115"/>
        <s v="REV116"/>
        <s v="REV117"/>
        <s v="REV118"/>
        <s v="REV119"/>
        <s v="REV120"/>
        <s v="REV121"/>
        <s v="REV122"/>
        <s v="REV123"/>
        <s v="REV124"/>
        <s v="REV125"/>
        <s v="REV126"/>
        <s v="REV127"/>
        <s v="REV128"/>
        <s v="REV129"/>
        <s v="REV130"/>
        <s v="REV131"/>
        <s v="REV132"/>
        <s v="REV133"/>
        <s v="REV134"/>
        <s v="REV135"/>
        <s v="REV136"/>
        <s v="REV137"/>
        <s v="REV138"/>
        <s v="REV139"/>
        <s v="REV140"/>
        <s v="REV141"/>
        <s v="REV142"/>
        <s v="REV143"/>
        <s v="REV144"/>
        <s v="REV145"/>
        <s v="REV146"/>
        <s v="REV147"/>
        <s v="REV148"/>
        <s v="REV149"/>
        <s v="REV150"/>
        <s v="REV151"/>
        <s v="REV152"/>
        <s v="REV153"/>
        <s v="REV154"/>
        <s v="REV155"/>
        <s v="REV156"/>
        <s v="REV157"/>
        <s v="REV158"/>
        <s v="REV159"/>
        <s v="REV160"/>
        <s v="REV161"/>
        <s v="REV162"/>
        <s v="REV163"/>
        <s v="REV164"/>
        <s v="REV165"/>
        <s v="REV166"/>
        <s v="REV167"/>
        <s v="REV168"/>
        <s v="REV169"/>
        <s v="REV170"/>
        <s v="REV171"/>
        <s v="REV172"/>
        <s v="REV173"/>
        <s v="REV174"/>
        <s v="REV175"/>
        <s v="REV176"/>
        <s v="REV177"/>
        <s v="REV178"/>
        <s v="REV179"/>
        <s v="REV180"/>
        <s v="REV181"/>
        <s v="REV182"/>
        <s v="REV183"/>
        <s v="REV184"/>
        <s v="REV185"/>
        <s v="REV186"/>
        <s v="REV187"/>
        <s v="REV188"/>
        <s v="REV189"/>
        <s v="REV190"/>
        <s v="REV191"/>
        <s v="REV192"/>
        <s v="REV193"/>
        <s v="REV194"/>
        <s v="REV195"/>
        <s v="REV196"/>
        <s v="REV197"/>
        <s v="REV198"/>
        <s v="REV199"/>
        <s v="REV200"/>
        <s v="REV201"/>
        <s v="REV202"/>
        <s v="REV203"/>
        <s v="REV204"/>
        <s v="REV205"/>
        <s v="REV206"/>
        <s v="REV207"/>
        <s v="REV208"/>
        <s v="REV209"/>
        <s v="REV210"/>
        <s v="REV211"/>
        <s v="REV212"/>
        <s v="REV213"/>
        <s v="REV214"/>
        <s v="REV215"/>
        <s v="REV216"/>
        <s v="REV217"/>
        <s v="REV218"/>
        <s v="REV219"/>
        <s v="REV220"/>
        <s v="REV221"/>
        <s v="REV222"/>
        <s v="REV223"/>
        <s v="REV224"/>
        <s v="REV225"/>
        <s v="REV226"/>
        <s v="REV227"/>
        <s v="REV228"/>
        <s v="REV229"/>
        <s v="REV230"/>
        <s v="REV231"/>
        <s v="REV232"/>
        <s v="REV233"/>
        <s v="REV234"/>
        <s v="REV235"/>
        <s v="REV236"/>
        <s v="REV237"/>
        <s v="REV238"/>
        <s v="REV239"/>
        <s v="REV240"/>
        <s v="REV241"/>
        <s v="REV242"/>
        <s v="REV243"/>
        <s v="REV244"/>
        <s v="REV245"/>
        <s v="REV246"/>
        <s v="REV247"/>
        <s v="REV248"/>
        <s v="REV249"/>
        <s v="REV250"/>
        <s v="REV251"/>
        <s v="REV252"/>
        <s v="REV253"/>
        <s v="REV254"/>
        <s v="REV255"/>
        <s v="REV256"/>
        <s v="REV257"/>
        <s v="REV258"/>
        <s v="REV259"/>
        <s v="REV260"/>
        <s v="REV261"/>
        <s v="REV262"/>
        <s v="REV263"/>
        <s v="REV264"/>
        <s v="REV265"/>
        <s v="REV266"/>
        <s v="REV267"/>
        <s v="REV268"/>
        <s v="REV269"/>
        <s v="REV270"/>
        <s v="REV271"/>
        <s v="REV272"/>
        <s v="REV273"/>
        <s v="REV274"/>
        <s v="REV275"/>
        <s v="REV276"/>
        <s v="REV277"/>
        <s v="REV278"/>
        <s v="REV279"/>
        <s v="REV280"/>
        <s v="REV281"/>
        <s v="REV282"/>
        <s v="REV283"/>
        <s v="REV284"/>
        <s v="REV285"/>
        <s v="REV286"/>
        <s v="REV287"/>
        <s v="REV288"/>
        <s v="REV289"/>
        <s v="REV290"/>
        <s v="REV291"/>
        <s v="REV292"/>
        <s v="REV293"/>
        <s v="REV294"/>
        <s v="REV295"/>
        <s v="REV296"/>
        <s v="REV297"/>
        <s v="REV298"/>
        <s v="REV299"/>
        <s v="REV300"/>
        <s v="REV301"/>
        <s v="REV302"/>
        <s v="REV303"/>
        <s v="REV304"/>
        <s v="REV305"/>
        <s v="REV306"/>
        <s v="REV307"/>
        <s v="REV308"/>
        <s v="REV309"/>
        <s v="REV310"/>
        <s v="REV311"/>
        <s v="REV312"/>
        <s v="REV313"/>
        <s v="REV314"/>
        <s v="REV315"/>
        <s v="REV316"/>
        <s v="REV317"/>
        <s v="REV318"/>
        <s v="REV319"/>
        <s v="REV320"/>
        <s v="REV321"/>
        <s v="REV322"/>
        <s v="REV323"/>
        <s v="REV324"/>
        <s v="REV325"/>
        <s v="REV326"/>
        <s v="REV327"/>
        <s v="REV328"/>
        <s v="REV329"/>
        <s v="REV330"/>
        <s v="REV331"/>
        <s v="REV332"/>
        <s v="REV333"/>
        <s v="REV334"/>
        <s v="REV335"/>
        <s v="REV336"/>
        <s v="REV337"/>
        <s v="REV338"/>
        <s v="REV339"/>
        <s v="REV340"/>
        <s v="REV341"/>
        <s v="REV342"/>
        <s v="REV343"/>
        <s v="REV344"/>
        <s v="REV345"/>
        <s v="REV346"/>
        <s v="REV347"/>
        <s v="REV348"/>
        <s v="REV349"/>
        <s v="REV350"/>
        <s v="REV351"/>
        <s v="REV352"/>
        <s v="REV353"/>
        <s v="REV354"/>
        <s v="REV355"/>
        <s v="REV356"/>
        <s v="REV357"/>
        <s v="REV358"/>
        <s v="REV359"/>
        <s v="REV360"/>
        <s v="REV361"/>
        <s v="REV362"/>
        <s v="REV363"/>
        <s v="REV364"/>
        <s v="REV365"/>
        <s v="REV366"/>
        <s v="REV367"/>
        <s v="REV368"/>
        <s v="REV369"/>
        <s v="REV370"/>
        <s v="REV371"/>
        <s v="REV372"/>
        <s v="REV373"/>
        <s v="REV374"/>
        <s v="REV375"/>
        <s v="REV376"/>
        <s v="REV377"/>
        <s v="REV378"/>
        <s v="REV379"/>
        <s v="REV380"/>
        <s v="REV381"/>
        <s v="REV382"/>
        <s v="REV383"/>
        <s v="REV384"/>
        <s v="REV385"/>
        <s v="REV386"/>
        <s v="REV387"/>
        <s v="REV388"/>
        <s v="REV389"/>
        <s v="REV390"/>
        <s v="REV391"/>
        <s v="REV392"/>
        <s v="REV393"/>
        <s v="REV394"/>
        <s v="REV395"/>
        <s v="REV396"/>
        <s v="REV397"/>
        <s v="REV398"/>
        <s v="REV399"/>
        <s v="REV400"/>
        <s v="REV401"/>
        <s v="REV402"/>
        <s v="REV403"/>
        <s v="REV404"/>
        <s v="REV405"/>
        <s v="REV406"/>
        <s v="REV407"/>
        <s v="REV408"/>
        <s v="REV409"/>
        <s v="REV410"/>
        <s v="REV411"/>
        <s v="REV412"/>
        <s v="REV413"/>
        <s v="REV414"/>
        <s v="REV415"/>
        <s v="REV416"/>
        <s v="REV417"/>
        <s v="REV418"/>
        <s v="REV419"/>
        <s v="REV420"/>
        <s v="REV421"/>
        <s v="REV422"/>
        <s v="REV423"/>
        <s v="REV424"/>
        <s v="REV425"/>
        <s v="REV426"/>
        <s v="REV427"/>
        <s v="REV428"/>
        <s v="REV429"/>
        <s v="REV430"/>
        <s v="REV431"/>
        <s v="REV432"/>
        <s v="REV433"/>
        <s v="REV434"/>
        <s v="REV435"/>
        <s v="REV436"/>
        <s v="REV437"/>
        <s v="REV438"/>
        <s v="REV439"/>
        <s v="REV440"/>
        <s v="REV441"/>
        <s v="REV442"/>
        <s v="REV443"/>
        <s v="REV444"/>
        <s v="REV445"/>
        <s v="REV446"/>
        <s v="REV447"/>
        <s v="REV448"/>
        <s v="REV449"/>
        <s v="REV450"/>
        <s v="REV451"/>
        <s v="REV452"/>
        <s v="REV453"/>
        <s v="REV454"/>
        <s v="REV455"/>
        <s v="REV456"/>
        <s v="REV457"/>
        <s v="REV458"/>
        <s v="REV459"/>
        <s v="REV460"/>
        <s v="REV461"/>
        <s v="REV462"/>
        <s v="REV463"/>
        <s v="REV464"/>
        <s v="REV465"/>
        <s v="REV466"/>
        <s v="REV467"/>
        <s v="REV468"/>
        <s v="REV469"/>
        <s v="REV470"/>
        <s v="REV471"/>
        <s v="REV472"/>
        <s v="REV473"/>
        <s v="REV474"/>
        <s v="REV475"/>
        <s v="REV476"/>
        <s v="REV477"/>
        <s v="REV478"/>
        <s v="REV479"/>
        <s v="REV480"/>
        <s v="REV481"/>
        <s v="REV482"/>
        <s v="REV483"/>
        <s v="REV484"/>
        <s v="REV485"/>
        <s v="REV486"/>
        <s v="REV487"/>
        <s v="REV488"/>
        <s v="REV489"/>
        <s v="REV490"/>
        <s v="REV491"/>
        <s v="REV492"/>
        <s v="REV493"/>
        <s v="REV494"/>
        <s v="REV495"/>
        <s v="REV496"/>
        <s v="REV497"/>
        <s v="REV498"/>
        <s v="REV499"/>
        <s v="REV500"/>
      </sharedItems>
    </cacheField>
    <cacheField name="Flight Id" numFmtId="0">
      <sharedItems count="500">
        <s v="FL001"/>
        <s v="FL002"/>
        <s v="FL003"/>
        <s v="FL004"/>
        <s v="FL005"/>
        <s v="FL006"/>
        <s v="FL007"/>
        <s v="FL008"/>
        <s v="FL009"/>
        <s v="FL010"/>
        <s v="FL011"/>
        <s v="FL012"/>
        <s v="FL013"/>
        <s v="FL014"/>
        <s v="FL015"/>
        <s v="FL016"/>
        <s v="FL017"/>
        <s v="FL018"/>
        <s v="FL019"/>
        <s v="FL020"/>
        <s v="FL021"/>
        <s v="FL022"/>
        <s v="FL023"/>
        <s v="FL024"/>
        <s v="FL025"/>
        <s v="FL026"/>
        <s v="FL027"/>
        <s v="FL028"/>
        <s v="FL029"/>
        <s v="FL030"/>
        <s v="FL031"/>
        <s v="FL032"/>
        <s v="FL033"/>
        <s v="FL034"/>
        <s v="FL035"/>
        <s v="FL036"/>
        <s v="FL037"/>
        <s v="FL038"/>
        <s v="FL039"/>
        <s v="FL040"/>
        <s v="FL041"/>
        <s v="FL042"/>
        <s v="FL043"/>
        <s v="FL044"/>
        <s v="FL045"/>
        <s v="FL046"/>
        <s v="FL047"/>
        <s v="FL048"/>
        <s v="FL049"/>
        <s v="FL050"/>
        <s v="FL051"/>
        <s v="FL052"/>
        <s v="FL053"/>
        <s v="FL054"/>
        <s v="FL055"/>
        <s v="FL056"/>
        <s v="FL057"/>
        <s v="FL058"/>
        <s v="FL059"/>
        <s v="FL060"/>
        <s v="FL061"/>
        <s v="FL062"/>
        <s v="FL063"/>
        <s v="FL064"/>
        <s v="FL065"/>
        <s v="FL066"/>
        <s v="FL067"/>
        <s v="FL068"/>
        <s v="FL069"/>
        <s v="FL070"/>
        <s v="FL071"/>
        <s v="FL072"/>
        <s v="FL073"/>
        <s v="FL074"/>
        <s v="FL075"/>
        <s v="FL076"/>
        <s v="FL077"/>
        <s v="FL078"/>
        <s v="FL079"/>
        <s v="FL080"/>
        <s v="FL081"/>
        <s v="FL082"/>
        <s v="FL083"/>
        <s v="FL084"/>
        <s v="FL085"/>
        <s v="FL086"/>
        <s v="FL087"/>
        <s v="FL088"/>
        <s v="FL089"/>
        <s v="FL090"/>
        <s v="FL091"/>
        <s v="FL092"/>
        <s v="FL093"/>
        <s v="FL094"/>
        <s v="FL095"/>
        <s v="FL096"/>
        <s v="FL097"/>
        <s v="FL098"/>
        <s v="FL099"/>
        <s v="FL100"/>
        <s v="FL101"/>
        <s v="FL102"/>
        <s v="FL103"/>
        <s v="FL104"/>
        <s v="FL105"/>
        <s v="FL106"/>
        <s v="FL107"/>
        <s v="FL108"/>
        <s v="FL109"/>
        <s v="FL110"/>
        <s v="FL111"/>
        <s v="FL112"/>
        <s v="FL113"/>
        <s v="FL114"/>
        <s v="FL115"/>
        <s v="FL116"/>
        <s v="FL117"/>
        <s v="FL118"/>
        <s v="FL119"/>
        <s v="FL120"/>
        <s v="FL121"/>
        <s v="FL122"/>
        <s v="FL123"/>
        <s v="FL124"/>
        <s v="FL125"/>
        <s v="FL126"/>
        <s v="FL127"/>
        <s v="FL128"/>
        <s v="FL129"/>
        <s v="FL130"/>
        <s v="FL131"/>
        <s v="FL132"/>
        <s v="FL133"/>
        <s v="FL134"/>
        <s v="FL135"/>
        <s v="FL136"/>
        <s v="FL137"/>
        <s v="FL138"/>
        <s v="FL139"/>
        <s v="FL140"/>
        <s v="FL141"/>
        <s v="FL142"/>
        <s v="FL143"/>
        <s v="FL144"/>
        <s v="FL145"/>
        <s v="FL146"/>
        <s v="FL147"/>
        <s v="FL148"/>
        <s v="FL149"/>
        <s v="FL150"/>
        <s v="FL151"/>
        <s v="FL152"/>
        <s v="FL153"/>
        <s v="FL154"/>
        <s v="FL155"/>
        <s v="FL156"/>
        <s v="FL157"/>
        <s v="FL158"/>
        <s v="FL159"/>
        <s v="FL160"/>
        <s v="FL161"/>
        <s v="FL162"/>
        <s v="FL163"/>
        <s v="FL164"/>
        <s v="FL165"/>
        <s v="FL166"/>
        <s v="FL167"/>
        <s v="FL168"/>
        <s v="FL169"/>
        <s v="FL170"/>
        <s v="FL171"/>
        <s v="FL172"/>
        <s v="FL173"/>
        <s v="FL174"/>
        <s v="FL175"/>
        <s v="FL176"/>
        <s v="FL177"/>
        <s v="FL178"/>
        <s v="FL179"/>
        <s v="FL180"/>
        <s v="FL181"/>
        <s v="FL182"/>
        <s v="FL183"/>
        <s v="FL184"/>
        <s v="FL185"/>
        <s v="FL186"/>
        <s v="FL187"/>
        <s v="FL188"/>
        <s v="FL189"/>
        <s v="FL190"/>
        <s v="FL191"/>
        <s v="FL192"/>
        <s v="FL193"/>
        <s v="FL194"/>
        <s v="FL195"/>
        <s v="FL196"/>
        <s v="FL197"/>
        <s v="FL198"/>
        <s v="FL199"/>
        <s v="FL200"/>
        <s v="FL201"/>
        <s v="FL202"/>
        <s v="FL203"/>
        <s v="FL204"/>
        <s v="FL205"/>
        <s v="FL206"/>
        <s v="FL207"/>
        <s v="FL208"/>
        <s v="FL209"/>
        <s v="FL210"/>
        <s v="FL211"/>
        <s v="FL212"/>
        <s v="FL213"/>
        <s v="FL214"/>
        <s v="FL215"/>
        <s v="FL216"/>
        <s v="FL217"/>
        <s v="FL218"/>
        <s v="FL219"/>
        <s v="FL220"/>
        <s v="FL221"/>
        <s v="FL222"/>
        <s v="FL223"/>
        <s v="FL224"/>
        <s v="FL225"/>
        <s v="FL226"/>
        <s v="FL227"/>
        <s v="FL228"/>
        <s v="FL229"/>
        <s v="FL230"/>
        <s v="FL231"/>
        <s v="FL232"/>
        <s v="FL233"/>
        <s v="FL234"/>
        <s v="FL235"/>
        <s v="FL236"/>
        <s v="FL237"/>
        <s v="FL238"/>
        <s v="FL239"/>
        <s v="FL240"/>
        <s v="FL241"/>
        <s v="FL242"/>
        <s v="FL243"/>
        <s v="FL244"/>
        <s v="FL245"/>
        <s v="FL246"/>
        <s v="FL247"/>
        <s v="FL248"/>
        <s v="FL249"/>
        <s v="FL250"/>
        <s v="FL251"/>
        <s v="FL252"/>
        <s v="FL253"/>
        <s v="FL254"/>
        <s v="FL255"/>
        <s v="FL256"/>
        <s v="FL257"/>
        <s v="FL258"/>
        <s v="FL259"/>
        <s v="FL260"/>
        <s v="FL261"/>
        <s v="FL262"/>
        <s v="FL263"/>
        <s v="FL264"/>
        <s v="FL265"/>
        <s v="FL266"/>
        <s v="FL267"/>
        <s v="FL268"/>
        <s v="FL269"/>
        <s v="FL270"/>
        <s v="FL271"/>
        <s v="FL272"/>
        <s v="FL273"/>
        <s v="FL274"/>
        <s v="FL275"/>
        <s v="FL276"/>
        <s v="FL277"/>
        <s v="FL278"/>
        <s v="FL279"/>
        <s v="FL280"/>
        <s v="FL281"/>
        <s v="FL282"/>
        <s v="FL283"/>
        <s v="FL284"/>
        <s v="FL285"/>
        <s v="FL286"/>
        <s v="FL287"/>
        <s v="FL288"/>
        <s v="FL289"/>
        <s v="FL290"/>
        <s v="FL291"/>
        <s v="FL292"/>
        <s v="FL293"/>
        <s v="FL294"/>
        <s v="FL295"/>
        <s v="FL296"/>
        <s v="FL297"/>
        <s v="FL298"/>
        <s v="FL299"/>
        <s v="FL300"/>
        <s v="FL301"/>
        <s v="FL302"/>
        <s v="FL303"/>
        <s v="FL304"/>
        <s v="FL305"/>
        <s v="FL306"/>
        <s v="FL307"/>
        <s v="FL308"/>
        <s v="FL309"/>
        <s v="FL310"/>
        <s v="FL311"/>
        <s v="FL312"/>
        <s v="FL313"/>
        <s v="FL314"/>
        <s v="FL315"/>
        <s v="FL316"/>
        <s v="FL317"/>
        <s v="FL318"/>
        <s v="FL319"/>
        <s v="FL320"/>
        <s v="FL321"/>
        <s v="FL322"/>
        <s v="FL323"/>
        <s v="FL324"/>
        <s v="FL325"/>
        <s v="FL326"/>
        <s v="FL327"/>
        <s v="FL328"/>
        <s v="FL329"/>
        <s v="FL330"/>
        <s v="FL331"/>
        <s v="FL332"/>
        <s v="FL333"/>
        <s v="FL334"/>
        <s v="FL335"/>
        <s v="FL336"/>
        <s v="FL337"/>
        <s v="FL338"/>
        <s v="FL339"/>
        <s v="FL340"/>
        <s v="FL341"/>
        <s v="FL342"/>
        <s v="FL343"/>
        <s v="FL344"/>
        <s v="FL345"/>
        <s v="FL346"/>
        <s v="FL347"/>
        <s v="FL348"/>
        <s v="FL349"/>
        <s v="FL350"/>
        <s v="FL351"/>
        <s v="FL352"/>
        <s v="FL353"/>
        <s v="FL354"/>
        <s v="FL355"/>
        <s v="FL356"/>
        <s v="FL357"/>
        <s v="FL358"/>
        <s v="FL359"/>
        <s v="FL360"/>
        <s v="FL361"/>
        <s v="FL362"/>
        <s v="FL363"/>
        <s v="FL364"/>
        <s v="FL365"/>
        <s v="FL366"/>
        <s v="FL367"/>
        <s v="FL368"/>
        <s v="FL369"/>
        <s v="FL370"/>
        <s v="FL371"/>
        <s v="FL372"/>
        <s v="FL373"/>
        <s v="FL374"/>
        <s v="FL375"/>
        <s v="FL376"/>
        <s v="FL377"/>
        <s v="FL378"/>
        <s v="FL379"/>
        <s v="FL380"/>
        <s v="FL381"/>
        <s v="FL382"/>
        <s v="FL383"/>
        <s v="FL384"/>
        <s v="FL385"/>
        <s v="FL386"/>
        <s v="FL387"/>
        <s v="FL388"/>
        <s v="FL389"/>
        <s v="FL390"/>
        <s v="FL391"/>
        <s v="FL392"/>
        <s v="FL393"/>
        <s v="FL394"/>
        <s v="FL395"/>
        <s v="FL396"/>
        <s v="FL397"/>
        <s v="FL398"/>
        <s v="FL399"/>
        <s v="FL400"/>
        <s v="FL401"/>
        <s v="FL402"/>
        <s v="FL403"/>
        <s v="FL404"/>
        <s v="FL405"/>
        <s v="FL406"/>
        <s v="FL407"/>
        <s v="FL408"/>
        <s v="FL409"/>
        <s v="FL410"/>
        <s v="FL411"/>
        <s v="FL412"/>
        <s v="FL413"/>
        <s v="FL414"/>
        <s v="FL415"/>
        <s v="FL416"/>
        <s v="FL417"/>
        <s v="FL418"/>
        <s v="FL419"/>
        <s v="FL420"/>
        <s v="FL421"/>
        <s v="FL422"/>
        <s v="FL423"/>
        <s v="FL424"/>
        <s v="FL425"/>
        <s v="FL426"/>
        <s v="FL427"/>
        <s v="FL428"/>
        <s v="FL429"/>
        <s v="FL430"/>
        <s v="FL431"/>
        <s v="FL432"/>
        <s v="FL433"/>
        <s v="FL434"/>
        <s v="FL435"/>
        <s v="FL436"/>
        <s v="FL437"/>
        <s v="FL438"/>
        <s v="FL439"/>
        <s v="FL440"/>
        <s v="FL441"/>
        <s v="FL442"/>
        <s v="FL443"/>
        <s v="FL444"/>
        <s v="FL445"/>
        <s v="FL446"/>
        <s v="FL447"/>
        <s v="FL448"/>
        <s v="FL449"/>
        <s v="FL450"/>
        <s v="FL451"/>
        <s v="FL452"/>
        <s v="FL453"/>
        <s v="FL454"/>
        <s v="FL455"/>
        <s v="FL456"/>
        <s v="FL457"/>
        <s v="FL458"/>
        <s v="FL459"/>
        <s v="FL460"/>
        <s v="FL461"/>
        <s v="FL462"/>
        <s v="FL463"/>
        <s v="FL464"/>
        <s v="FL465"/>
        <s v="FL466"/>
        <s v="FL467"/>
        <s v="FL468"/>
        <s v="FL469"/>
        <s v="FL470"/>
        <s v="FL471"/>
        <s v="FL472"/>
        <s v="FL473"/>
        <s v="FL474"/>
        <s v="FL475"/>
        <s v="FL476"/>
        <s v="FL477"/>
        <s v="FL478"/>
        <s v="FL479"/>
        <s v="FL480"/>
        <s v="FL481"/>
        <s v="FL482"/>
        <s v="FL483"/>
        <s v="FL484"/>
        <s v="FL485"/>
        <s v="FL486"/>
        <s v="FL487"/>
        <s v="FL488"/>
        <s v="FL489"/>
        <s v="FL490"/>
        <s v="FL491"/>
        <s v="FL492"/>
        <s v="FL493"/>
        <s v="FL494"/>
        <s v="FL495"/>
        <s v="FL496"/>
        <s v="FL497"/>
        <s v="FL498"/>
        <s v="FL499"/>
        <s v="FL500"/>
      </sharedItems>
    </cacheField>
    <cacheField name="Airport Code" numFmtId="0">
      <sharedItems count="20">
        <s v="BOS"/>
        <s v="DEN"/>
        <s v="MIA"/>
        <s v="SAN"/>
        <s v="ORD"/>
        <s v="SFO"/>
        <s v="EWR"/>
        <s v="MSP"/>
        <s v="LAS"/>
        <s v="DFW"/>
        <s v="IAH"/>
        <s v="LAX"/>
        <s v="PHX"/>
        <s v="MCO"/>
        <s v="ATL"/>
        <s v="JFK"/>
        <s v="CLT"/>
        <s v="DTW"/>
        <s v="SEA"/>
        <s v="MDW"/>
      </sharedItems>
    </cacheField>
    <cacheField name="Airline" numFmtId="0">
      <sharedItems containsMixedTypes="1" containsNumber="1" containsInteger="1" count="9">
        <s v="Delta"/>
        <s v="Southwest"/>
        <s v="Alaska"/>
        <s v="American"/>
        <s v="Spirit"/>
        <s v="United"/>
        <s v="Frontier"/>
        <s v="Jetblue"/>
        <n v="0" u="1"/>
      </sharedItems>
    </cacheField>
    <cacheField name="Total Revenue" numFmtId="0">
      <sharedItems containsSemiMixedTypes="0" containsString="0" containsNumber="1" minValue="0" maxValue="365148.93" count="500">
        <n v="87141.6"/>
        <n v="138464.57999999999"/>
        <n v="70276.88"/>
        <n v="140386.79999999999"/>
        <n v="125593.16"/>
        <n v="18876.46"/>
        <n v="118049.56"/>
        <n v="44204.93"/>
        <n v="93999.6"/>
        <n v="109804.53"/>
        <n v="45213.63"/>
        <n v="116314.425"/>
        <n v="48149.58"/>
        <n v="95556.404999999999"/>
        <n v="62612.46"/>
        <n v="86735.52"/>
        <n v="81698.175000000003"/>
        <n v="53328.15"/>
        <n v="62194.217499999999"/>
        <n v="79062.75"/>
        <n v="64344.15"/>
        <n v="39878.400000000001"/>
        <n v="52073.37"/>
        <n v="61067.76"/>
        <n v="25737.66"/>
        <n v="60480.57"/>
        <n v="58322.16"/>
        <n v="83380.98"/>
        <n v="101727.405"/>
        <n v="169259.79"/>
        <n v="31121.07"/>
        <n v="37423.870000000003"/>
        <n v="232920.98"/>
        <n v="34683.03"/>
        <n v="63704.38"/>
        <n v="83227.320000000007"/>
        <n v="129843.32"/>
        <n v="26954.400000000001"/>
        <n v="18016.259999999998"/>
        <n v="93035.88"/>
        <n v="111559.28"/>
        <n v="30562.05"/>
        <n v="61989.52"/>
        <n v="195777.54"/>
        <n v="76280.88"/>
        <n v="31362.799999999999"/>
        <n v="19577.16"/>
        <n v="106298.3"/>
        <n v="42023.63"/>
        <n v="114588.63"/>
        <n v="213391.25"/>
        <n v="297300.47999999998"/>
        <n v="179328.24"/>
        <n v="57765.4"/>
        <n v="199765.1"/>
        <n v="68075.399999999994"/>
        <n v="104765.12"/>
        <n v="36238.400000000001"/>
        <n v="40514.910000000003"/>
        <n v="36361.5"/>
        <n v="142418.07999999999"/>
        <n v="77555"/>
        <n v="27071.55"/>
        <n v="29548.2"/>
        <n v="20477.439999999999"/>
        <n v="199900.79999999999"/>
        <n v="163742.76"/>
        <n v="308717.64"/>
        <n v="87422.28"/>
        <n v="365148.93"/>
        <n v="65558.64"/>
        <n v="65918.16"/>
        <n v="158696.85"/>
        <n v="105107.01"/>
        <n v="99748.66"/>
        <n v="112144.52"/>
        <n v="27218.560000000001"/>
        <n v="252291.12"/>
        <n v="76982.8"/>
        <n v="38999.879999999997"/>
        <n v="50353.81"/>
        <n v="58066.18"/>
        <n v="28122.45"/>
        <n v="257246.12"/>
        <n v="46761.644999999997"/>
        <n v="54040.74"/>
        <n v="123953.08"/>
        <n v="103362.68"/>
        <n v="231141.19"/>
        <n v="18697.14"/>
        <n v="116022.96"/>
        <n v="109695.18"/>
        <n v="19605"/>
        <n v="19118.689999999999"/>
        <n v="17535.63"/>
        <n v="284717.5"/>
        <n v="37746"/>
        <n v="137540.88"/>
        <n v="47392.2"/>
        <n v="81736.5"/>
        <n v="163045.4"/>
        <n v="69817.14"/>
        <n v="18931.12"/>
        <n v="61419.4"/>
        <n v="100875.63"/>
        <n v="69119.759999999995"/>
        <n v="35495.15"/>
        <n v="57664.62"/>
        <n v="204929.76"/>
        <n v="139897.85"/>
        <n v="85122.9"/>
        <n v="30990.54"/>
        <n v="104019.5"/>
        <n v="9622.31"/>
        <n v="81560.539999999994"/>
        <n v="27820.639999999999"/>
        <n v="150700.24"/>
        <n v="112213.08"/>
        <n v="57716.2"/>
        <n v="341302.38"/>
        <n v="133756.56"/>
        <n v="51730.12"/>
        <n v="141069.6"/>
        <n v="60657.120000000003"/>
        <n v="81252.240000000005"/>
        <n v="63275.11"/>
        <n v="192489.3"/>
        <n v="22500.400000000001"/>
        <n v="62992.35"/>
        <n v="27888.2"/>
        <n v="61438.33"/>
        <n v="173725.16"/>
        <n v="222994.72"/>
        <n v="65053.440000000002"/>
        <n v="74697.36"/>
        <n v="15101.52"/>
        <n v="100690.53"/>
        <n v="166942.62"/>
        <n v="137009.65"/>
        <n v="19841.64"/>
        <n v="26465.4"/>
        <n v="78930.503343023302"/>
        <n v="184357.02"/>
        <n v="58183.86"/>
        <n v="66115.31"/>
        <n v="205097.62"/>
        <n v="23080"/>
        <n v="25791.24"/>
        <n v="78233.399999999994"/>
        <n v="161764.98000000001"/>
        <n v="68608.822136627903"/>
        <n v="79889.399999999994"/>
        <n v="80116.399999999994"/>
        <n v="32891.43"/>
        <n v="66532.95"/>
        <n v="94875.3"/>
        <n v="185242.79"/>
        <n v="85203.72"/>
        <n v="14608.72"/>
        <n v="8536.64"/>
        <n v="76785.570000000007"/>
        <n v="154221.20000000001"/>
        <n v="130233.36"/>
        <n v="114188.76"/>
        <n v="84727.76"/>
        <n v="108757.51"/>
        <n v="200969.46"/>
        <n v="169912.05"/>
        <n v="129557.9"/>
        <n v="64647.26"/>
        <n v="106922.24000000001"/>
        <n v="40573.5"/>
        <n v="31375.5"/>
        <n v="32940.550000000003"/>
        <n v="76620.179999999993"/>
        <n v="21755.82"/>
        <n v="48052.02"/>
        <n v="54963.3"/>
        <n v="7741.18"/>
        <n v="16484.400000000001"/>
        <n v="92688.34"/>
        <n v="58421.96"/>
        <n v="92806.66"/>
        <n v="112509.46"/>
        <n v="95546.8"/>
        <n v="146142.1"/>
        <n v="17493.68"/>
        <n v="30145.8"/>
        <n v="281279.78999999998"/>
        <n v="77081.600000000006"/>
        <n v="171127.75"/>
        <n v="58447.35"/>
        <n v="47176.5"/>
        <n v="17299.71"/>
        <n v="31996.89"/>
        <n v="88656.8"/>
        <n v="63566.559999999998"/>
        <n v="13285.05"/>
        <n v="319202.99"/>
        <n v="8388.44"/>
        <n v="27092.400000000001"/>
        <n v="125191.57"/>
        <n v="59729.46"/>
        <n v="35896.18"/>
        <n v="55656.959999999999"/>
        <n v="65182.76"/>
        <n v="33163.53"/>
        <n v="200205.28"/>
        <n v="222928.98"/>
        <n v="59416.35"/>
        <n v="212420.88"/>
        <n v="19342.16"/>
        <n v="210606.48"/>
        <n v="170862.6"/>
        <n v="207124.48000000001"/>
        <n v="44069.7"/>
        <n v="77566.5"/>
        <n v="130095.16"/>
        <n v="38116.47"/>
        <n v="25459.360000000001"/>
        <n v="99984.960000000006"/>
        <n v="74297.64"/>
        <n v="81167.64"/>
        <n v="27236.79"/>
        <n v="50186.92"/>
        <n v="64413.599999999999"/>
        <n v="97776"/>
        <n v="146942.32"/>
        <n v="88434.17"/>
        <n v="126428.28"/>
        <n v="113368.32000000001"/>
        <n v="29463"/>
        <n v="123645.6"/>
        <n v="16307.84"/>
        <n v="44499.48"/>
        <n v="65700.14"/>
        <n v="44281.440000000002"/>
        <n v="46317.06"/>
        <n v="180975.64"/>
        <n v="36740.400000000001"/>
        <n v="114671.79"/>
        <n v="117345.69"/>
        <n v="8560.2000000000007"/>
        <n v="57880.75"/>
        <n v="200049.34"/>
        <n v="71982.38"/>
        <n v="61316.160000000003"/>
        <n v="140911.20000000001"/>
        <n v="17462.12"/>
        <n v="151728.57"/>
        <n v="16243.48"/>
        <n v="12902.75"/>
        <n v="46587"/>
        <n v="192510"/>
        <n v="58204.04"/>
        <n v="17200.05"/>
        <n v="58842.27"/>
        <n v="30562.66"/>
        <n v="7635.37"/>
        <n v="93455.11"/>
        <n v="46212.63"/>
        <n v="60152.95"/>
        <n v="48322.7"/>
        <n v="87124.13"/>
        <n v="103970.1"/>
        <n v="46915.64"/>
        <n v="156895.24"/>
        <n v="48981.48"/>
        <n v="15560.04"/>
        <n v="45914.44"/>
        <n v="97196.88"/>
        <n v="124023.75"/>
        <n v="242105.60000000001"/>
        <n v="127345.60000000001"/>
        <n v="77059.350000000006"/>
        <n v="99427.61"/>
        <n v="15960.68"/>
        <n v="14828.8"/>
        <n v="30981.75"/>
        <n v="172474.72"/>
        <n v="210034.14"/>
        <n v="29241.42"/>
        <n v="140062.79999999999"/>
        <n v="13811.26"/>
        <n v="23239.65"/>
        <n v="116616.1"/>
        <n v="76190.399999999994"/>
        <n v="36807.15"/>
        <n v="25284.27"/>
        <n v="54983.28"/>
        <n v="72589.14"/>
        <n v="17087.84"/>
        <n v="81188.73"/>
        <n v="85854.86"/>
        <n v="44173.29"/>
        <n v="68107.72"/>
        <n v="105855.2"/>
        <n v="60733.120000000003"/>
        <n v="43448.87"/>
        <n v="230594.08"/>
        <n v="23195.34"/>
        <n v="63907.88"/>
        <n v="118498.05"/>
        <n v="14424.6"/>
        <n v="52230.96"/>
        <n v="35925.519999999997"/>
        <n v="24963.84"/>
        <n v="45458.28"/>
        <n v="71084.160000000003"/>
        <n v="76328"/>
        <n v="16127.8"/>
        <n v="16313.22"/>
        <n v="19364.28"/>
        <n v="79612.800000000003"/>
        <n v="13425.3"/>
        <n v="166361.21473837199"/>
        <n v="156588.12"/>
        <n v="106460.25"/>
        <n v="12595.89"/>
        <n v="137569.12"/>
        <n v="326685"/>
        <n v="50402.79"/>
        <n v="46210.15"/>
        <n v="118192.5"/>
        <n v="107528.85"/>
        <n v="53367.32"/>
        <n v="65573.033546511695"/>
        <n v="92374.11"/>
        <n v="27174.51"/>
        <n v="59893.38"/>
        <n v="107511.66"/>
        <n v="117163.29807017501"/>
        <n v="121279.28"/>
        <n v="37592.54"/>
        <n v="34432.65"/>
        <n v="103139.29"/>
        <n v="25855.279999999999"/>
        <n v="7857.99"/>
        <n v="44785.48"/>
        <n v="65815.34"/>
        <n v="77618.8"/>
        <n v="180136.8"/>
        <n v="59579.22"/>
        <n v="72405.08"/>
        <n v="181549.5"/>
        <n v="43911.45"/>
        <n v="40574.400000000001"/>
        <n v="95598.720000000001"/>
        <n v="95481.36"/>
        <n v="21800.240000000002"/>
        <n v="51303.3"/>
        <n v="39849.75"/>
        <n v="105319.2"/>
        <n v="14132.3"/>
        <n v="28822.5"/>
        <n v="91700.18"/>
        <n v="141677.44"/>
        <n v="39683.599999999999"/>
        <n v="145286.39999999999"/>
        <n v="76727.97"/>
        <n v="40848.39"/>
        <n v="90658.62"/>
        <n v="15627.6"/>
        <n v="173916.66"/>
        <n v="107670.42"/>
        <n v="31726.639999999999"/>
        <n v="9897.6"/>
        <n v="137865.78"/>
        <n v="86260.35"/>
        <n v="55942.64"/>
        <n v="177709.44"/>
        <n v="39240.682500000003"/>
        <n v="60249"/>
        <n v="20231.64"/>
        <n v="157021.20000000001"/>
        <n v="69157.7"/>
        <n v="157546.16"/>
        <n v="63993.78"/>
        <n v="87518.88"/>
        <n v="92558.76"/>
        <n v="49052.85"/>
        <n v="91998.720000000001"/>
        <n v="46922.94"/>
        <n v="121097.3"/>
        <n v="89345.03"/>
        <n v="22369.439999999999"/>
        <n v="92599.9"/>
        <n v="150767.28"/>
        <n v="76334.7"/>
        <n v="131425.14000000001"/>
        <n v="61801.85"/>
        <n v="72832.399999999994"/>
        <n v="65857.94"/>
        <n v="123558.89"/>
        <n v="119708.9175"/>
        <n v="7776.63"/>
        <n v="67431.78"/>
        <n v="21976.35"/>
        <n v="42800.639999999999"/>
        <n v="105962.5"/>
        <n v="136085.04"/>
        <n v="65830.59"/>
        <n v="33594"/>
        <n v="24213"/>
        <n v="117586.76"/>
        <n v="161284.1"/>
        <n v="63416.52"/>
        <n v="226766.74"/>
        <n v="80255.28"/>
        <n v="147623.62"/>
        <n v="13106.14"/>
        <n v="8729.2800000000007"/>
        <n v="48844.38"/>
        <n v="104619.21"/>
        <n v="202685.44"/>
        <n v="13649.24"/>
        <n v="28678.720000000001"/>
        <n v="173475.72"/>
        <n v="162334.39999999999"/>
        <n v="77491.5"/>
        <n v="102600.96000000001"/>
        <n v="95364.33"/>
        <n v="184351.2"/>
        <n v="82290.78"/>
        <n v="49435.63"/>
        <n v="156111.74"/>
        <n v="37574.400000000001"/>
        <n v="162495.6"/>
        <n v="26700.959999999999"/>
        <n v="37964.21"/>
        <n v="27231.119999999999"/>
        <n v="76521.64"/>
        <n v="23688.03"/>
        <n v="29942.83"/>
        <n v="63527.519999999997"/>
        <n v="54505.279999999999"/>
        <n v="58461.3"/>
        <n v="16810.2"/>
        <n v="44732.7"/>
        <n v="139272"/>
        <n v="28219.919999999998"/>
        <n v="75374.33"/>
        <n v="246343.02"/>
        <n v="158821.88"/>
        <n v="221976.72"/>
        <n v="101072.56"/>
        <n v="149672.16"/>
        <n v="102515"/>
        <n v="149370.29999999999"/>
        <n v="45700.2"/>
        <n v="89840.07"/>
        <n v="182526.96"/>
        <n v="89882.1"/>
        <n v="26626.38"/>
        <n v="58592.38"/>
        <n v="52068.17"/>
        <n v="73337.759999999995"/>
        <n v="42540.08"/>
        <n v="39867.279999999999"/>
        <n v="149752.68"/>
        <n v="149841.65"/>
        <n v="208398.84"/>
        <n v="46104.83"/>
        <n v="57044.480000000003"/>
        <n v="172923.66"/>
        <n v="13528.64"/>
        <n v="152500.01"/>
        <n v="134910.82999999999"/>
        <n v="197893.26"/>
        <n v="113957.12"/>
        <n v="234544.02"/>
        <n v="62117.9"/>
        <n v="67075.12"/>
        <n v="8482.2199999999993"/>
        <n v="104902.92"/>
        <n v="105199.44"/>
        <n v="167636.82"/>
        <n v="57529.72"/>
        <n v="65166"/>
        <n v="105799.1"/>
        <n v="16853.93"/>
        <n v="9070"/>
        <n v="66927.7"/>
        <n v="38001.81"/>
        <n v="76672.259999999995"/>
        <n v="269451.39"/>
        <n v="54730.96"/>
        <n v="77702.8"/>
        <n v="54563.08"/>
        <n v="28935.94"/>
        <n v="43085.7"/>
        <n v="82065.350000000006"/>
        <n v="51350.04"/>
        <n v="38284.93"/>
        <n v="41125.26"/>
        <n v="48491.82"/>
        <n v="148437.96"/>
        <n v="145403.70000000001"/>
        <n v="50425.62"/>
        <n v="22404.720000000001"/>
      </sharedItems>
    </cacheField>
    <cacheField name="Revenue Per Mile" numFmtId="0">
      <sharedItems containsSemiMixedTypes="0" containsString="0" containsNumber="1" minValue="0" maxValue="631.18032786885306" count="500">
        <n v="121.198331015299"/>
        <n v="124.294955116697"/>
        <n v="59.506248941574903"/>
        <n v="173.10332922318099"/>
        <n v="200.628051118211"/>
        <n v="6.3901354096140803"/>
        <n v="95.355056542810999"/>
        <n v="31.9399783236994"/>
        <n v="191.05609756097601"/>
        <n v="316.43956772334298"/>
        <n v="32.8110522496372"/>
        <n v="71.490119852489201"/>
        <n v="21.026017467248899"/>
        <n v="38.100639952153102"/>
        <n v="111.41007117437699"/>
        <n v="147.00935593220299"/>
        <n v="117.21402439024401"/>
        <n v="40.461418816388502"/>
        <n v="20.933765567149099"/>
        <n v="81.173254620123203"/>
        <n v="24.080894461077801"/>
        <n v="14.570113262696401"/>
        <n v="45.839234154929599"/>
        <n v="23.433522640061401"/>
        <n v="12.291146131805201"/>
        <n v="23.569980514419299"/>
        <n v="121.50449999999999"/>
        <n v="91.6274505494506"/>
        <n v="76.949625567322201"/>
        <n v="101.963728915663"/>
        <n v="17.968285219399501"/>
        <n v="14.993537660256401"/>
        <n v="83.694207689543703"/>
        <n v="16.787526621490802"/>
        <n v="32.702453798767998"/>
        <n v="276.50272425249199"/>
        <n v="58.017569258266299"/>
        <n v="24.174349775784801"/>
        <n v="9.3059194214875998"/>
        <n v="70.481727272727298"/>
        <n v="49.714474153297701"/>
        <n v="21.6445113314448"/>
        <n v="24.579508326724799"/>
        <n v="103.20376383763799"/>
        <n v="45.513651551312698"/>
        <n v="10.6967257844475"/>
        <n v="9.66296150049358"/>
        <n v="277.54125326370797"/>
        <n v="26.698621346886899"/>
        <n v="74.650573289902297"/>
        <n v="89.962584317031997"/>
        <n v="121.994452195322"/>
        <n v="124.360776699029"/>
        <n v="49.4566780821918"/>
        <n v="77.608818958819"/>
        <n v="25.382326621923902"/>
        <n v="131.94599496221699"/>
        <n v="33.094429223744299"/>
        <n v="49.589853121174997"/>
        <n v="16.117686170212799"/>
        <n v="181.42430573248399"/>
        <n v="29.499809813617301"/>
        <n v="10.574824218750001"/>
        <n v="13.686058360352"/>
        <n v="23.217052154194999"/>
        <n v="102.61848049281301"/>
        <n v="61.650135542168698"/>
        <n v="295.99006711409402"/>
        <n v="120.085549450549"/>
        <n v="471.76864341085297"/>
        <n v="28.004545066211001"/>
        <n v="69.533924050632905"/>
        <n v="111.83710359408001"/>
        <n v="73.450041928721205"/>
        <n v="46.852353217473002"/>
        <n v="234.61196652719701"/>
        <n v="12.9427294341417"/>
        <n v="401.73745222929898"/>
        <n v="114.89970149253701"/>
        <n v="25.982598267821501"/>
        <n v="39.155373250388799"/>
        <n v="22.8787155240347"/>
        <n v="12.3398200965336"/>
        <n v="110.216846615253"/>
        <n v="67.089878048780506"/>
        <n v="48.164652406417098"/>
        <n v="55.885067628494099"/>
        <n v="57.138021006080699"/>
        <n v="191.65936152570501"/>
        <n v="24.125341935483899"/>
        <n v="267.33400921659"/>
        <n v="56.836880829015598"/>
        <n v="17.197368421052602"/>
        <n v="7.6109434713375803"/>
        <n v="34.116011673151803"/>
        <n v="235.88856669428301"/>
        <n v="50.870619946091601"/>
        <n v="50.087720320466097"/>
        <n v="21.971349095966598"/>
        <n v="120.02422907489"/>
        <n v="319.69686274509797"/>
        <n v="27.081900698215701"/>
        <n v="10.898744962579199"/>
        <n v="28.461260426320699"/>
        <n v="159.10982649842299"/>
        <n v="91.670769230769196"/>
        <n v="31.218249780123099"/>
        <n v="69.559252110977098"/>
        <n v="331.601553398058"/>
        <n v="49.416407629812802"/>
        <n v="54.218407643312098"/>
        <n v="42.982718446601901"/>
        <n v="39.823698315467098"/>
        <n v="4.04638772077376"/>
        <n v="31.735618677042801"/>
        <n v="12.9699953379953"/>
        <n v="82.4850793650794"/>
        <n v="84.244054054054104"/>
        <n v="22.292854383931999"/>
        <n v="328.80768786127197"/>
        <n v="79.664419297200695"/>
        <n v="26.099959636730599"/>
        <n v="78.111627906976807"/>
        <n v="118.24"/>
        <n v="89.9803322259136"/>
        <n v="33.639080276448702"/>
        <n v="221.761866359447"/>
        <n v="15.202972972973001"/>
        <n v="26.137904564315399"/>
        <n v="15.6939786156443"/>
        <n v="45.918034379671198"/>
        <n v="170.82119960668601"/>
        <n v="199.63717099373301"/>
        <n v="21.793447236180899"/>
        <n v="31.962926829268302"/>
        <n v="20.974333333333298"/>
        <n v="57.735395642201802"/>
        <n v="188.84911764705899"/>
        <n v="147.639709051724"/>
        <n v="25.9707329842932"/>
        <n v="11.4519255733449"/>
        <n v="31.321628310723501"/>
        <n v="145.27739952718699"/>
        <n v="25.745070796460201"/>
        <n v="25.846485535574701"/>
        <n v="126.52536705737199"/>
        <n v="9.2877263581488894"/>
        <n v="40.808924050632903"/>
        <n v="50.900065061808696"/>
        <n v="95.549308919078598"/>
        <n v="53.185133439246499"/>
        <n v="29.966016504125999"/>
        <n v="41.945759162303702"/>
        <n v="15.928053268765099"/>
        <n v="25.928663289166"/>
        <n v="52.796494156928198"/>
        <n v="76.325830243098494"/>
        <n v="35.694897360703798"/>
        <n v="5.0777615571776202"/>
        <n v="6.6073065015479902"/>
        <n v="32.605337579617803"/>
        <n v="70.678826764436295"/>
        <n v="85.736247531270607"/>
        <n v="45.2411885895404"/>
        <n v="40.1363145428707"/>
        <n v="214.51185404339299"/>
        <n v="78.688120595144895"/>
        <n v="57.190188488724303"/>
        <n v="87.244377104377094"/>
        <n v="27.334993657505301"/>
        <n v="40.732281904761898"/>
        <n v="46.369714285714302"/>
        <n v="10.539301310043699"/>
        <n v="21.843866047745401"/>
        <n v="58.3550495049505"/>
        <n v="9.1796708860759502"/>
        <n v="20.105447698744801"/>
        <n v="141.29383033419001"/>
        <n v="3.4667174205105198"/>
        <n v="6.5727272727272696"/>
        <n v="36.635707509881399"/>
        <n v="28.964779375309899"/>
        <n v="44.256871721506897"/>
        <n v="73.248346354166699"/>
        <n v="46.6309419228892"/>
        <n v="138.78641975308599"/>
        <n v="7.0824615384615397"/>
        <n v="21.548105789849899"/>
        <n v="260.92744897959199"/>
        <n v="41.464012910166801"/>
        <n v="106.224549968963"/>
        <n v="63.254707792207803"/>
        <n v="27.081802525832401"/>
        <n v="6.0005931321540098"/>
        <n v="97.849816513761496"/>
        <n v="120.13116531165301"/>
        <n v="32.382353540499203"/>
        <n v="5.9070920409070702"/>
        <n v="273.99398283261797"/>
        <n v="5.2823929471032702"/>
        <n v="10.776610978520299"/>
        <n v="45.065359971202298"/>
        <n v="56.348547169811297"/>
        <n v="12.395089779005501"/>
        <n v="84.713789954337898"/>
        <n v="23.711444161513299"/>
        <n v="38.206831797234997"/>
        <n v="150.53028571428601"/>
        <n v="134.29456626506001"/>
        <n v="37.463020176544802"/>
        <n v="277.31185378590101"/>
        <n v="8.2482558635394501"/>
        <n v="88.676412631578899"/>
        <n v="57.9195254237288"/>
        <n v="86.626716854872399"/>
        <n v="110.17425"/>
        <n v="34.050263388937701"/>
        <n v="133.70520041110001"/>
        <n v="13.239482459187199"/>
        <n v="21.594028837998302"/>
        <n v="43.396250000000002"/>
        <n v="48.944426877470399"/>
        <n v="42.9231306187203"/>
        <n v="25.550459662288901"/>
        <n v="21.688383751080401"/>
        <n v="43.463967611336003"/>
        <n v="208.034042553191"/>
        <n v="223.99743902438999"/>
        <n v="33.561354838709697"/>
        <n v="63.691828715365197"/>
        <n v="128.53551020408199"/>
        <n v="16.268912203202699"/>
        <n v="105.951670951157"/>
        <n v="7.4738038496791903"/>
        <n v="14.9277021133848"/>
        <n v="55.962640545144801"/>
        <n v="52.653317479191401"/>
        <n v="54.8130887573965"/>
        <n v="196.712652173913"/>
        <n v="17.8524781341108"/>
        <n v="60.226780462184898"/>
        <n v="336.23406876790801"/>
        <n v="3.1645841035120101"/>
        <n v="19.801830311324"/>
        <n v="69.030138026225004"/>
        <n v="33.371525266573997"/>
        <n v="33.634755896873301"/>
        <n v="52.954227733934601"/>
        <n v="22.619326424870501"/>
        <n v="341.73101351351397"/>
        <n v="8.8907936507936505"/>
        <n v="7.8675304878048804"/>
        <n v="18.355791962174901"/>
        <n v="631.18032786885306"/>
        <n v="40.251756569847899"/>
        <n v="8.9817493472584893"/>
        <n v="27.317674094707499"/>
        <n v="15.553516539440199"/>
        <n v="2.7554565138939"/>
        <n v="43.427095724907097"/>
        <n v="23.820943298969102"/>
        <n v="88.983653846153899"/>
        <n v="115.05404761904801"/>
        <n v="30.720779266572599"/>
        <n v="93.163172043010803"/>
        <n v="17.9341131498471"/>
        <n v="125.21567438148401"/>
        <n v="47.974025465230199"/>
        <n v="6.74178509532062"/>
        <n v="27.088165191740401"/>
        <n v="50.623375000000003"/>
        <n v="45.731471238938099"/>
        <n v="201.08438538205999"/>
        <n v="43.656359273225902"/>
        <n v="40.989015957446803"/>
        <n v="33.522457855697901"/>
        <n v="9.3886352941176501"/>
        <n v="4.9811219348337303"/>
        <n v="21.322608396421199"/>
        <n v="114.525046480744"/>
        <n v="134.378848368522"/>
        <n v="60.666846473028997"/>
        <n v="70.206917293233104"/>
        <n v="9.0625065616797897"/>
        <n v="21.340358126721799"/>
        <n v="60.516917488323799"/>
        <n v="28.1353028064993"/>
        <n v="12.3431086519115"/>
        <n v="19.861956009426599"/>
        <n v="64.686211764705902"/>
        <n v="31.781584938704"/>
        <n v="6.4997489539749003"/>
        <n v="44.9052710176991"/>
        <n v="33.563275996872598"/>
        <n v="14.968922399186701"/>
        <n v="203.915329341317"/>
        <n v="47.8766169154229"/>
        <n v="108.258680926916"/>
        <n v="22.2244859335038"/>
        <n v="87.247097994702997"/>
        <n v="8.9695823665893304"/>
        <n v="41.045523442517698"/>
        <n v="108.118658759124"/>
        <n v="6.6350505979760799"/>
        <n v="52.758545454545498"/>
        <n v="79.131101321585902"/>
        <n v="30.149565217391299"/>
        <n v="53.606462264150899"/>
        <n v="182.735629820051"/>
        <n v="102.867924528302"/>
        <n v="17.3978425026969"/>
        <n v="5.7643886925795096"/>
        <n v="20.255523012552299"/>
        <n v="30.0312334967937"/>
        <n v="26.584752475247502"/>
        <n v="56.393632114702399"/>
        <n v="80.757153171737997"/>
        <n v="147.04454419889501"/>
        <n v="5.4788560243584197"/>
        <n v="81.643394658753706"/>
        <n v="111.30664395230001"/>
        <n v="21.213295454545499"/>
        <n v="28.990056461731498"/>
        <n v="42.607245854361899"/>
        <n v="37.888953488372103"/>
        <n v="21.889794913863799"/>
        <n v="82.585684567395006"/>
        <n v="42.5099447768063"/>
        <n v="10.181532409141999"/>
        <n v="39.822726063829798"/>
        <n v="92.842538860103602"/>
        <n v="44.430526382319101"/>
        <n v="234.58274661508699"/>
        <n v="17.460538783093401"/>
        <n v="18.247297297297301"/>
        <n v="38.058778597786002"/>
        <n v="10.755108153078201"/>
        <n v="8.4132655246252703"/>
        <n v="27.973441599000601"/>
        <n v="39.671693791440603"/>
        <n v="27.592890152861699"/>
        <n v="74.529085643359494"/>
        <n v="60.486517766497499"/>
        <n v="121.689210084034"/>
        <n v="147.361607142857"/>
        <n v="135.52916666666701"/>
        <n v="19.395028680688299"/>
        <n v="32.373423636979297"/>
        <n v="82.311517241379306"/>
        <n v="28.348816644993502"/>
        <n v="19.1573188946975"/>
        <n v="18.577972027971999"/>
        <n v="87.257000828500395"/>
        <n v="5.5225869480265697"/>
        <n v="10.7909022837888"/>
        <n v="41.625138447571501"/>
        <n v="54.096006109202001"/>
        <n v="21.888361831219001"/>
        <n v="59.665872689938404"/>
        <n v="57.690203007518797"/>
        <n v="41.767269938650301"/>
        <n v="54.878099273607802"/>
        <n v="5.7327953044754203"/>
        <n v="66.685835889570598"/>
        <n v="54.3241271442987"/>
        <n v="17.158810167658199"/>
        <n v="3.59129172714078"/>
        <n v="55.816105263157901"/>
        <n v="59.082431506849296"/>
        <n v="35.117790332705603"/>
        <n v="92.220778412039394"/>
        <n v="20.331959844559599"/>
        <n v="21.4028419182949"/>
        <n v="35.999359430604997"/>
        <n v="457.78775510204099"/>
        <n v="54.0716966379984"/>
        <n v="271.16378657487098"/>
        <n v="32.750143295803497"/>
        <n v="32.976217030896798"/>
        <n v="119.27675257732"/>
        <n v="35.597133526850499"/>
        <n v="85.342040816326502"/>
        <n v="63.753994565217397"/>
        <n v="45.6454202789295"/>
        <n v="206.33956120092401"/>
        <n v="8.3499216125419906"/>
        <n v="87.939126305792996"/>
        <n v="121.98"/>
        <n v="225.17610619468999"/>
        <n v="186.41863829787201"/>
        <n v="23.926384049554802"/>
        <n v="41.523603192702403"/>
        <n v="22.827708838821501"/>
        <n v="88.572681003584194"/>
        <n v="94.931734734337795"/>
        <n v="14.955057692307699"/>
        <n v="46.091442241968601"/>
        <n v="10.3564326107446"/>
        <n v="17.0520478087649"/>
        <n v="71.887720488466798"/>
        <n v="53.471528487229897"/>
        <n v="23.009643481300198"/>
        <n v="22.606998654104999"/>
        <n v="62.084615384615397"/>
        <n v="98.895508830950405"/>
        <n v="115.948310567937"/>
        <n v="29.998353831598902"/>
        <n v="238.953361433087"/>
        <n v="67.328255033556999"/>
        <n v="312.76190677966099"/>
        <n v="4.5825664335664298"/>
        <n v="8.0085137614678903"/>
        <n v="18.6357802365509"/>
        <n v="41.5485345512311"/>
        <n v="362.58576028622502"/>
        <n v="8.4306609017912297"/>
        <n v="40.736818181818201"/>
        <n v="150.325580589255"/>
        <n v="276.07891156462603"/>
        <n v="31.564765784114101"/>
        <n v="50.073674963396797"/>
        <n v="59.977566037735897"/>
        <n v="72.209635722679195"/>
        <n v="96.472192262602604"/>
        <n v="108.88905286343601"/>
        <n v="131.186336134454"/>
        <n v="22.513121629718398"/>
        <n v="64.713500597371606"/>
        <n v="12.9052489125181"/>
        <n v="16.120683651804701"/>
        <n v="45.920944350758901"/>
        <n v="28.009385065885802"/>
        <n v="12.937209175314001"/>
        <n v="39.659377483443699"/>
        <n v="72.354806378132096"/>
        <n v="19.2530130695867"/>
        <n v="31.447713824636899"/>
        <n v="43.3252577319588"/>
        <n v="19.010922226944299"/>
        <n v="74.676675603217205"/>
        <n v="11.198380952380999"/>
        <n v="25.2341245396719"/>
        <n v="123.480210526316"/>
        <n v="56.600812544547402"/>
        <n v="94.177649554518496"/>
        <n v="233.96425925925899"/>
        <n v="64.905533391153497"/>
        <n v="137.23560910307901"/>
        <n v="100.114142091153"/>
        <n v="15.512627291242399"/>
        <n v="41.631172381835"/>
        <n v="85.292971962616804"/>
        <n v="53.7572368421053"/>
        <n v="12.5182792665726"/>
        <n v="181.40055727554201"/>
        <n v="20.491212121212101"/>
        <n v="27.498222722159699"/>
        <n v="15.926649195057999"/>
        <n v="46.847567567567602"/>
        <n v="53.926064097947403"/>
        <n v="53.2108132102273"/>
        <n v="94.554827586206898"/>
        <n v="15.7731200821074"/>
        <n v="29.679750260145699"/>
        <n v="184.7475"/>
        <n v="5.4244747393745003"/>
        <n v="61.294216237942102"/>
        <n v="57.777657387580298"/>
        <n v="93.478157770429902"/>
        <n v="47.2067605633803"/>
        <n v="106.032558770344"/>
        <n v="25.047540322580598"/>
        <n v="26.596003172085599"/>
        <n v="4.0067170524326903"/>
        <n v="59.739703872437403"/>
        <n v="48.568531855955698"/>
        <n v="101.413684210526"/>
        <n v="33.3119397799653"/>
        <n v="23.9757174392936"/>
        <n v="40.335150590926403"/>
        <n v="6.5503031480761802"/>
        <n v="16.460980036297599"/>
        <n v="41.934649122807002"/>
        <n v="68.471729729729702"/>
        <n v="28.219455281560599"/>
        <n v="143.70740799999999"/>
        <n v="23.8687134757959"/>
        <n v="32.566135792120697"/>
        <n v="23.169036093418299"/>
        <n v="46.149824561403499"/>
        <n v="14.8827979274611"/>
        <n v="47.028853868194801"/>
        <n v="100.489315068493"/>
        <n v="13.5665946137491"/>
        <n v="32.458768745067097"/>
        <n v="38.062653061224502"/>
        <n v="76.7914950853595"/>
        <n v="98.113157894736901"/>
        <n v="35.839104477611897"/>
        <n v="21.626177606177599"/>
      </sharedItems>
    </cacheField>
    <cacheField name="Ancillary Revenue" numFmtId="0">
      <sharedItems containsSemiMixedTypes="0" containsString="0" containsNumber="1" minValue="0" maxValue="7994.46" count="475">
        <n v="1232.74"/>
        <n v="5939.38"/>
        <n v="926.61"/>
        <n v="7628.67"/>
        <n v="1147.9000000000001"/>
        <n v="7220.01"/>
        <n v="5453.58"/>
        <n v="6270.19"/>
        <n v="2430.02"/>
        <n v="3370.99"/>
        <n v="1834.47"/>
        <n v="5077.26"/>
        <n v="4554.74"/>
        <n v="7344.57"/>
        <n v="1028.0899999999999"/>
        <n v="7223.84"/>
        <n v="5484.54"/>
        <n v="4809.8"/>
        <n v="4086.05"/>
        <n v="4550.97"/>
        <n v="1409.03"/>
        <n v="0"/>
        <n v="3240.17"/>
        <n v="6203.4"/>
        <n v="7756.35"/>
        <n v="7223.46"/>
        <n v="7139.11"/>
        <n v="1948.2"/>
        <n v="3415.76"/>
        <n v="4504.55"/>
        <n v="777.82"/>
        <n v="3541.31"/>
        <n v="7550.67"/>
        <n v="7436.12"/>
        <n v="4034.15"/>
        <n v="607.74"/>
        <n v="3921.38"/>
        <n v="1356.35"/>
        <n v="6533.4"/>
        <n v="2931.76"/>
        <n v="2911.92"/>
        <n v="4948.1400000000003"/>
        <n v="6181.63"/>
        <n v="3789.96"/>
        <n v="6432.89"/>
        <n v="617.23"/>
        <n v="7446.03"/>
        <n v="3621.67"/>
        <n v="2046.2"/>
        <n v="2294.4"/>
        <n v="5878.99"/>
        <n v="3108.9"/>
        <n v="7899.53"/>
        <n v="3981.62"/>
        <n v="1952.89"/>
        <n v="4231.3599999999997"/>
        <n v="2385.36"/>
        <n v="824.88"/>
        <n v="1685.34"/>
        <n v="7213.09"/>
        <n v="2225.4699999999998"/>
        <n v="6033.11"/>
        <n v="1051.47"/>
        <n v="1587.06"/>
        <n v="3301.14"/>
        <n v="7816.67"/>
        <n v="2604.5300000000002"/>
        <n v="1784.01"/>
        <n v="6421.6"/>
        <n v="4835.91"/>
        <n v="6927.3"/>
        <n v="6777.42"/>
        <n v="2358.7399999999998"/>
        <n v="7353.16"/>
        <n v="800.44"/>
        <n v="3893.31"/>
        <n v="5698.7"/>
        <n v="2718.43"/>
        <n v="6934.42"/>
        <n v="3978.2"/>
        <n v="6423.94"/>
        <n v="6952.87"/>
        <n v="4481.8999999999996"/>
        <n v="6407.69"/>
        <n v="4360.5200000000004"/>
        <n v="1332.25"/>
        <n v="4705.6899999999996"/>
        <n v="2289.75"/>
        <n v="6148.8"/>
        <n v="4276.74"/>
        <n v="3089.2"/>
        <n v="4026.23"/>
        <n v="3889.84"/>
        <n v="1912.65"/>
        <n v="7234.59"/>
        <n v="1735.75"/>
        <n v="7062.45"/>
        <n v="3624.02"/>
        <n v="3100.25"/>
        <n v="1917.95"/>
        <n v="3587.69"/>
        <n v="4146.1099999999997"/>
        <n v="3935.05"/>
        <n v="1788.03"/>
        <n v="6273.12"/>
        <n v="7671.6"/>
        <n v="1867.1"/>
        <n v="1709.41"/>
        <n v="3806.66"/>
        <n v="5491.65"/>
        <n v="4549"/>
        <n v="3534.22"/>
        <n v="7458.58"/>
        <n v="5354.33"/>
        <n v="6496.82"/>
        <n v="5668.6"/>
        <n v="5585.06"/>
        <n v="3844.8"/>
        <n v="4875.74"/>
        <n v="1967.87"/>
        <n v="7818.8"/>
        <n v="7313.35"/>
        <n v="3272.22"/>
        <n v="2810.64"/>
        <n v="5958.9"/>
        <n v="2664.76"/>
        <n v="5964.54"/>
        <n v="1577.29"/>
        <n v="995.87"/>
        <n v="549.64"/>
        <n v="4668.6000000000004"/>
        <n v="4654"/>
        <n v="4205.75"/>
        <n v="1655.18"/>
        <n v="1431.33"/>
        <n v="4189.1499999999996"/>
        <n v="6235.39"/>
        <n v="4857.99"/>
        <n v="7806.94"/>
        <n v="6839.6"/>
        <n v="1724.82"/>
        <n v="865.36"/>
        <n v="4354"/>
        <n v="4990.72"/>
        <n v="6701.16"/>
        <n v="1218.75"/>
        <n v="1527.12"/>
        <n v="3052.35"/>
        <n v="4275.37"/>
        <n v="3630.1"/>
        <n v="7425.57"/>
        <n v="1542.6"/>
        <n v="1791.55"/>
        <n v="2167.6799999999998"/>
        <n v="2805.71"/>
        <n v="5681.14"/>
        <n v="745.95"/>
        <n v="1391.92"/>
        <n v="6159.13"/>
        <n v="4907.0200000000004"/>
        <n v="1180.8399999999999"/>
        <n v="3141.52"/>
        <n v="4286.82"/>
        <n v="4466.29"/>
        <n v="7262.45"/>
        <n v="7431.74"/>
        <n v="3248.47"/>
        <n v="1856.36"/>
        <n v="4356.88"/>
        <n v="1427.12"/>
        <n v="5785.48"/>
        <n v="5002.92"/>
        <n v="2194.0500000000002"/>
        <n v="1915.89"/>
        <n v="7543.12"/>
        <n v="1394.13"/>
        <n v="6060.74"/>
        <n v="7814.06"/>
        <n v="1420.72"/>
        <n v="6236.13"/>
        <n v="3170.73"/>
        <n v="4335.6099999999997"/>
        <n v="2380.17"/>
        <n v="722.93"/>
        <n v="5585.81"/>
        <n v="1645.52"/>
        <n v="5458.1"/>
        <n v="2014.49"/>
        <n v="4568.29"/>
        <n v="7644.35"/>
        <n v="3377.22"/>
        <n v="769.86"/>
        <n v="7135.25"/>
        <n v="5867.92"/>
        <n v="5450.59"/>
        <n v="4716.92"/>
        <n v="4210.18"/>
        <n v="6248.53"/>
        <n v="1461.49"/>
        <n v="6238.96"/>
        <n v="3088.57"/>
        <n v="2357.1"/>
        <n v="7017.05"/>
        <n v="780.33"/>
        <n v="2499.64"/>
        <n v="3333.03"/>
        <n v="1250.43"/>
        <n v="1749.7"/>
        <n v="4227.1400000000003"/>
        <n v="2655.17"/>
        <n v="6534.52"/>
        <n v="4938.9799999999996"/>
        <n v="3703.29"/>
        <n v="4284.8"/>
        <n v="2000.58"/>
        <n v="5536.7"/>
        <n v="2509.52"/>
        <n v="7509.77"/>
        <n v="3232.06"/>
        <n v="6830.91"/>
        <n v="5254.46"/>
        <n v="5345.32"/>
        <n v="2288.63"/>
        <n v="3981.2"/>
        <n v="2014.93"/>
        <n v="5440.03"/>
        <n v="6366.75"/>
        <n v="5012"/>
        <n v="7225.8"/>
        <n v="7573.72"/>
        <n v="4782.3"/>
        <n v="4223.38"/>
        <n v="2969.64"/>
        <n v="7516.25"/>
        <n v="7774.43"/>
        <n v="4177.6899999999996"/>
        <n v="4593.09"/>
        <n v="7095.75"/>
        <n v="6660.24"/>
        <n v="6811.05"/>
        <n v="2397.37"/>
        <n v="6932.35"/>
        <n v="7456.31"/>
        <n v="2730.67"/>
        <n v="5235.1499999999996"/>
        <n v="6419.88"/>
        <n v="4033.18"/>
        <n v="7075.71"/>
        <n v="4297.51"/>
        <n v="5310.3"/>
        <n v="523.07000000000005"/>
        <n v="6852.2"/>
        <n v="3886.17"/>
        <n v="5656"/>
        <n v="1132.99"/>
        <n v="7585.68"/>
        <n v="7423.34"/>
        <n v="7805.96"/>
        <n v="873.37"/>
        <n v="1167.96"/>
        <n v="605.86"/>
        <n v="6704.43"/>
        <n v="1929.08"/>
        <n v="6098.32"/>
        <n v="5000.62"/>
        <n v="3637.48"/>
        <n v="7820.96"/>
        <n v="3272.28"/>
        <n v="4016.61"/>
        <n v="5651.39"/>
        <n v="1047.92"/>
        <n v="4031.99"/>
        <n v="540.21"/>
        <n v="5534.47"/>
        <n v="4853.6499999999996"/>
        <n v="7084.23"/>
        <n v="1563.47"/>
        <n v="4244.08"/>
        <n v="7446.78"/>
        <n v="4377.3"/>
        <n v="6227.57"/>
        <n v="899.17"/>
        <n v="4026.86"/>
        <n v="7964.01"/>
        <n v="7916.14"/>
        <n v="6843.79"/>
        <n v="2028"/>
        <n v="4724.3599999999997"/>
        <n v="4445.12"/>
        <n v="2346.1799999999998"/>
        <n v="694.72"/>
        <n v="3301.69"/>
        <n v="1653.32"/>
        <n v="3905.42"/>
        <n v="2970.7"/>
        <n v="2936.87"/>
        <n v="2085.25"/>
        <n v="6486.1"/>
        <n v="1194.1300000000001"/>
        <n v="1168.9100000000001"/>
        <n v="2637.02"/>
        <n v="7278.01"/>
        <n v="6740.4"/>
        <n v="4073.3"/>
        <n v="6582.46"/>
        <n v="1197.1099999999999"/>
        <n v="5357.08"/>
        <n v="2680.27"/>
        <n v="2752.95"/>
        <n v="6811.53"/>
        <n v="4632.46"/>
        <n v="3597.65"/>
        <n v="3165.93"/>
        <n v="1354.52"/>
        <n v="6821.82"/>
        <n v="2854.6"/>
        <n v="5178.58"/>
        <n v="2083.0100000000002"/>
        <n v="7037.12"/>
        <n v="3462"/>
        <n v="5688.55"/>
        <n v="2771"/>
        <n v="6534.81"/>
        <n v="1339.34"/>
        <n v="2069.2199999999998"/>
        <n v="6815.67"/>
        <n v="2756.88"/>
        <n v="1373.44"/>
        <n v="7729"/>
        <n v="2010.04"/>
        <n v="3003.88"/>
        <n v="7846.15"/>
        <n v="777.63"/>
        <n v="2239.29"/>
        <n v="4649.42"/>
        <n v="1377.06"/>
        <n v="5731.36"/>
        <n v="4019.3"/>
        <n v="7413.02"/>
        <n v="1483.69"/>
        <n v="6748.11"/>
        <n v="6498.16"/>
        <n v="5680.23"/>
        <n v="1996.13"/>
        <n v="7572.91"/>
        <n v="7994.46"/>
        <n v="1810.36"/>
        <n v="3033.01"/>
        <n v="4147.74"/>
        <n v="6275.71"/>
        <n v="5798.04"/>
        <n v="7719.85"/>
        <n v="6677.08"/>
        <n v="7031.52"/>
        <n v="5811.23"/>
        <n v="1657.22"/>
        <n v="6864.46"/>
        <n v="2339.87"/>
        <n v="1139.25"/>
        <n v="5220.8"/>
        <n v="6404.12"/>
        <n v="7235.49"/>
        <n v="7578.05"/>
        <n v="1135.8399999999999"/>
        <n v="5451.32"/>
        <n v="7833"/>
        <n v="3644.79"/>
        <n v="5911.63"/>
        <n v="7251.56"/>
        <n v="3846.42"/>
        <n v="5731.03"/>
        <n v="6315.5"/>
        <n v="3424.95"/>
        <n v="2103.0100000000002"/>
        <n v="6177.85"/>
        <n v="2310.0500000000002"/>
        <n v="5989.9"/>
        <n v="1428.6"/>
        <n v="2734.71"/>
        <n v="6540.41"/>
        <n v="3127.53"/>
        <n v="5857.63"/>
        <n v="4373.3900000000003"/>
        <n v="1114.5999999999999"/>
        <n v="2110.88"/>
        <n v="4911.8"/>
        <n v="4882.28"/>
        <n v="5987.88"/>
        <n v="4135.7299999999996"/>
        <n v="5708.53"/>
        <n v="7580.52"/>
        <n v="1327.52"/>
        <n v="1383.07"/>
        <n v="4144.4399999999996"/>
        <n v="864.88"/>
        <n v="1873.08"/>
        <n v="1006.73"/>
        <n v="4743.2299999999996"/>
        <n v="6758.45"/>
        <n v="4285.7299999999996"/>
        <n v="1617.37"/>
        <n v="4557.46"/>
        <n v="5344.37"/>
        <n v="4707.83"/>
        <n v="7663.76"/>
        <n v="1402.12"/>
        <n v="2562.2199999999998"/>
        <n v="1134.8599999999999"/>
        <n v="4186.05"/>
        <n v="3612.02"/>
        <n v="1182.69"/>
        <n v="1580.26"/>
        <n v="7641.24"/>
        <n v="1860.93"/>
        <n v="2900.31"/>
        <n v="7561.83"/>
        <n v="6141"/>
        <n v="7620.18"/>
        <n v="990.94"/>
        <n v="2518.6999999999998"/>
        <n v="6222.34"/>
        <n v="3844.87"/>
        <n v="3299.79"/>
        <n v="507.51"/>
        <n v="5397.94"/>
        <n v="7994.31"/>
        <n v="841.14"/>
        <n v="1172.8599999999999"/>
        <n v="7087.09"/>
        <n v="7129.49"/>
        <n v="2547.6"/>
        <n v="3948.5"/>
        <n v="532.09"/>
        <n v="6218.49"/>
        <n v="4539.87"/>
        <n v="5541.84"/>
        <n v="3400.63"/>
        <n v="1435.73"/>
        <n v="2161.41"/>
        <n v="1936.34"/>
        <n v="2256.9299999999998"/>
        <n v="4196.28"/>
        <n v="1970.65"/>
        <n v="4768.2700000000004"/>
        <n v="990.2"/>
        <n v="7501.73"/>
        <n v="1938.89"/>
        <n v="5605.1"/>
        <n v="5307.25"/>
        <n v="3744.11"/>
        <n v="7128.52"/>
        <n v="4493.08"/>
        <n v="1113.57"/>
        <n v="7835.72"/>
        <n v="1976.58"/>
        <n v="709.05"/>
        <n v="6803.81"/>
        <n v="7576.61"/>
        <n v="5190.12"/>
        <n v="7375.36"/>
        <n v="6369.85"/>
        <n v="2761.03"/>
        <n v="4694.4399999999996"/>
        <n v="5129.76"/>
        <n v="3900.58"/>
        <n v="3047.12"/>
        <n v="4379.1000000000004"/>
        <n v="4963.8100000000004"/>
        <n v="7282.77"/>
        <n v="3657.55"/>
        <n v="1532.55"/>
        <n v="4348.4399999999996"/>
        <n v="1605.57"/>
        <n v="929.88"/>
        <n v="3665.46"/>
      </sharedItems>
    </cacheField>
    <cacheField name="Fuel Cost" numFmtId="0">
      <sharedItems containsString="0" containsBlank="1" containsNumber="1" minValue="0" maxValue="39832.26" count="493">
        <n v="8636.75"/>
        <n v="13816.36"/>
        <n v="25794.85"/>
        <n v="27332.9"/>
        <n v="26164"/>
        <n v="29347.88"/>
        <n v="7650"/>
        <n v="29227.75"/>
        <n v="32325.599999999999"/>
        <n v="16642.919999999998"/>
        <n v="7428.95"/>
        <n v="11245.48"/>
        <n v="20093.88"/>
        <n v="30039.01"/>
        <n v="30464.080000000002"/>
        <n v="10209.9"/>
        <n v="14325.28"/>
        <n v="23038.41"/>
        <n v="19136.95"/>
        <n v="5115.76"/>
        <n v="23735.64"/>
        <n v="28864.25"/>
        <n v="34866.97"/>
        <n v="15148.55"/>
        <n v="28125.69"/>
        <n v="27071.599999999999"/>
        <n v="20329.43"/>
        <n v="30190.87"/>
        <n v="32745.87"/>
        <n v="34198.76"/>
        <n v="6961.91"/>
        <n v="12408.74"/>
        <n v="35457"/>
        <n v="6290.72"/>
        <n v="37130.67"/>
        <n v="27143.15"/>
        <n v="10974.13"/>
        <n v="25824.21"/>
        <n v="19917.400000000001"/>
        <n v="39154.86"/>
        <n v="38764.230000000003"/>
        <n v="16742.63"/>
        <n v="10881.78"/>
        <n v="37398.639999999999"/>
        <n v="27126.81"/>
        <n v="22043.86"/>
        <n v="29735.94"/>
        <n v="33259.410000000003"/>
        <n v="27393.9"/>
        <n v="11109.21"/>
        <n v="26421.74"/>
        <n v="5159.95"/>
        <n v="39187.699999999997"/>
        <n v="26926.25"/>
        <n v="32881.449999999997"/>
        <n v="10591.59"/>
        <n v="27570.13"/>
        <n v="26588.68"/>
        <n v="30914.59"/>
        <n v="6017.28"/>
        <n v="30249.11"/>
        <m/>
        <n v="8854.65"/>
        <n v="35446.019999999997"/>
        <n v="25478.23"/>
        <n v="37476.050000000003"/>
        <n v="21020.91"/>
        <n v="12077.38"/>
        <n v="8888.82"/>
        <n v="17025.16"/>
        <n v="27329.97"/>
        <n v="24346.45"/>
        <n v="22122.47"/>
        <n v="14770.98"/>
        <n v="20198.71"/>
        <n v="36438.81"/>
        <n v="21472.84"/>
        <n v="19899.419999999998"/>
        <n v="13417.9"/>
        <n v="19231.63"/>
        <n v="27667.41"/>
        <n v="28416.25"/>
        <n v="31155.03"/>
        <n v="9851.84"/>
        <n v="17964.72"/>
        <n v="7474.45"/>
        <n v="15380.65"/>
        <n v="7833.57"/>
        <n v="36850.14"/>
        <n v="17795.68"/>
        <n v="17825.150000000001"/>
        <n v="8974.52"/>
        <n v="31631.01"/>
        <n v="19802.52"/>
        <n v="22017.94"/>
        <n v="23616.66"/>
        <n v="17885.099999999999"/>
        <n v="35939.26"/>
        <n v="15093.04"/>
        <n v="8920.86"/>
        <n v="23224.07"/>
        <n v="28884.12"/>
        <n v="20535.099999999999"/>
        <n v="5771.28"/>
        <n v="16997.740000000002"/>
        <n v="28304.94"/>
        <n v="24853.81"/>
        <n v="14100.26"/>
        <n v="6656.16"/>
        <n v="26652.06"/>
        <n v="11137.58"/>
        <n v="9092.11"/>
        <n v="17938.53"/>
        <n v="39230.79"/>
        <n v="10690.92"/>
        <n v="22479.59"/>
        <n v="10461.86"/>
        <n v="15344.49"/>
        <n v="30499.03"/>
        <n v="30607.42"/>
        <n v="9090.66"/>
        <n v="8236.84"/>
        <n v="12775.03"/>
        <n v="7925.63"/>
        <n v="18804.830000000002"/>
        <n v="17637.27"/>
        <n v="18049.09"/>
        <n v="20595.16"/>
        <n v="20547.71"/>
        <n v="33198.550000000003"/>
        <n v="19496.78"/>
        <n v="15613.09"/>
        <n v="38603.339999999997"/>
        <n v="27358.21"/>
        <n v="29858.65"/>
        <n v="11974.01"/>
        <n v="6478.15"/>
        <n v="30894.959999999999"/>
        <n v="15505.93"/>
        <n v="28306.97"/>
        <n v="29074.51"/>
        <n v="22256.76"/>
        <n v="24795.11"/>
        <n v="33639.83"/>
        <n v="10699.65"/>
        <n v="21136.54"/>
        <n v="14543.46"/>
        <n v="15208.24"/>
        <n v="31825.49"/>
        <n v="10849.76"/>
        <n v="28973.85"/>
        <n v="25301.63"/>
        <n v="14849.62"/>
        <n v="36877.58"/>
        <n v="34105.07"/>
        <n v="37061.089999999997"/>
        <n v="21783.14"/>
        <n v="20467.830000000002"/>
        <n v="15663.95"/>
        <n v="34988.53"/>
        <n v="32441.040000000001"/>
        <n v="31506.69"/>
        <n v="28092.61"/>
        <n v="13855.44"/>
        <n v="32382.98"/>
        <n v="12000.85"/>
        <n v="34605.15"/>
        <n v="34929.83"/>
        <n v="7391.8"/>
        <n v="30053.41"/>
        <n v="37216.699999999997"/>
        <n v="25628.32"/>
        <n v="17418.78"/>
        <n v="19265.23"/>
        <n v="8861.07"/>
        <n v="24499.62"/>
        <n v="22279.95"/>
        <n v="15920.24"/>
        <n v="19254.88"/>
        <n v="7436.32"/>
        <n v="17860.45"/>
        <n v="28523.34"/>
        <n v="18818.400000000001"/>
        <n v="36234.97"/>
        <n v="16852.11"/>
        <n v="34333.82"/>
        <n v="31809.03"/>
        <n v="28333.7"/>
        <n v="10158.09"/>
        <n v="22404.58"/>
        <n v="30822.94"/>
        <n v="39022.54"/>
        <n v="26768.84"/>
        <n v="23198.21"/>
        <n v="28173.26"/>
        <n v="33331.86"/>
        <n v="6105.95"/>
        <n v="16009.57"/>
        <n v="11190.42"/>
        <n v="10745.05"/>
        <n v="22060.92"/>
        <n v="28988.1"/>
        <n v="10470.879999999999"/>
        <n v="38980.480000000003"/>
        <n v="14955.31"/>
        <n v="17824.349999999999"/>
        <n v="26880.36"/>
        <n v="17507.810000000001"/>
        <n v="27682.9"/>
        <n v="9006.5"/>
        <n v="28021.87"/>
        <n v="29358.55"/>
        <n v="18660.53"/>
        <n v="28628.9"/>
        <n v="15483.23"/>
        <n v="34656.69"/>
        <n v="6663.6"/>
        <n v="26860.03"/>
        <n v="14567.77"/>
        <n v="17156.080000000002"/>
        <n v="15496.82"/>
        <n v="19080.53"/>
        <n v="24164.69"/>
        <n v="25189.52"/>
        <n v="27327.42"/>
        <n v="30431.53"/>
        <n v="10171.030000000001"/>
        <n v="19359.11"/>
        <n v="34608.839999999997"/>
        <n v="13975.63"/>
        <n v="10248.68"/>
        <n v="24593.88"/>
        <n v="14544.92"/>
        <n v="11159.48"/>
        <n v="6936.45"/>
        <n v="35351.01"/>
        <n v="28508.52"/>
        <n v="30348.21"/>
        <n v="22508.7"/>
        <n v="8158.71"/>
        <n v="25451.42"/>
        <n v="12630.29"/>
        <n v="20381.64"/>
        <n v="18114.669999999998"/>
        <n v="21619.89"/>
        <n v="37794.03"/>
        <n v="5737.6"/>
        <n v="28177.82"/>
        <n v="18464.16"/>
        <n v="36610.5"/>
        <n v="18596.490000000002"/>
        <n v="37127.43"/>
        <n v="35079.589999999997"/>
        <n v="35781.35"/>
        <n v="14591.28"/>
        <n v="19453.650000000001"/>
        <n v="33708.449999999997"/>
        <n v="17314.97"/>
        <n v="20864.16"/>
        <n v="11430.89"/>
        <n v="12002.64"/>
        <n v="8878.99"/>
        <n v="29001.37"/>
        <n v="35572.699999999997"/>
        <n v="33936.9"/>
        <n v="17865.98"/>
        <n v="35951.949999999997"/>
        <n v="27648.73"/>
        <n v="11939.32"/>
        <n v="26630.14"/>
        <n v="17877.21"/>
        <n v="23404.32"/>
        <n v="22295.22"/>
        <n v="35167.79"/>
        <n v="18372.57"/>
        <n v="39832.26"/>
        <n v="13242"/>
        <n v="28949.35"/>
        <n v="35500.519999999997"/>
        <n v="29966.76"/>
        <n v="24495"/>
        <n v="17400.560000000001"/>
        <n v="22658.97"/>
        <n v="9628.34"/>
        <n v="14110.21"/>
        <n v="9617.18"/>
        <n v="9089.4699999999993"/>
        <n v="39068"/>
        <n v="14902.39"/>
        <n v="20252.14"/>
        <n v="10294.27"/>
        <n v="10201.73"/>
        <n v="10724.42"/>
        <n v="37452.22"/>
        <n v="24629.91"/>
        <n v="35340.78"/>
        <n v="14944.08"/>
        <n v="28209.82"/>
        <n v="24977.57"/>
        <n v="22433.88"/>
        <n v="28845.93"/>
        <n v="37520.199999999997"/>
        <n v="7837.21"/>
        <n v="38432.050000000003"/>
        <n v="6534.64"/>
        <n v="30604.080000000002"/>
        <n v="6703.88"/>
        <n v="31033"/>
        <n v="13930.74"/>
        <n v="34832.1"/>
        <n v="31339.55"/>
        <n v="15449.13"/>
        <n v="26122.98"/>
        <n v="22942.86"/>
        <n v="24707"/>
        <n v="26485.37"/>
        <n v="22966.95"/>
        <n v="29977.24"/>
        <n v="20307.439999999999"/>
        <n v="23308.22"/>
        <n v="37105.57"/>
        <n v="21262.98"/>
        <n v="25494.880000000001"/>
        <n v="28155.24"/>
        <n v="6584.06"/>
        <n v="30343.31"/>
        <n v="14277.6"/>
        <n v="7737.72"/>
        <n v="8721.57"/>
        <n v="5465.66"/>
        <n v="35407.32"/>
        <n v="33459.64"/>
        <n v="8067.23"/>
        <n v="5555.98"/>
        <n v="27701.81"/>
        <n v="35036.629999999997"/>
        <n v="21219.89"/>
        <n v="36584.54"/>
        <n v="21502.12"/>
        <n v="24930.07"/>
        <n v="8593.2199999999993"/>
        <n v="34701.57"/>
        <n v="18988.810000000001"/>
        <n v="7124.66"/>
        <n v="14374.71"/>
        <n v="26794.38"/>
        <n v="5728.24"/>
        <n v="20333.87"/>
        <n v="34870.879999999997"/>
        <n v="15268.79"/>
        <n v="28558.76"/>
        <n v="34558.589999999997"/>
        <n v="8016.72"/>
        <n v="26201.22"/>
        <n v="22280.38"/>
        <n v="17557.54"/>
        <n v="35081.160000000003"/>
        <n v="8988.93"/>
        <n v="39778.199999999997"/>
        <n v="24495.78"/>
        <n v="37432.120000000003"/>
        <n v="31451.75"/>
        <n v="6468.93"/>
        <n v="36884.5"/>
        <n v="31668.76"/>
        <n v="20368.8"/>
        <n v="33320.080000000002"/>
        <n v="18035.27"/>
        <n v="13590.79"/>
        <n v="9829.7999999999993"/>
        <n v="38314.42"/>
        <n v="20490.25"/>
        <n v="16018.16"/>
        <n v="20192.53"/>
        <n v="27451.3"/>
        <n v="39301.65"/>
        <n v="36002.400000000001"/>
        <n v="15979.33"/>
        <n v="26364.04"/>
        <n v="12179.67"/>
        <n v="36068.620000000003"/>
        <n v="35834.11"/>
        <n v="30160.82"/>
        <n v="22908.51"/>
        <n v="10600.96"/>
        <n v="32095.52"/>
        <n v="34455.42"/>
        <n v="31479.599999999999"/>
        <n v="30790.05"/>
        <n v="39615"/>
        <n v="14958.74"/>
        <n v="23188.33"/>
        <n v="11739.43"/>
        <n v="8429.57"/>
        <n v="7176.78"/>
        <n v="7732.54"/>
        <n v="23163.07"/>
        <n v="27276.14"/>
        <n v="19592.28"/>
        <n v="21019.95"/>
        <n v="20940.13"/>
        <n v="17926.62"/>
        <n v="17935.509999999998"/>
        <n v="15672.36"/>
        <n v="32692.13"/>
        <n v="36298.85"/>
        <n v="30888.11"/>
        <n v="6563.89"/>
        <n v="36510.06"/>
        <n v="34178.92"/>
        <n v="21132.77"/>
        <n v="30475.25"/>
        <n v="18553.23"/>
        <n v="38532.78"/>
        <n v="35308.379999999997"/>
        <n v="9332.36"/>
        <n v="23964.2"/>
        <n v="31269.55"/>
        <n v="37766.36"/>
        <n v="12203.17"/>
        <n v="23674.04"/>
        <n v="37684.71"/>
        <n v="35087.69"/>
        <n v="39292.51"/>
        <n v="13944.41"/>
        <n v="28751.3"/>
        <n v="29965.52"/>
        <n v="19448.8"/>
        <n v="36482.550000000003"/>
        <n v="25511.02"/>
        <n v="14425.06"/>
        <n v="6011.73"/>
        <n v="38721.61"/>
        <n v="27804.28"/>
        <n v="34619.72"/>
        <n v="39485.81"/>
        <n v="38647.32"/>
        <n v="21262.82"/>
        <n v="10858.36"/>
        <n v="14565.6"/>
        <n v="34485.35"/>
        <n v="30871.4"/>
        <n v="29445.03"/>
        <n v="12379.76"/>
        <n v="38089.300000000003"/>
        <n v="28179.7"/>
        <n v="25982.98"/>
        <n v="27625.52"/>
        <n v="5335.25"/>
        <n v="36240.03"/>
        <n v="17354.82"/>
        <n v="34370.1"/>
        <n v="17966.82"/>
        <n v="5692.36"/>
        <n v="33569.83"/>
        <n v="22283.3"/>
        <n v="29641.67"/>
        <n v="33739.32"/>
        <n v="22290.400000000001"/>
        <n v="9488.6200000000008"/>
        <n v="34941.760000000002"/>
        <n v="28729.26"/>
        <n v="35908.57"/>
        <n v="38007.599999999999"/>
        <n v="39828.730000000003"/>
        <n v="22345.119999999999"/>
        <n v="12859.19"/>
        <n v="16068.47"/>
        <n v="25013.69"/>
        <n v="19833.71"/>
        <n v="16522.86"/>
        <n v="20118.21"/>
        <n v="13650.37"/>
        <n v="34138.11"/>
        <n v="32151.23"/>
        <n v="25262.71"/>
        <n v="18208.830000000002"/>
        <n v="7170.08"/>
        <n v="26916.48"/>
        <n v="15322.09"/>
        <n v="19388.78"/>
        <n v="21247.32"/>
        <n v="37815.47"/>
        <n v="25573.47"/>
        <n v="7364.06"/>
        <n v="9409.36"/>
        <n v="30361.81"/>
        <n v="6542.48"/>
        <n v="27809.67"/>
        <n v="15803.6"/>
        <n v="38959.49"/>
        <n v="22748.78"/>
        <n v="11839.25"/>
      </sharedItems>
    </cacheField>
    <cacheField name="Crew Cost" numFmtId="0">
      <sharedItems containsSemiMixedTypes="0" containsString="0" containsNumber="1" minValue="0" maxValue="14954.65" count="500">
        <n v="7797.25"/>
        <n v="2442.54"/>
        <n v="13621.57"/>
        <n v="11204.98"/>
        <n v="6887.46"/>
        <n v="5293.36"/>
        <n v="7894.77"/>
        <n v="10678.53"/>
        <n v="5604.74"/>
        <n v="2780.76"/>
        <n v="14732.49"/>
        <n v="8396.74"/>
        <n v="9981.56"/>
        <n v="3342.73"/>
        <n v="12104.08"/>
        <n v="10324.36"/>
        <n v="11100.72"/>
        <n v="14218.84"/>
        <n v="11460.98"/>
        <n v="14404.02"/>
        <n v="14890.82"/>
        <n v="7207.99"/>
        <n v="6420.82"/>
        <n v="4640.57"/>
        <n v="5885.31"/>
        <n v="6670.39"/>
        <n v="4463.04"/>
        <n v="9708.2900000000009"/>
        <n v="10364.299999999999"/>
        <n v="7840.99"/>
        <n v="12241.12"/>
        <n v="10500.05"/>
        <n v="8975.2999999999993"/>
        <n v="3840.68"/>
        <n v="2595.42"/>
        <n v="13760.61"/>
        <n v="9683.5499999999993"/>
        <n v="10003.17"/>
        <n v="12549.77"/>
        <n v="9487.57"/>
        <n v="4772.01"/>
        <n v="3569.69"/>
        <n v="6809.06"/>
        <n v="2529.09"/>
        <n v="6889.7"/>
        <n v="2082.54"/>
        <n v="9718.5"/>
        <n v="12043.32"/>
        <n v="8800.1299999999992"/>
        <n v="10991.76"/>
        <n v="3144.28"/>
        <n v="5063.3100000000004"/>
        <n v="10045.969999999999"/>
        <n v="4705.41"/>
        <n v="10908.17"/>
        <n v="13994.75"/>
        <n v="5705.84"/>
        <n v="13571.03"/>
        <n v="14023.2"/>
        <n v="8693.75"/>
        <n v="9705.19"/>
        <n v="11712.13"/>
        <n v="4961.17"/>
        <n v="6881.92"/>
        <n v="2706.41"/>
        <n v="7914.88"/>
        <n v="4524.01"/>
        <n v="3653.75"/>
        <n v="8051.95"/>
        <n v="13523.32"/>
        <n v="9949.8700000000008"/>
        <n v="4986.13"/>
        <n v="14943.64"/>
        <n v="11490.23"/>
        <n v="4891.29"/>
        <n v="7431.03"/>
        <n v="11991.88"/>
        <n v="7126.16"/>
        <n v="9260.33"/>
        <n v="4834.08"/>
        <n v="3179.48"/>
        <n v="4103.4399999999996"/>
        <n v="2317.38"/>
        <n v="11140.75"/>
        <n v="8035.85"/>
        <n v="13614.65"/>
        <n v="11787.54"/>
        <n v="13451.01"/>
        <n v="6731.88"/>
        <n v="10048.73"/>
        <n v="10426.24"/>
        <n v="3799.28"/>
        <n v="8220.42"/>
        <n v="6166.03"/>
        <n v="2707.98"/>
        <n v="8846.8700000000008"/>
        <n v="12729.93"/>
        <n v="10752.98"/>
        <n v="3135.01"/>
        <n v="14436.15"/>
        <n v="3923.4"/>
        <n v="10154.59"/>
        <n v="14112.38"/>
        <n v="10380.9"/>
        <n v="12425.86"/>
        <n v="10398.67"/>
        <n v="8892.16"/>
        <n v="13677.66"/>
        <n v="8295.16"/>
        <n v="6590.57"/>
        <n v="4090.27"/>
        <n v="11205.45"/>
        <n v="14919.05"/>
        <n v="4667.0200000000004"/>
        <n v="3923.27"/>
        <n v="5920.28"/>
        <n v="3889.99"/>
        <n v="14611.95"/>
        <n v="13647.71"/>
        <n v="13989.8"/>
        <n v="13702.27"/>
        <n v="2322.34"/>
        <n v="2715.44"/>
        <n v="14163.65"/>
        <n v="13042.87"/>
        <n v="8376.0499999999993"/>
        <n v="3923.3"/>
        <n v="5700.45"/>
        <n v="9293.43"/>
        <n v="14903.76"/>
        <n v="14614.69"/>
        <n v="12861.65"/>
        <n v="14848.97"/>
        <n v="11829.48"/>
        <n v="5553.28"/>
        <n v="11818.17"/>
        <n v="12819.69"/>
        <n v="12741.23"/>
        <n v="4918.76"/>
        <n v="10327.219999999999"/>
        <n v="5739.96"/>
        <n v="5181.75"/>
        <n v="14618.13"/>
        <n v="13288.5"/>
        <n v="6851.63"/>
        <n v="2760.64"/>
        <n v="11012.68"/>
        <n v="7453.68"/>
        <n v="10306.299999999999"/>
        <n v="4382.22"/>
        <n v="6193.89"/>
        <n v="5913.94"/>
        <n v="12703.09"/>
        <n v="12124.5"/>
        <n v="3331.43"/>
        <n v="12336.39"/>
        <n v="3515.35"/>
        <n v="6050.46"/>
        <n v="14838.56"/>
        <n v="11677.98"/>
        <n v="3850.67"/>
        <n v="14754.42"/>
        <n v="3010.56"/>
        <n v="2552.7199999999998"/>
        <n v="9711.2900000000009"/>
        <n v="2861.22"/>
        <n v="13961.27"/>
        <n v="10717.81"/>
        <n v="14243.98"/>
        <n v="12150.43"/>
        <n v="12654.62"/>
        <n v="14535.43"/>
        <n v="14656.54"/>
        <n v="13066.86"/>
        <n v="7715.66"/>
        <n v="6935"/>
        <n v="11898.32"/>
        <n v="3766.86"/>
        <n v="2527.91"/>
        <n v="7002.15"/>
        <n v="14690.33"/>
        <n v="14804.51"/>
        <n v="12933.76"/>
        <n v="2166.2199999999998"/>
        <n v="7152.81"/>
        <n v="11035.48"/>
        <n v="4193.3999999999996"/>
        <n v="9734.49"/>
        <n v="11427.61"/>
        <n v="9717.4500000000007"/>
        <n v="14351.8"/>
        <n v="7910.25"/>
        <n v="10168.82"/>
        <n v="12794.06"/>
        <n v="6974.23"/>
        <n v="3252.34"/>
        <n v="8398.44"/>
        <n v="8373.25"/>
        <n v="9026.8799999999992"/>
        <n v="7595.28"/>
        <n v="6892.38"/>
        <n v="10572.34"/>
        <n v="7598.85"/>
        <n v="3421.97"/>
        <n v="9438.73"/>
        <n v="2724.58"/>
        <n v="10020.219999999999"/>
        <n v="2798.51"/>
        <n v="12524.19"/>
        <n v="6947.45"/>
        <n v="6566.5"/>
        <n v="9702.91"/>
        <n v="4207.13"/>
        <n v="7492.15"/>
        <n v="9643.86"/>
        <n v="9443"/>
        <n v="6367.58"/>
        <n v="14602.56"/>
        <n v="12232.94"/>
        <n v="14950.96"/>
        <n v="14453.23"/>
        <n v="9363.57"/>
        <n v="2996.6"/>
        <n v="10624.94"/>
        <n v="10124.530000000001"/>
        <n v="13451.66"/>
        <n v="4768.3900000000003"/>
        <n v="12516.14"/>
        <n v="2778.46"/>
        <n v="3956.14"/>
        <n v="13182.42"/>
        <n v="5470.15"/>
        <n v="9816.02"/>
        <n v="2360.15"/>
        <n v="7669.73"/>
        <n v="2378.84"/>
        <n v="13082.77"/>
        <n v="13654.57"/>
        <n v="13707.47"/>
        <n v="13514.35"/>
        <n v="3827.28"/>
        <n v="3568.35"/>
        <n v="9797.68"/>
        <n v="7069.36"/>
        <n v="3388.58"/>
        <n v="5305.98"/>
        <n v="14333.24"/>
        <n v="5202.51"/>
        <n v="6718.97"/>
        <n v="14568.47"/>
        <n v="14231.03"/>
        <n v="10306.34"/>
        <n v="10908.23"/>
        <n v="13827.26"/>
        <n v="5911.55"/>
        <n v="4082.95"/>
        <n v="11967.63"/>
        <n v="3041.23"/>
        <n v="12935.13"/>
        <n v="12717.21"/>
        <n v="9827.51"/>
        <n v="2355.56"/>
        <n v="7764.26"/>
        <n v="5972.12"/>
        <n v="5244.85"/>
        <n v="12304.35"/>
        <n v="3735.63"/>
        <n v="12393.87"/>
        <n v="7115.42"/>
        <n v="4918.33"/>
        <n v="10146.16"/>
        <n v="11116.4"/>
        <n v="9805.11"/>
        <n v="14314.17"/>
        <n v="12053.67"/>
        <n v="4918.29"/>
        <n v="12167.59"/>
        <n v="7607.01"/>
        <n v="5678.57"/>
        <n v="3897.26"/>
        <n v="7862.7"/>
        <n v="7956.13"/>
        <n v="14667.19"/>
        <n v="11209.89"/>
        <n v="2677.46"/>
        <n v="9882.8700000000008"/>
        <n v="6952.19"/>
        <n v="13598.94"/>
        <n v="8548.7099999999991"/>
        <n v="6125.13"/>
        <n v="2574.11"/>
        <n v="5653.01"/>
        <n v="13400.17"/>
        <n v="4144.79"/>
        <n v="13089.44"/>
        <n v="4988.1899999999996"/>
        <n v="8072.73"/>
        <n v="2530.29"/>
        <n v="7950.88"/>
        <n v="3607.51"/>
        <n v="12854.4"/>
        <n v="4761.1499999999996"/>
        <n v="7413.45"/>
        <n v="3225.97"/>
        <n v="10848.31"/>
        <n v="3378.91"/>
        <n v="12799.09"/>
        <n v="9724.66"/>
        <n v="10090.74"/>
        <n v="11546.15"/>
        <n v="10367.370000000001"/>
        <n v="9113.0300000000007"/>
        <n v="5121.04"/>
        <n v="4118.2299999999996"/>
        <n v="10502.84"/>
        <n v="12414.31"/>
        <n v="6667.58"/>
        <n v="8365.1"/>
        <n v="7499.92"/>
        <n v="7643.38"/>
        <n v="14652.53"/>
        <n v="14098.68"/>
        <n v="13793.7"/>
        <n v="10896.08"/>
        <n v="5841.26"/>
        <n v="8674.39"/>
        <n v="11364.03"/>
        <n v="11992.41"/>
        <n v="4334.18"/>
        <n v="7411.27"/>
        <n v="11845.61"/>
        <n v="14567.36"/>
        <n v="14768.42"/>
        <n v="8946.89"/>
        <n v="10525.41"/>
        <n v="14555.45"/>
        <n v="10017.68"/>
        <n v="3756.48"/>
        <n v="14616.76"/>
        <n v="10446.620000000001"/>
        <n v="9001.57"/>
        <n v="8161.86"/>
        <n v="11604.16"/>
        <n v="13177.35"/>
        <n v="12839.9"/>
        <n v="13019.18"/>
        <n v="11582.02"/>
        <n v="8673.6200000000008"/>
        <n v="2247.2600000000002"/>
        <n v="10427.9"/>
        <n v="10400.34"/>
        <n v="5744.14"/>
        <n v="8599.27"/>
        <n v="11297.59"/>
        <n v="11248.01"/>
        <n v="11549.6"/>
        <n v="10083.950000000001"/>
        <n v="8277.57"/>
        <n v="3311.75"/>
        <n v="5051.3500000000004"/>
        <n v="5390.5"/>
        <n v="8545.23"/>
        <n v="4946.97"/>
        <n v="12203.52"/>
        <n v="13652.13"/>
        <n v="7691.75"/>
        <n v="14670.58"/>
        <n v="3370.34"/>
        <n v="4041.42"/>
        <n v="8479.08"/>
        <n v="12649.09"/>
        <n v="7404.75"/>
        <n v="6437.16"/>
        <n v="11812.99"/>
        <n v="11791.68"/>
        <n v="7574.7"/>
        <n v="8710.02"/>
        <n v="12011.97"/>
        <n v="14765.28"/>
        <n v="7112.46"/>
        <n v="13732.64"/>
        <n v="12387.92"/>
        <n v="11110.28"/>
        <n v="6474.05"/>
        <n v="3909.2"/>
        <n v="9077.5300000000007"/>
        <n v="12160.32"/>
        <n v="3095.65"/>
        <n v="13438.38"/>
        <n v="6059.28"/>
        <n v="2362.59"/>
        <n v="11444.62"/>
        <n v="5376.83"/>
        <n v="14237.46"/>
        <n v="7890.91"/>
        <n v="9352.76"/>
        <n v="12202.26"/>
        <n v="5219.2299999999996"/>
        <n v="12121.14"/>
        <n v="11251.33"/>
        <n v="13550.62"/>
        <n v="10798.69"/>
        <n v="7132.17"/>
        <n v="14954.65"/>
        <n v="4116.96"/>
        <n v="14584.41"/>
        <n v="2423.9"/>
        <n v="14373.68"/>
        <n v="5764.68"/>
        <n v="6867.98"/>
        <n v="3847.82"/>
        <n v="13557.74"/>
        <n v="2027.11"/>
        <n v="8255.2900000000009"/>
        <n v="12157.54"/>
        <n v="3726.52"/>
        <n v="7849.08"/>
        <n v="3161.09"/>
        <n v="13703.18"/>
        <n v="13570.56"/>
        <n v="11193.71"/>
        <n v="9271.59"/>
        <n v="11849"/>
        <n v="8534.2999999999993"/>
        <n v="4336.66"/>
        <n v="12785.98"/>
        <n v="6165.61"/>
        <n v="6419.44"/>
        <n v="6125.97"/>
        <n v="9043.1299999999992"/>
        <n v="3165.17"/>
        <n v="2765.88"/>
        <n v="5874.32"/>
        <n v="6214.83"/>
        <n v="2674.42"/>
        <n v="8408.73"/>
        <n v="6138.37"/>
        <n v="10236.040000000001"/>
        <n v="10776.27"/>
        <n v="3632.43"/>
        <n v="8505.6200000000008"/>
        <n v="12166.31"/>
        <n v="9216.98"/>
        <n v="12781.83"/>
        <n v="2782.28"/>
        <n v="5261.56"/>
        <n v="4765.8"/>
        <n v="9320.06"/>
        <n v="12796.48"/>
        <n v="8562.66"/>
        <n v="10257.209999999999"/>
        <n v="6181.3"/>
        <n v="2206.37"/>
        <n v="2026.62"/>
        <n v="4255.97"/>
        <n v="12234.97"/>
        <n v="12608.74"/>
        <n v="12566.16"/>
        <n v="12554.31"/>
        <n v="4508.88"/>
        <n v="5654.75"/>
        <n v="10128.08"/>
        <n v="6718.99"/>
        <n v="9878.35"/>
        <n v="7149.12"/>
        <n v="9173.2099999999991"/>
        <n v="2845.64"/>
        <n v="13453.04"/>
        <n v="14895.37"/>
        <n v="2025.41"/>
        <n v="2674.22"/>
        <n v="5562.46"/>
        <n v="8724.34"/>
        <n v="5613.13"/>
        <n v="7094.17"/>
        <n v="2329.84"/>
        <n v="2967.72"/>
        <n v="2816.97"/>
        <n v="2312.31"/>
        <n v="8156.49"/>
        <n v="12681.24"/>
        <n v="10054.370000000001"/>
        <n v="3111.95"/>
        <n v="13571.09"/>
        <n v="12431.03"/>
        <n v="2855.27"/>
        <n v="6958.92"/>
        <n v="13239.58"/>
        <n v="7565.37"/>
        <n v="12178.08"/>
        <n v="3404.09"/>
        <n v="12262.41"/>
        <n v="8615.67"/>
        <n v="7780.12"/>
        <n v="3659.85"/>
        <n v="6650.67"/>
        <n v="6457.7"/>
        <n v="8729.85"/>
        <n v="12857.27"/>
        <n v="4604.83"/>
      </sharedItems>
    </cacheField>
    <cacheField name="Profit" numFmtId="0">
      <sharedItems containsSemiMixedTypes="0" containsString="0" containsNumber="1" minValue="-47864.3" maxValue="336384.46" count="500">
        <n v="71940.34"/>
        <n v="128145.06"/>
        <n v="31787.07"/>
        <n v="109477.59"/>
        <n v="93689.600000000006"/>
        <n v="-8544.77"/>
        <n v="107958.37"/>
        <n v="10568.84"/>
        <n v="58499.28"/>
        <n v="141386.35"/>
        <n v="69648.3"/>
        <n v="132836.44"/>
        <n v="55983.199999999997"/>
        <n v="104514.73"/>
        <n v="7995.21"/>
        <n v="100807.48"/>
        <n v="106857.84"/>
        <n v="-7408.15"/>
        <n v="89810.52"/>
        <n v="60698.69"/>
        <n v="80306.47"/>
        <n v="-36072.239999999998"/>
        <n v="30849.85"/>
        <n v="110759.8"/>
        <n v="26462.43"/>
        <n v="-346.23"/>
        <n v="-7828.87"/>
        <n v="94041.5"/>
        <n v="119910.8"/>
        <n v="131724.59"/>
        <n v="3930.72"/>
        <n v="18056.39"/>
        <n v="196039.35"/>
        <n v="31987.75"/>
        <n v="28012.44"/>
        <n v="42931.3"/>
        <n v="113107.02"/>
        <n v="-7516.63"/>
        <n v="-7917.51"/>
        <n v="47325.21"/>
        <n v="70934.960000000006"/>
        <n v="15197.87"/>
        <n v="50480.31"/>
        <n v="159639.76999999999"/>
        <n v="48697.26"/>
        <n v="7853.63"/>
        <n v="-12431.25"/>
        <n v="43667.94"/>
        <n v="7875.8"/>
        <n v="94782.06"/>
        <n v="189704.22"/>
        <n v="290186.12"/>
        <n v="137994.1"/>
        <n v="30115.360000000001"/>
        <n v="157928.37"/>
        <n v="47720.42"/>
        <n v="-33275.97"/>
        <n v="-1535.95"/>
        <n v="-3598"/>
        <n v="23335.81"/>
        <n v="109676.87"/>
        <n v="-31379.45"/>
        <n v="15481.2"/>
        <n v="-6746.63"/>
        <n v="-6655.73"/>
        <n v="156096.93"/>
        <n v="141498.98000000001"/>
        <n v="300803.18"/>
        <n v="168819.92"/>
        <n v="336384.46"/>
        <n v="34700.400000000001"/>
        <n v="41421.49"/>
        <n v="128558.04"/>
        <n v="149742.81"/>
        <n v="77017.399999999994"/>
        <n v="75627.839999999997"/>
        <n v="-14263"/>
        <n v="-27025.58"/>
        <n v="101217.68"/>
        <n v="20632.87"/>
        <n v="22225.35"/>
        <n v="-32519.69"/>
        <n v="1584.46"/>
        <n v="240231.73"/>
        <n v="55758.26"/>
        <n v="39904.51"/>
        <n v="101266.79"/>
        <n v="88485.79"/>
        <n v="191919.69"/>
        <n v="-7815.02"/>
        <n v="-28251.39"/>
        <n v="78526.45"/>
        <n v="4699.8100000000004"/>
        <n v="-12529.55"/>
        <n v="-698.13"/>
        <n v="256941.89"/>
        <n v="5425.64"/>
        <n v="112792.64"/>
        <n v="10230.58"/>
        <n v="59441.9"/>
        <n v="151936.89000000001"/>
        <n v="26292.48"/>
        <n v="-20441.36"/>
        <n v="33603.65"/>
        <n v="50669.05"/>
        <n v="45311.040000000001"/>
        <n v="2444.16"/>
        <n v="23068.2"/>
        <n v="184322.37"/>
        <n v="132924.24"/>
        <n v="62052.17"/>
        <n v="10514.61"/>
        <n v="81717.75"/>
        <n v="-9176.58"/>
        <n v="43898.13"/>
        <n v="1848.12"/>
        <n v="127864.88"/>
        <n v="94597.85"/>
        <n v="34078.33"/>
        <n v="303310.37"/>
        <n v="95115.47"/>
        <n v="45902.18"/>
        <n v="133962.12"/>
        <n v="38594.18"/>
        <n v="145754.88"/>
        <n v="43913.03"/>
        <n v="178242.08"/>
        <n v="2023.08"/>
        <n v="35914.400000000001"/>
        <n v="-1604.37"/>
        <n v="16289.85"/>
        <n v="147331.26999999999"/>
        <n v="194109.95"/>
        <n v="15616.49"/>
        <n v="42335.51"/>
        <n v="-21906.7"/>
        <n v="-24793.7"/>
        <n v="152377.24"/>
        <n v="105401.68"/>
        <n v="-4336.33"/>
        <n v="-6150.2"/>
        <n v="22610.19"/>
        <n v="153717.51999999999"/>
        <n v="24958.240000000002"/>
        <n v="33430.79"/>
        <n v="198476.93"/>
        <n v="-32149.22"/>
        <n v="5518.92"/>
        <n v="53584.22"/>
        <n v="129911.27"/>
        <n v="56023.92"/>
        <n v="51702.77"/>
        <n v="43330.43"/>
        <n v="7444.43"/>
        <n v="29376.29"/>
        <n v="124434.71"/>
        <n v="148296.45000000001"/>
        <n v="64795.69"/>
        <n v="-19155.07"/>
        <n v="-17013.740000000002"/>
        <n v="40114.050000000003"/>
        <n v="129928.05"/>
        <n v="100462.9"/>
        <n v="-34059.410000000003"/>
        <n v="47669.81"/>
        <n v="93432.77"/>
        <n v="160784.34"/>
        <n v="152100.41"/>
        <n v="81889.61"/>
        <n v="20708.52"/>
        <n v="91162.64"/>
        <n v="450.95"/>
        <n v="181.98"/>
        <n v="-9911.27"/>
        <n v="46524.67"/>
        <n v="-741.6"/>
        <n v="21245.35"/>
        <n v="43762.49"/>
        <n v="-13500.87"/>
        <n v="-29282.1"/>
        <n v="67080.69"/>
        <n v="26556.62"/>
        <n v="74352.47"/>
        <n v="100025.91"/>
        <n v="-35676.15"/>
        <n v="117682.35"/>
        <n v="-16873.95"/>
        <n v="11373.26"/>
        <n v="236939.08"/>
        <n v="41791.25"/>
        <n v="131612.98000000001"/>
        <n v="44714.62"/>
        <n v="16983.27"/>
        <n v="-25594.36"/>
        <n v="-5930.88"/>
        <n v="60281.14"/>
        <n v="37428.01"/>
        <n v="-21246.97"/>
        <n v="281412.53999999998"/>
        <n v="2331.56"/>
        <n v="7567.67"/>
        <n v="104198.67"/>
        <n v="48520.81"/>
        <n v="16281.21"/>
        <n v="22680.720000000001"/>
        <n v="56704.22"/>
        <n v="-11626.99"/>
        <n v="188699.99"/>
        <n v="194041.93"/>
        <n v="31827.5"/>
        <n v="191435.14"/>
        <n v="-15686.55"/>
        <n v="204409.9"/>
        <n v="136128.91"/>
        <n v="170621.71"/>
        <n v="19299.2"/>
        <n v="43820.45"/>
        <n v="101759.07"/>
        <n v="3191.91"/>
        <n v="6499.97"/>
        <n v="65206.22"/>
        <n v="55305.279999999999"/>
        <n v="64718.25"/>
        <n v="5399.83"/>
        <n v="22982.44"/>
        <n v="32333.95"/>
        <n v="-29957.91"/>
        <n v="109608.28"/>
        <n v="62733.95"/>
        <n v="115533.17"/>
        <n v="87657.7"/>
        <n v="-5361.53"/>
        <n v="105199.27"/>
        <n v="5987.64"/>
        <n v="16217.07"/>
        <n v="50791.31"/>
        <n v="25479.22"/>
        <n v="32092.79"/>
        <n v="136929.16"/>
        <n v="1943.33"/>
        <n v="88070.02"/>
        <n v="96050.94"/>
        <n v="-5172.8100000000004"/>
        <n v="28329.61"/>
        <n v="191546.72"/>
        <n v="54069.19"/>
        <n v="33045.94"/>
        <n v="118681.89"/>
        <n v="-19955.13"/>
        <n v="138082.74"/>
        <n v="-19354.32"/>
        <n v="-13470.38"/>
        <n v="-47518.73"/>
        <n v="167018.6"/>
        <n v="22621.37"/>
        <n v="-19231.82"/>
        <n v="16328.44"/>
        <n v="22363.25"/>
        <n v="-20720.23"/>
        <n v="4215.59"/>
        <n v="23367.66"/>
        <n v="-23219.72"/>
        <n v="34437.85"/>
        <n v="69672.44"/>
        <n v="-14123.84"/>
        <n v="12462.12"/>
        <n v="121473.08"/>
        <n v="39696.25"/>
        <n v="-8288.3700000000008"/>
        <n v="12629.84"/>
        <n v="66825.33"/>
        <n v="108773.99"/>
        <n v="206543.72"/>
        <n v="15610.18"/>
        <n v="42207.22"/>
        <n v="78918.53"/>
        <n v="-29445.62"/>
        <n v="-5052.46"/>
        <n v="-9528.4599999999991"/>
        <n v="152916.6"/>
        <n v="196750.4"/>
        <n v="-4391.78"/>
        <n v="93911.7"/>
        <n v="-21714"/>
        <n v="-2884.89"/>
        <n v="93364.66"/>
        <n v="47119.45"/>
        <n v="19114.34"/>
        <n v="7479"/>
        <n v="46325.2"/>
        <n v="62489.03"/>
        <n v="-23389.09"/>
        <n v="60332.95"/>
        <n v="65835.23"/>
        <n v="27017.15"/>
        <n v="53816.97"/>
        <n v="91084.91"/>
        <n v="28714.62"/>
        <n v="18784.22"/>
        <n v="198489.58"/>
        <n v="-2575.14"/>
        <n v="35661.269999999997"/>
        <n v="90552.15"/>
        <n v="-8889.07"/>
        <n v="13231.44"/>
        <n v="-1671.9"/>
        <n v="5980.86"/>
        <n v="1206.99"/>
        <n v="57429.48"/>
        <n v="37114.639999999999"/>
        <n v="1141.8"/>
        <n v="-17346.71"/>
        <n v="1506.63"/>
        <n v="41831.379999999997"/>
        <n v="-25780.07"/>
        <n v="-27863.439999999999"/>
        <n v="260461.58"/>
        <n v="81892.69"/>
        <n v="-15537.73"/>
        <n v="110022.83"/>
        <n v="290262.63"/>
        <n v="11683.95"/>
        <n v="14789.28"/>
        <n v="70602.850000000006"/>
        <n v="85190.9"/>
        <n v="12219.82"/>
        <n v="92129.36"/>
        <n v="58052.75"/>
        <n v="-3960.39"/>
        <n v="52719.87"/>
        <n v="68177.34"/>
        <n v="187590.56"/>
        <n v="100856.15"/>
        <n v="26961.200000000001"/>
        <n v="21903.58"/>
        <n v="58865.07"/>
        <n v="-14851.04"/>
        <n v="2569.09"/>
        <n v="25952.080000000002"/>
        <n v="29736.13"/>
        <n v="40396.269999999997"/>
        <n v="153511.93"/>
        <n v="12763.96"/>
        <n v="45454.61"/>
        <n v="145789.57"/>
        <n v="25302.93"/>
        <n v="2136.96"/>
        <n v="68713.919999999998"/>
        <n v="88348.73"/>
        <n v="1647.05"/>
        <n v="15485.64"/>
        <n v="34108.730000000003"/>
        <n v="80405.36"/>
        <n v="-24623.15"/>
        <n v="3789.39"/>
        <n v="58339.93"/>
        <n v="103533.06"/>
        <n v="29069.54"/>
        <n v="117769.56"/>
        <n v="56969.15"/>
        <n v="25894.81"/>
        <n v="110694.65"/>
        <n v="4724.71"/>
        <n v="126082.68"/>
        <n v="75798.22"/>
        <n v="-7599.19"/>
        <n v="-28504.880000000001"/>
        <n v="134703.59"/>
        <n v="52365.95"/>
        <n v="21606.03"/>
        <n v="148986.78"/>
        <n v="50513.23"/>
        <n v="22831.63"/>
        <n v="-8477.3700000000008"/>
        <n v="76199.98"/>
        <n v="58157.32"/>
        <n v="117757.21"/>
        <n v="48913.63"/>
        <n v="57871.28"/>
        <n v="-27304.99"/>
        <n v="13320.23"/>
        <n v="48142.15"/>
        <n v="3455.05"/>
        <n v="104555.55"/>
        <n v="66323.350000000006"/>
        <n v="4958.66"/>
        <n v="50101.99"/>
        <n v="118153.02"/>
        <n v="-4060.25"/>
        <n v="104560.36"/>
        <n v="55016.15"/>
        <n v="31602.31"/>
        <n v="32015.59"/>
        <n v="79270.429999999993"/>
        <n v="162028.01999999999"/>
        <n v="-34650.720000000001"/>
        <n v="43398.31"/>
        <n v="-573.58000000000004"/>
        <n v="23313.46"/>
        <n v="-19680.900000000001"/>
        <n v="116472.24"/>
        <n v="49410.239999999998"/>
        <n v="8210.56"/>
        <n v="-13135.51"/>
        <n v="99865.4"/>
        <n v="129815.47"/>
        <n v="20881.060000000001"/>
        <n v="202046.96"/>
        <n v="166008.6"/>
        <n v="126466.35"/>
        <n v="-19289.37"/>
        <n v="-40262.43"/>
        <n v="17802.240000000002"/>
        <n v="90806.76"/>
        <n v="158761.07"/>
        <n v="-17497.75"/>
        <n v="3982.6"/>
        <n v="141456.75"/>
        <n v="-32256.41"/>
        <n v="29945.62"/>
        <n v="61443.24"/>
        <n v="153165.48000000001"/>
        <n v="156201.76"/>
        <n v="-39803.85"/>
        <n v="8734.73"/>
        <n v="133684.81"/>
        <n v="8869.61"/>
        <n v="122577.5"/>
        <n v="-10900.68"/>
        <n v="-9188.74"/>
        <n v="11701.8"/>
        <n v="52645.7"/>
        <n v="-10290.879999999999"/>
        <n v="7179.51"/>
        <n v="31932.38"/>
        <n v="-7819.07"/>
        <n v="45518.05"/>
        <n v="1553.37"/>
        <n v="-2246.48"/>
        <n v="114057.63"/>
        <n v="-11060.55"/>
        <n v="27022"/>
        <n v="-47864.3"/>
        <n v="125284.74"/>
        <n v="213734.02"/>
        <n v="-19827.16"/>
        <n v="118415.32"/>
        <n v="63164.68"/>
        <n v="108301.65"/>
        <n v="31844.87"/>
        <n v="72178.929999999993"/>
        <n v="150713.56"/>
        <n v="65641.25"/>
        <n v="-29652.14"/>
        <n v="49533.25"/>
        <n v="10472.39"/>
        <n v="29028.86"/>
        <n v="18160.939999999999"/>
        <n v="-3656.5"/>
        <n v="96059.87"/>
        <n v="140655.95000000001"/>
        <n v="166637.26999999999"/>
        <n v="19359.47"/>
        <n v="21720.74"/>
        <n v="134005.87"/>
        <n v="-13166.7"/>
        <n v="141155.95000000001"/>
        <n v="94017.76"/>
        <n v="156207.51999999999"/>
        <n v="86655.76"/>
        <n v="199169.45"/>
        <n v="-6651.08"/>
        <n v="-31069.46"/>
        <n v="-2861.58"/>
        <n v="86233.36"/>
        <n v="78969.48"/>
        <n v="152671.10999999999"/>
        <n v="40166.47"/>
        <n v="43444.53"/>
        <n v="90796.05"/>
        <n v="-46819.35"/>
        <n v="-25558.99"/>
        <n v="43743.16"/>
        <n v="13597.25"/>
        <n v="63441"/>
        <n v="242440.67"/>
        <n v="37144.39"/>
        <n v="50204.2"/>
        <n v="29650.97"/>
        <n v="-18010.490000000002"/>
        <n v="18487.240000000002"/>
        <n v="67402.69"/>
        <n v="40607.78"/>
        <n v="3800.55"/>
        <n v="32455.48"/>
        <n v="45323.5"/>
        <n v="127782.23"/>
        <n v="-47689.34"/>
        <n v="15749.45"/>
        <n v="9626.1"/>
      </sharedItems>
    </cacheField>
    <cacheField name="Payment Method" numFmtId="0">
      <sharedItems count="4">
        <s v="Cash"/>
        <s v="Credit Card"/>
        <s v="Debit Card"/>
        <s v="Travel Points"/>
      </sharedItems>
    </cacheField>
    <cacheField name="Ticket price" numFmtId="0">
      <sharedItems containsSemiMixedTypes="0" containsString="0" containsNumber="1" minValue="0" maxValue="1196.58" count="465">
        <n v="837.9"/>
        <n v="881.94"/>
        <n v="1152.08"/>
        <n v="1169.8900000000001"/>
        <n v="1037.96"/>
        <n v="159.97"/>
        <n v="1000.42"/>
        <n v="236.39"/>
        <n v="1044.44"/>
        <n v="587.19000000000005"/>
        <n v="494.95499999999998"/>
        <n v="677.70500000000004"/>
        <n v="579.745"/>
        <n v="498.48"/>
        <n v="527.08500000000004"/>
        <n v="627.39"/>
        <n v="641.17750000000001"/>
        <n v="956.27"/>
        <n v="450.89"/>
        <n v="1182.3399999999999"/>
        <n v="158.37"/>
        <n v="860.87"/>
        <n v="420.34"/>
        <n v="968.98"/>
        <n v="245.04"/>
        <n v="353.26"/>
        <n v="1107.57"/>
        <n v="584.08000000000004"/>
        <n v="456.15"/>
        <n v="601.84"/>
        <n v="1035.8599999999999"/>
        <n v="829.14"/>
        <n v="560.04999999999995"/>
        <n v="362.54"/>
        <n v="775.9"/>
        <n v="201.07"/>
        <n v="1032.33"/>
        <n v="805.25"/>
        <n v="1161.33"/>
        <n v="1067.43"/>
        <n v="477.4"/>
        <n v="929.14"/>
        <n v="493.3"/>
        <n v="887.84"/>
        <n v="411.8"/>
        <n v="794.41"/>
        <n v="207.78"/>
        <n v="705.04"/>
        <n v="775.55"/>
        <n v="164.07"/>
        <n v="159.72"/>
        <n v="159.97999999999999"/>
        <n v="1135.8"/>
        <n v="737.58"/>
        <n v="1196.58"/>
        <n v="496.71749999999997"/>
        <n v="1166.6099999999999"/>
        <n v="780.46"/>
        <n v="428.04"/>
        <n v="545.35"/>
        <n v="683.21"/>
        <n v="436.36"/>
        <n v="191.68"/>
        <n v="1033.98"/>
        <n v="566.04999999999995"/>
        <n v="481.48"/>
        <n v="637.39"/>
        <n v="256.93"/>
        <n v="199.45"/>
        <n v="1012.78"/>
        <n v="228.02"/>
        <n v="1158.44"/>
        <n v="833.57"/>
        <n v="805.37"/>
        <n v="188.86"/>
        <n v="853.11"/>
        <n v="388.99"/>
        <n v="156.84"/>
        <n v="360.73"/>
        <n v="221.97"/>
        <n v="1138.8699999999999"/>
        <n v="629.1"/>
        <n v="674.22"/>
        <n v="526.58000000000004"/>
        <n v="563.70000000000005"/>
        <n v="1164.6099999999999"/>
        <n v="491.67"/>
        <n v="86.84"/>
        <n v="461.8"/>
        <n v="397.24"/>
        <n v="417.59"/>
        <n v="505.83"/>
        <n v="1045.56"/>
        <n v="595.30999999999995"/>
        <n v="915.3"/>
        <n v="244.02"/>
        <n v="800.15"/>
        <n v="163.09"/>
        <n v="1148.74"/>
        <n v="195.92"/>
        <n v="1108.0899999999999"/>
        <n v="890.58"/>
        <n v="501.88"/>
        <n v="1145.31"/>
        <n v="1061.56"/>
        <n v="488.02"/>
        <n v="839.7"/>
        <n v="798.12"/>
        <n v="1193.8699999999999"/>
        <n v="929.9"/>
        <n v="346.16"/>
        <n v="724.05"/>
        <n v="155.80000000000001"/>
        <n v="916.99"/>
        <n v="1010.03"/>
        <n v="1072.0899999999999"/>
        <n v="451.76"/>
        <n v="491.43"/>
        <n v="169.68"/>
        <n v="768.63"/>
        <n v="1030.51"/>
        <n v="840.55"/>
        <n v="109.02"/>
        <n v="304.2"/>
        <n v="607.15771802325605"/>
        <n v="965.22"/>
        <n v="668.78"/>
        <n v="796.57"/>
        <n v="1126.9100000000001"/>
        <n v="184.64"/>
        <n v="130.91999999999999"/>
        <n v="620.9"/>
        <n v="759.46"/>
        <n v="887.66"/>
        <n v="646.1"/>
        <n v="230.01"/>
        <n v="403.23"/>
        <n v="591.83000000000004"/>
        <n v="676.22"/>
        <n v="109.84"/>
        <n v="115.36"/>
        <n v="947.97"/>
        <n v="1101.58"/>
        <n v="943.72"/>
        <n v="505.26"/>
        <n v="814.69"/>
        <n v="830.21"/>
        <n v="1175.26"/>
        <n v="723.03"/>
        <n v="1061.95"/>
        <n v="604.17999999999995"/>
        <n v="835.33"/>
        <n v="614.75"/>
        <n v="482.7"/>
        <n v="491.65"/>
        <n v="841.98"/>
        <n v="306.42"/>
        <n v="578.94000000000005"/>
        <n v="523.46"/>
        <n v="115.54"/>
        <n v="228.95"/>
        <n v="555.02"/>
        <n v="768.71"/>
        <n v="342.46"/>
        <n v="1061.4100000000001"/>
        <n v="702.55"/>
        <n v="924.95"/>
        <n v="230.18"/>
        <n v="502.43"/>
        <n v="1157.53"/>
        <n v="602.20000000000005"/>
        <n v="1104.05"/>
        <n v="299.73"/>
        <n v="269.58"/>
        <n v="339.21"/>
        <n v="1108.21"/>
        <n v="594.08000000000004"/>
        <n v="142.85"/>
        <n v="1089.43"/>
        <n v="97.54"/>
        <n v="451.54"/>
        <n v="941.29"/>
        <n v="841.26"/>
        <n v="252.79"/>
        <n v="289.88"/>
        <n v="958.57"/>
        <n v="381.19"/>
        <n v="1137.53"/>
        <n v="1022.61"/>
        <n v="278.95"/>
        <n v="1123.92"/>
        <n v="235.88"/>
        <n v="1114.32"/>
        <n v="766.2"/>
        <n v="916.48"/>
        <n v="620.70000000000005"/>
        <n v="470.1"/>
        <n v="1121.51"/>
        <n v="286.58999999999997"/>
        <n v="310.48"/>
        <n v="671.04"/>
        <n v="1108.92"/>
        <n v="548.42999999999995"/>
        <n v="432.33"/>
        <n v="545.51"/>
        <n v="268.39"/>
        <n v="931.2"/>
        <n v="571.76"/>
        <n v="472.91"/>
        <n v="1109.02"/>
        <n v="726.72"/>
        <n v="589.26"/>
        <n v="634.08000000000004"/>
        <n v="98.24"/>
        <n v="483.69"/>
        <n v="614.02"/>
        <n v="615.02"/>
        <n v="798.57"/>
        <n v="1110.28"/>
        <n v="432.24"/>
        <n v="411.01"/>
        <n v="1185.31"/>
        <n v="155.63999999999999"/>
        <n v="680.95"/>
        <n v="934.81"/>
        <n v="765.77"/>
        <n v="222.16"/>
        <n v="782.84"/>
        <n v="335.81"/>
        <n v="699.21"/>
        <n v="213.73"/>
        <n v="176.75"/>
        <n v="931.74"/>
        <n v="930"/>
        <n v="184.19"/>
        <n v="163.81"/>
        <n v="384.59"/>
        <n v="215.23"/>
        <n v="125.17"/>
        <n v="702.67"/>
        <n v="496.91"/>
        <n v="1093.69"/>
        <n v="508.66"/>
        <n v="771.01"/>
        <n v="799.77"/>
        <n v="642.67999999999995"/>
        <n v="1170.8599999999999"/>
        <n v="344.94"/>
        <n v="122.52"/>
        <n v="882.97"/>
        <n v="736.34"/>
        <n v="992.19"/>
        <n v="796.4"/>
        <n v="896.8"/>
        <n v="570.80999999999995"/>
        <n v="929.23"/>
        <n v="270.52"/>
        <n v="264.8"/>
        <n v="413.09"/>
        <n v="1002.76"/>
        <n v="959.06"/>
        <n v="374.89"/>
        <n v="1167.19"/>
        <n v="168.43"/>
        <n v="221.33"/>
        <n v="698.3"/>
        <n v="732.6"/>
        <n v="623.85"/>
        <n v="135.21"/>
        <n v="416.54"/>
        <n v="930.63"/>
        <n v="112.42"/>
        <n v="1002.33"/>
        <n v="471.73"/>
        <n v="332.13"/>
        <n v="330.62"/>
        <n v="418.4"/>
        <n v="456.64"/>
        <n v="819.79"/>
        <n v="993.94"/>
        <n v="282.87"/>
        <n v="550.92999999999995"/>
        <n v="640.53"/>
        <n v="240.41"/>
        <n v="725.43"/>
        <n v="677.84"/>
        <n v="195.03"/>
        <n v="463.86"/>
        <n v="740.46"/>
        <n v="812"/>
        <n v="310.14999999999998"/>
        <n v="211.86"/>
        <n v="124.13"/>
        <n v="829.3"/>
        <n v="191.79"/>
        <n v="633.96"/>
        <n v="545.95000000000005"/>
        <n v="206.49"/>
        <n v="661.39"/>
        <n v="1126.5"/>
        <n v="329.43"/>
        <n v="212.95"/>
        <n v="1158.75"/>
        <n v="751.95"/>
        <n v="498.76"/>
        <n v="817.47"/>
        <n v="274.49"/>
        <n v="779.07"/>
        <n v="629.91020467836302"/>
        <n v="830.68"/>
        <n v="194.78"/>
        <n v="546.54999999999995"/>
        <n v="692.21"/>
        <n v="213.68"/>
        <n v="124.73"/>
        <n v="668.44"/>
        <n v="450.79"/>
        <n v="1108.8399999999999"/>
        <n v="1000.76"/>
        <n v="1168.22"/>
        <n v="916.52"/>
        <n v="1100.3"/>
        <n v="798.39"/>
        <n v="507.18"/>
        <n v="497.91"/>
        <n v="918.09"/>
        <n v="283.12"/>
        <n v="625.65"/>
        <n v="447.75"/>
        <n v="877.66"/>
        <n v="201.89"/>
        <n v="533.75"/>
        <n v="641.26"/>
        <n v="1142.56"/>
        <n v="342.1"/>
        <n v="789.6"/>
        <n v="501.49"/>
        <n v="337.59"/>
        <n v="260.45999999999998"/>
        <n v="794.14"/>
        <n v="752.94"/>
        <n v="511.72"/>
        <n v="123.72"/>
        <n v="560.42999999999995"/>
        <n v="750.09"/>
        <n v="537.91"/>
        <n v="925.57"/>
        <n v="860.7"/>
        <n v="374.66"/>
        <n v="813.62"/>
        <n v="1109.48"/>
        <n v="360.16"/>
        <n v="368.76"/>
        <n v="358.05"/>
        <n v="638.88"/>
        <n v="214.26"/>
        <n v="1053.02"/>
        <n v="642.77"/>
        <n v="192.84"/>
        <n v="638.62"/>
        <n v="991.89"/>
        <n v="853.41"/>
        <n v="1123.67"/>
        <n v="444.1"/>
        <n v="765.79"/>
        <n v="758.03"/>
        <n v="109.53"/>
        <n v="576.34"/>
        <n v="231.33"/>
        <n v="334.38"/>
        <n v="605.5"/>
        <n v="348.31"/>
        <n v="203.6"/>
        <n v="288.25"/>
        <n v="462.94"/>
        <n v="948.73"/>
        <n v="784.66"/>
        <n v="730.81"/>
        <n v="147.26"/>
        <n v="103.92"/>
        <n v="289.02"/>
        <n v="491.17"/>
        <n v="817.28"/>
        <n v="203.72"/>
        <n v="115.64"/>
        <n v="814.44"/>
        <n v="1014.59"/>
        <n v="815.7"/>
        <n v="1068.76"/>
        <n v="696.09"/>
        <n v="1117.28"/>
        <n v="1192.6199999999999"/>
        <n v="595.61"/>
        <n v="902.38"/>
        <n v="469.68"/>
        <n v="712.7"/>
        <n v="404.56"/>
        <n v="566.63"/>
        <n v="378.21"/>
        <n v="814.06"/>
        <n v="254.71"/>
        <n v="421.73"/>
        <n v="858.48"/>
        <n v="383.84"/>
        <n v="649.57000000000005"/>
        <n v="124.52"/>
        <n v="388.98"/>
        <n v="663.2"/>
        <n v="227.58"/>
        <n v="1124.99"/>
        <n v="1156.54"/>
        <n v="770.98"/>
        <n v="1027.67"/>
        <n v="537.62"/>
        <n v="850.41"/>
        <n v="585.79999999999995"/>
        <n v="572.29999999999995"/>
        <n v="585.9"/>
        <n v="790.16"/>
        <n v="713.35"/>
        <n v="403.43"/>
        <n v="760.94"/>
        <n v="391.49"/>
        <n v="1018.58"/>
        <n v="483.41"/>
        <n v="216.67"/>
        <n v="1125.96"/>
        <n v="710.15"/>
        <n v="780.52"/>
        <n v="305.33"/>
        <n v="891.32"/>
        <n v="782.46"/>
        <n v="100.96"/>
        <n v="1023.49"/>
        <n v="1062.29"/>
        <n v="646.71"/>
        <n v="837.92"/>
        <n v="1075.8900000000001"/>
        <n v="437.45"/>
        <n v="472.36"/>
        <n v="136.81"/>
        <n v="429.93"/>
        <n v="427.64"/>
        <n v="963.43"/>
        <n v="756.97"/>
        <n v="543.04999999999995"/>
        <n v="961.81"/>
        <n v="189.37"/>
        <n v="181.4"/>
        <n v="415.7"/>
        <n v="493.53"/>
        <n v="521.58000000000004"/>
        <n v="1024.53"/>
        <n v="816.88"/>
        <n v="381.56"/>
        <n v="239.14"/>
        <n v="683.9"/>
        <n v="1155.8499999999999"/>
        <n v="815.08"/>
        <n v="394.69"/>
        <n v="623.11"/>
        <n v="613.38"/>
        <n v="1118.49"/>
        <n v="379.14"/>
        <n v="430.86"/>
      </sharedItems>
    </cacheField>
    <cacheField name="Passenger Boarded" numFmtId="0">
      <sharedItems containsSemiMixedTypes="0" containsString="0" containsNumber="1" containsInteger="1" minValue="0" maxValue="316" count="196">
        <n v="104"/>
        <n v="157"/>
        <n v="61"/>
        <n v="120"/>
        <n v="121"/>
        <n v="118"/>
        <n v="187"/>
        <n v="90"/>
        <n v="77"/>
        <n v="235"/>
        <n v="82"/>
        <n v="141"/>
        <n v="108"/>
        <n v="174"/>
        <n v="155"/>
        <n v="85"/>
        <n v="97"/>
        <n v="150"/>
        <n v="130"/>
        <n v="80"/>
        <n v="83"/>
        <n v="52"/>
        <n v="103"/>
        <n v="117"/>
        <n v="142"/>
        <n v="193"/>
        <n v="177"/>
        <n v="53"/>
        <n v="197"/>
        <n v="219"/>
        <n v="74"/>
        <n v="198"/>
        <n v="134"/>
        <n v="110"/>
        <n v="51"/>
        <n v="84"/>
        <n v="191"/>
        <n v="67"/>
        <n v="189"/>
        <n v="92"/>
        <n v="56"/>
        <n v="54"/>
        <n v="137"/>
        <n v="209"/>
        <n v="111"/>
        <n v="265"/>
        <n v="256"/>
        <n v="168"/>
        <n v="215"/>
        <n v="138"/>
        <n v="88"/>
        <n v="175"/>
        <n v="202"/>
        <n v="100"/>
        <n v="165"/>
        <n v="185"/>
        <n v="128"/>
        <n v="176"/>
        <n v="222"/>
        <n v="258"/>
        <n v="313"/>
        <n v="154"/>
        <n v="291"/>
        <n v="179"/>
        <n v="146"/>
        <n v="257"/>
        <n v="244"/>
        <n v="136"/>
        <n v="81"/>
        <n v="79"/>
        <n v="226"/>
        <n v="254"/>
        <n v="69"/>
        <n v="237"/>
        <n v="107"/>
        <n v="124"/>
        <n v="287"/>
        <n v="99"/>
        <n v="282"/>
        <n v="125"/>
        <n v="250"/>
        <n v="60"/>
        <n v="204"/>
        <n v="145"/>
        <n v="140"/>
        <n v="218"/>
        <n v="133"/>
        <n v="114"/>
        <n v="196"/>
        <n v="93"/>
        <n v="127"/>
        <n v="59"/>
        <n v="71"/>
        <n v="126"/>
        <n v="115"/>
        <n v="298"/>
        <n v="106"/>
        <n v="76"/>
        <n v="163"/>
        <n v="207"/>
        <n v="65"/>
        <n v="87"/>
        <n v="172"/>
        <n v="208"/>
        <n v="144"/>
        <n v="152"/>
        <n v="89"/>
        <n v="131"/>
        <n v="162"/>
        <n v="182"/>
        <n v="213"/>
        <n v="113"/>
        <n v="143"/>
        <n v="180"/>
        <n v="171"/>
        <n v="122"/>
        <n v="66"/>
        <n v="91"/>
        <n v="105"/>
        <n v="72"/>
        <n v="167"/>
        <n v="271"/>
        <n v="158"/>
        <n v="243"/>
        <n v="195"/>
        <n v="293"/>
        <n v="86"/>
        <n v="192"/>
        <n v="68"/>
        <n v="223"/>
        <n v="116"/>
        <n v="149"/>
        <n v="148"/>
        <n v="63"/>
        <n v="240"/>
        <n v="156"/>
        <n v="50"/>
        <n v="166"/>
        <n v="58"/>
        <n v="279"/>
        <n v="55"/>
        <n v="214"/>
        <n v="94"/>
        <n v="276"/>
        <n v="217"/>
        <n v="73"/>
        <n v="316"/>
        <n v="153"/>
        <n v="95"/>
        <n v="132"/>
        <n v="304"/>
        <n v="135"/>
        <n v="75"/>
        <n v="78"/>
        <n v="206"/>
        <n v="253"/>
        <n v="232"/>
        <n v="98"/>
        <n v="96"/>
        <n v="70"/>
        <n v="274"/>
        <n v="247"/>
        <n v="290"/>
        <n v="102"/>
        <n v="186"/>
        <n v="184"/>
        <n v="62"/>
        <n v="246"/>
        <n v="315"/>
        <n v="251"/>
        <n v="139"/>
        <n v="164"/>
        <n v="241"/>
        <n v="273"/>
        <n v="170"/>
        <n v="289"/>
        <n v="161"/>
        <n v="169"/>
        <n v="248"/>
        <n v="160"/>
        <n v="173"/>
        <n v="228"/>
        <n v="210"/>
        <n v="216"/>
        <n v="188"/>
        <n v="261"/>
        <n v="231"/>
        <n v="211"/>
        <n v="267"/>
        <n v="151"/>
        <n v="64"/>
        <n v="221"/>
        <n v="306"/>
        <n v="147"/>
        <n v="263"/>
        <n v="242"/>
      </sharedItems>
    </cacheField>
    <cacheField name="Class" numFmtId="0">
      <sharedItems count="4">
        <s v="First Class"/>
        <s v="Business"/>
        <s v="Economy"/>
        <s v="Unknown"/>
      </sharedItems>
    </cacheField>
    <cacheField name="Distance Mile" numFmtId="0">
      <sharedItems containsSemiMixedTypes="0" containsString="0" containsNumber="1" containsInteger="1" minValue="0" maxValue="2987" count="456">
        <n v="719"/>
        <n v="1114"/>
        <n v="1181"/>
        <n v="811"/>
        <n v="626"/>
        <n v="2954"/>
        <n v="1238"/>
        <n v="1384"/>
        <n v="492"/>
        <n v="347"/>
        <n v="1378"/>
        <n v="1627"/>
        <n v="2290"/>
        <n v="2508"/>
        <n v="562"/>
        <n v="590"/>
        <n v="697"/>
        <n v="1318"/>
        <n v="2971"/>
        <n v="974"/>
        <n v="2672"/>
        <n v="2737"/>
        <n v="1136"/>
        <n v="2606"/>
        <n v="2094"/>
        <n v="2566"/>
        <n v="480"/>
        <n v="910"/>
        <n v="1322"/>
        <n v="1660"/>
        <n v="1732"/>
        <n v="2496"/>
        <n v="2783"/>
        <n v="2066"/>
        <n v="1948"/>
        <n v="301"/>
        <n v="2238"/>
        <n v="1115"/>
        <n v="1936"/>
        <n v="1320"/>
        <n v="2244"/>
        <n v="1412"/>
        <n v="2522"/>
        <n v="1897"/>
        <n v="1676"/>
        <n v="2932"/>
        <n v="2026"/>
        <n v="383"/>
        <n v="1574"/>
        <n v="1535"/>
        <n v="2372"/>
        <n v="2437"/>
        <n v="1442"/>
        <n v="1168"/>
        <n v="2574"/>
        <n v="2682"/>
        <n v="794"/>
        <n v="1095"/>
        <n v="817"/>
        <n v="2256"/>
        <n v="785"/>
        <n v="2629"/>
        <n v="2560"/>
        <n v="2159"/>
        <n v="882"/>
        <n v="2656"/>
        <n v="1043"/>
        <n v="728"/>
        <n v="774"/>
        <n v="2341"/>
        <n v="948"/>
        <n v="1419"/>
        <n v="1431"/>
        <n v="2129"/>
        <n v="478"/>
        <n v="2103"/>
        <n v="628"/>
        <n v="670"/>
        <n v="1501"/>
        <n v="1286"/>
        <n v="2538"/>
        <n v="2279"/>
        <n v="2334"/>
        <n v="1122"/>
        <n v="2218"/>
        <n v="1809"/>
        <n v="1206"/>
        <n v="775"/>
        <n v="434"/>
        <n v="1930"/>
        <n v="1140"/>
        <n v="2512"/>
        <n v="514"/>
        <n v="1207"/>
        <n v="742"/>
        <n v="2746"/>
        <n v="2157"/>
        <n v="681"/>
        <n v="510"/>
        <n v="2578"/>
        <n v="1737"/>
        <n v="2158"/>
        <n v="634"/>
        <n v="754"/>
        <n v="1137"/>
        <n v="829"/>
        <n v="618"/>
        <n v="2831"/>
        <n v="1570"/>
        <n v="721"/>
        <n v="2612"/>
        <n v="2378"/>
        <n v="2570"/>
        <n v="2145"/>
        <n v="1827"/>
        <n v="1332"/>
        <n v="2589"/>
        <n v="1038"/>
        <n v="1679"/>
        <n v="1982"/>
        <n v="1806"/>
        <n v="513"/>
        <n v="903"/>
        <n v="1881"/>
        <n v="868"/>
        <n v="1480"/>
        <n v="2410"/>
        <n v="1777"/>
        <n v="1338"/>
        <n v="1017"/>
        <n v="1117"/>
        <n v="2985"/>
        <n v="2337"/>
        <n v="720"/>
        <n v="1744"/>
        <n v="884"/>
        <n v="928"/>
        <n v="764"/>
        <n v="2311"/>
        <n v="2520"/>
        <n v="1269"/>
        <n v="2260"/>
        <n v="2558"/>
        <n v="1621"/>
        <n v="2485"/>
        <n v="632"/>
        <n v="1537"/>
        <n v="1693"/>
        <n v="1290"/>
        <n v="2666"/>
        <n v="1910"/>
        <n v="2065"/>
        <n v="1797"/>
        <n v="2427"/>
        <n v="2387"/>
        <n v="2877"/>
        <n v="1292"/>
        <n v="2355"/>
        <n v="2182"/>
        <n v="1519"/>
        <n v="2524"/>
        <n v="2111"/>
        <n v="507"/>
        <n v="2554"/>
        <n v="1485"/>
        <n v="2365"/>
        <n v="2625"/>
        <n v="875"/>
        <n v="2977"/>
        <n v="1508"/>
        <n v="1313"/>
        <n v="2370"/>
        <n v="2390"/>
        <n v="389"/>
        <n v="2233"/>
        <n v="2530"/>
        <n v="2017"/>
        <n v="2097"/>
        <n v="1536"/>
        <n v="2049"/>
        <n v="1053"/>
        <n v="2470"/>
        <n v="1399"/>
        <n v="1078"/>
        <n v="1859"/>
        <n v="1611"/>
        <n v="924"/>
        <n v="1742"/>
        <n v="2883"/>
        <n v="327"/>
        <n v="738"/>
        <n v="1963"/>
        <n v="2249"/>
        <n v="1165"/>
        <n v="1588"/>
        <n v="2514"/>
        <n v="2778"/>
        <n v="1060"/>
        <n v="2896"/>
        <n v="657"/>
        <n v="2749"/>
        <n v="1330"/>
        <n v="1586"/>
        <n v="766"/>
        <n v="2345"/>
        <n v="2375"/>
        <n v="2950"/>
        <n v="2391"/>
        <n v="400"/>
        <n v="2278"/>
        <n v="973"/>
        <n v="2879"/>
        <n v="1179"/>
        <n v="2304"/>
        <n v="1518"/>
        <n v="1891"/>
        <n v="1066"/>
        <n v="2314"/>
        <n v="1482"/>
        <n v="470"/>
        <n v="656"/>
        <n v="2635"/>
        <n v="1985"/>
        <n v="1811"/>
        <n v="1167"/>
        <n v="2981"/>
        <n v="1174"/>
        <n v="841"/>
        <n v="845"/>
        <n v="920"/>
        <n v="2058"/>
        <n v="1904"/>
        <n v="349"/>
        <n v="2705"/>
        <n v="2923"/>
        <n v="2898"/>
        <n v="1823"/>
        <n v="2661"/>
        <n v="772"/>
        <n v="444"/>
        <n v="1640"/>
        <n v="305"/>
        <n v="1446"/>
        <n v="1915"/>
        <n v="2154"/>
        <n v="1965"/>
        <n v="2771"/>
        <n v="2152"/>
        <n v="1940"/>
        <n v="676"/>
        <n v="420"/>
        <n v="2836"/>
        <n v="1116"/>
        <n v="2616"/>
        <n v="1253"/>
        <n v="1021"/>
        <n v="2308"/>
        <n v="1695"/>
        <n v="1920"/>
        <n v="2712"/>
        <n v="1204"/>
        <n v="2917"/>
        <n v="1880"/>
        <n v="2966"/>
        <n v="1700"/>
        <n v="1453"/>
        <n v="1506"/>
        <n v="1563"/>
        <n v="482"/>
        <n v="1995"/>
        <n v="1524"/>
        <n v="1089"/>
        <n v="1927"/>
        <n v="2708"/>
        <n v="2982"/>
        <n v="1273"/>
        <n v="850"/>
        <n v="2284"/>
        <n v="1808"/>
        <n v="2951"/>
        <n v="334"/>
        <n v="2211"/>
        <n v="561"/>
        <n v="1955"/>
        <n v="2643"/>
        <n v="2586"/>
        <n v="1557"/>
        <n v="1096"/>
        <n v="2174"/>
        <n v="990"/>
        <n v="454"/>
        <n v="828"/>
        <n v="848"/>
        <n v="927"/>
        <n v="2830"/>
        <n v="956"/>
        <n v="2651"/>
        <n v="505"/>
        <n v="1939"/>
        <n v="724"/>
        <n v="2299"/>
        <n v="1685"/>
        <n v="2935"/>
        <n v="2376"/>
        <n v="1594"/>
        <n v="2774"/>
        <n v="2838"/>
        <n v="2438"/>
        <n v="2173"/>
        <n v="2669"/>
        <n v="1504"/>
        <n v="1158"/>
        <n v="2637"/>
        <n v="517"/>
        <n v="2153"/>
        <n v="1887"/>
        <n v="2710"/>
        <n v="2404"/>
        <n v="934"/>
        <n v="1601"/>
        <n v="1659"/>
        <n v="2813"/>
        <n v="2417"/>
        <n v="985"/>
        <n v="595"/>
        <n v="1232"/>
        <n v="324"/>
        <n v="2092"/>
        <n v="2953"/>
        <n v="1160"/>
        <n v="769"/>
        <n v="2678"/>
        <n v="2559"/>
        <n v="2671"/>
        <n v="2203"/>
        <n v="2619"/>
        <n v="1813"/>
        <n v="2435"/>
        <n v="978"/>
        <n v="1652"/>
        <n v="2726"/>
        <n v="2608"/>
        <n v="1849"/>
        <n v="2756"/>
        <n v="1460"/>
        <n v="1593"/>
        <n v="2815"/>
        <n v="343"/>
        <n v="1279"/>
        <n v="581"/>
        <n v="1954"/>
        <n v="2654"/>
        <n v="776"/>
        <n v="736"/>
        <n v="2653"/>
        <n v="433"/>
        <n v="2679"/>
        <n v="1236"/>
        <n v="339"/>
        <n v="705"/>
        <n v="2583"/>
        <n v="1754"/>
        <n v="2885"/>
        <n v="1395"/>
        <n v="1261"/>
        <n v="520"/>
        <n v="1463"/>
        <n v="2122"/>
        <n v="2510"/>
        <n v="1474"/>
        <n v="2545"/>
        <n v="2861"/>
        <n v="1486"/>
        <n v="390"/>
        <n v="1189"/>
        <n v="1391"/>
        <n v="2114"/>
        <n v="949"/>
        <n v="1192"/>
        <n v="472"/>
        <n v="2860"/>
        <n v="1090"/>
        <n v="2621"/>
        <n v="2518"/>
        <n v="559"/>
        <n v="1619"/>
        <n v="704"/>
        <n v="1154"/>
        <n v="588"/>
        <n v="2455"/>
        <n v="1590"/>
        <n v="2553"/>
        <n v="853"/>
        <n v="1190"/>
        <n v="1669"/>
        <n v="2511"/>
        <n v="2069"/>
        <n v="593"/>
        <n v="2732"/>
        <n v="1831"/>
        <n v="755"/>
        <n v="878"/>
        <n v="388"/>
        <n v="2353"/>
        <n v="1865"/>
        <n v="2987"/>
        <n v="2806"/>
        <n v="2357"/>
        <n v="432"/>
        <n v="2306"/>
        <n v="747"/>
        <n v="1492"/>
        <n v="2946"/>
        <n v="2140"/>
        <n v="1672"/>
        <n v="2127"/>
        <n v="323"/>
        <n v="2541"/>
        <n v="2667"/>
        <n v="851"/>
        <n v="2777"/>
        <n v="2816"/>
        <n v="2204"/>
        <n v="1922"/>
        <n v="936"/>
        <n v="2494"/>
        <n v="2488"/>
        <n v="2335"/>
        <n v="2117"/>
        <n v="2414"/>
        <n v="2212"/>
        <n v="2480"/>
        <n v="1756"/>
        <n v="2166"/>
        <n v="1653"/>
        <n v="1727"/>
        <n v="2718"/>
        <n v="2623"/>
        <n v="2573"/>
        <n v="551"/>
        <n v="1596"/>
        <n v="555"/>
        <n v="2717"/>
        <n v="1875"/>
        <n v="2293"/>
        <n v="2386"/>
        <n v="627"/>
        <n v="2895"/>
        <n v="1745"/>
        <n v="511"/>
        <n v="2822"/>
        <n v="1267"/>
        <n v="1274"/>
        <n v="1933"/>
        <n v="1407"/>
        <n v="1036"/>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GATHA" refreshedDate="46087.965289351901" createdVersion="5" refreshedVersion="5" minRefreshableVersion="3" recordCount="500" xr:uid="{00000000-000A-0000-FFFF-FFFF02000000}">
  <cacheSource type="worksheet">
    <worksheetSource name="Table6"/>
  </cacheSource>
  <cacheFields count="20">
    <cacheField name="Flight Id" numFmtId="0">
      <sharedItems count="500">
        <s v="FL001"/>
        <s v="FL002"/>
        <s v="FL003"/>
        <s v="FL004"/>
        <s v="FL005"/>
        <s v="FL006"/>
        <s v="FL007"/>
        <s v="FL008"/>
        <s v="FL009"/>
        <s v="FL010"/>
        <s v="FL011"/>
        <s v="FL012"/>
        <s v="FL013"/>
        <s v="FL014"/>
        <s v="FL015"/>
        <s v="FL016"/>
        <s v="FL017"/>
        <s v="FL018"/>
        <s v="FL019"/>
        <s v="FL020"/>
        <s v="FL021"/>
        <s v="FL022"/>
        <s v="FL023"/>
        <s v="FL024"/>
        <s v="FL025"/>
        <s v="FL026"/>
        <s v="FL027"/>
        <s v="FL028"/>
        <s v="FL029"/>
        <s v="FL030"/>
        <s v="FL031"/>
        <s v="FL032"/>
        <s v="FL033"/>
        <s v="FL034"/>
        <s v="FL035"/>
        <s v="FL036"/>
        <s v="FL037"/>
        <s v="FL038"/>
        <s v="FL039"/>
        <s v="FL040"/>
        <s v="FL041"/>
        <s v="FL042"/>
        <s v="FL043"/>
        <s v="FL044"/>
        <s v="FL045"/>
        <s v="FL046"/>
        <s v="FL047"/>
        <s v="FL048"/>
        <s v="FL049"/>
        <s v="FL050"/>
        <s v="FL051"/>
        <s v="FL052"/>
        <s v="FL053"/>
        <s v="FL054"/>
        <s v="FL055"/>
        <s v="FL056"/>
        <s v="FL057"/>
        <s v="FL058"/>
        <s v="FL059"/>
        <s v="FL060"/>
        <s v="FL061"/>
        <s v="FL062"/>
        <s v="FL063"/>
        <s v="FL064"/>
        <s v="FL065"/>
        <s v="FL066"/>
        <s v="FL067"/>
        <s v="FL068"/>
        <s v="FL069"/>
        <s v="FL070"/>
        <s v="FL071"/>
        <s v="FL072"/>
        <s v="FL073"/>
        <s v="FL074"/>
        <s v="FL075"/>
        <s v="FL076"/>
        <s v="FL077"/>
        <s v="FL078"/>
        <s v="FL079"/>
        <s v="FL080"/>
        <s v="FL081"/>
        <s v="FL082"/>
        <s v="FL083"/>
        <s v="FL084"/>
        <s v="FL085"/>
        <s v="FL086"/>
        <s v="FL087"/>
        <s v="FL088"/>
        <s v="FL089"/>
        <s v="FL090"/>
        <s v="FL091"/>
        <s v="FL092"/>
        <s v="FL093"/>
        <s v="FL094"/>
        <s v="FL095"/>
        <s v="FL096"/>
        <s v="FL097"/>
        <s v="FL098"/>
        <s v="FL099"/>
        <s v="FL100"/>
        <s v="FL101"/>
        <s v="FL102"/>
        <s v="FL103"/>
        <s v="FL104"/>
        <s v="FL105"/>
        <s v="FL106"/>
        <s v="FL107"/>
        <s v="FL108"/>
        <s v="FL109"/>
        <s v="FL110"/>
        <s v="FL111"/>
        <s v="FL112"/>
        <s v="FL113"/>
        <s v="FL114"/>
        <s v="FL115"/>
        <s v="FL116"/>
        <s v="FL117"/>
        <s v="FL118"/>
        <s v="FL119"/>
        <s v="FL120"/>
        <s v="FL121"/>
        <s v="FL122"/>
        <s v="FL123"/>
        <s v="FL124"/>
        <s v="FL125"/>
        <s v="FL126"/>
        <s v="FL127"/>
        <s v="FL128"/>
        <s v="FL129"/>
        <s v="FL130"/>
        <s v="FL131"/>
        <s v="FL132"/>
        <s v="FL133"/>
        <s v="FL134"/>
        <s v="FL135"/>
        <s v="FL136"/>
        <s v="FL137"/>
        <s v="FL138"/>
        <s v="FL139"/>
        <s v="FL140"/>
        <s v="FL141"/>
        <s v="FL142"/>
        <s v="FL143"/>
        <s v="FL144"/>
        <s v="FL145"/>
        <s v="FL146"/>
        <s v="FL147"/>
        <s v="FL148"/>
        <s v="FL149"/>
        <s v="FL150"/>
        <s v="FL151"/>
        <s v="FL152"/>
        <s v="FL153"/>
        <s v="FL154"/>
        <s v="FL155"/>
        <s v="FL156"/>
        <s v="FL157"/>
        <s v="FL158"/>
        <s v="FL159"/>
        <s v="FL160"/>
        <s v="FL161"/>
        <s v="FL162"/>
        <s v="FL163"/>
        <s v="FL164"/>
        <s v="FL165"/>
        <s v="FL166"/>
        <s v="FL167"/>
        <s v="FL168"/>
        <s v="FL169"/>
        <s v="FL170"/>
        <s v="FL171"/>
        <s v="FL172"/>
        <s v="FL173"/>
        <s v="FL174"/>
        <s v="FL175"/>
        <s v="FL176"/>
        <s v="FL177"/>
        <s v="FL178"/>
        <s v="FL179"/>
        <s v="FL180"/>
        <s v="FL181"/>
        <s v="FL182"/>
        <s v="FL183"/>
        <s v="FL184"/>
        <s v="FL185"/>
        <s v="FL186"/>
        <s v="FL187"/>
        <s v="FL188"/>
        <s v="FL189"/>
        <s v="FL190"/>
        <s v="FL191"/>
        <s v="FL192"/>
        <s v="FL193"/>
        <s v="FL194"/>
        <s v="FL195"/>
        <s v="FL196"/>
        <s v="FL197"/>
        <s v="FL198"/>
        <s v="FL199"/>
        <s v="FL200"/>
        <s v="FL201"/>
        <s v="FL202"/>
        <s v="FL203"/>
        <s v="FL204"/>
        <s v="FL205"/>
        <s v="FL206"/>
        <s v="FL207"/>
        <s v="FL208"/>
        <s v="FL209"/>
        <s v="FL210"/>
        <s v="FL211"/>
        <s v="FL212"/>
        <s v="FL213"/>
        <s v="FL214"/>
        <s v="FL215"/>
        <s v="FL216"/>
        <s v="FL217"/>
        <s v="FL218"/>
        <s v="FL219"/>
        <s v="FL220"/>
        <s v="FL221"/>
        <s v="FL222"/>
        <s v="FL223"/>
        <s v="FL224"/>
        <s v="FL225"/>
        <s v="FL226"/>
        <s v="FL227"/>
        <s v="FL228"/>
        <s v="FL229"/>
        <s v="FL230"/>
        <s v="FL231"/>
        <s v="FL232"/>
        <s v="FL233"/>
        <s v="FL234"/>
        <s v="FL235"/>
        <s v="FL236"/>
        <s v="FL237"/>
        <s v="FL238"/>
        <s v="FL239"/>
        <s v="FL240"/>
        <s v="FL241"/>
        <s v="FL242"/>
        <s v="FL243"/>
        <s v="FL244"/>
        <s v="FL245"/>
        <s v="FL246"/>
        <s v="FL247"/>
        <s v="FL248"/>
        <s v="FL249"/>
        <s v="FL250"/>
        <s v="FL251"/>
        <s v="FL252"/>
        <s v="FL253"/>
        <s v="FL254"/>
        <s v="FL255"/>
        <s v="FL256"/>
        <s v="FL257"/>
        <s v="FL258"/>
        <s v="FL259"/>
        <s v="FL260"/>
        <s v="FL261"/>
        <s v="FL262"/>
        <s v="FL263"/>
        <s v="FL264"/>
        <s v="FL265"/>
        <s v="FL266"/>
        <s v="FL267"/>
        <s v="FL268"/>
        <s v="FL269"/>
        <s v="FL270"/>
        <s v="FL271"/>
        <s v="FL272"/>
        <s v="FL273"/>
        <s v="FL274"/>
        <s v="FL275"/>
        <s v="FL276"/>
        <s v="FL277"/>
        <s v="FL278"/>
        <s v="FL279"/>
        <s v="FL280"/>
        <s v="FL281"/>
        <s v="FL282"/>
        <s v="FL283"/>
        <s v="FL284"/>
        <s v="FL285"/>
        <s v="FL286"/>
        <s v="FL287"/>
        <s v="FL288"/>
        <s v="FL289"/>
        <s v="FL290"/>
        <s v="FL291"/>
        <s v="FL292"/>
        <s v="FL293"/>
        <s v="FL294"/>
        <s v="FL295"/>
        <s v="FL296"/>
        <s v="FL297"/>
        <s v="FL298"/>
        <s v="FL299"/>
        <s v="FL300"/>
        <s v="FL301"/>
        <s v="FL302"/>
        <s v="FL303"/>
        <s v="FL304"/>
        <s v="FL305"/>
        <s v="FL306"/>
        <s v="FL307"/>
        <s v="FL308"/>
        <s v="FL309"/>
        <s v="FL310"/>
        <s v="FL311"/>
        <s v="FL312"/>
        <s v="FL313"/>
        <s v="FL314"/>
        <s v="FL315"/>
        <s v="FL316"/>
        <s v="FL317"/>
        <s v="FL318"/>
        <s v="FL319"/>
        <s v="FL320"/>
        <s v="FL321"/>
        <s v="FL322"/>
        <s v="FL323"/>
        <s v="FL324"/>
        <s v="FL325"/>
        <s v="FL326"/>
        <s v="FL327"/>
        <s v="FL328"/>
        <s v="FL329"/>
        <s v="FL330"/>
        <s v="FL331"/>
        <s v="FL332"/>
        <s v="FL333"/>
        <s v="FL334"/>
        <s v="FL335"/>
        <s v="FL336"/>
        <s v="FL337"/>
        <s v="FL338"/>
        <s v="FL339"/>
        <s v="FL340"/>
        <s v="FL341"/>
        <s v="FL342"/>
        <s v="FL343"/>
        <s v="FL344"/>
        <s v="FL345"/>
        <s v="FL346"/>
        <s v="FL347"/>
        <s v="FL348"/>
        <s v="FL349"/>
        <s v="FL350"/>
        <s v="FL351"/>
        <s v="FL352"/>
        <s v="FL353"/>
        <s v="FL354"/>
        <s v="FL355"/>
        <s v="FL356"/>
        <s v="FL357"/>
        <s v="FL358"/>
        <s v="FL359"/>
        <s v="FL360"/>
        <s v="FL361"/>
        <s v="FL362"/>
        <s v="FL363"/>
        <s v="FL364"/>
        <s v="FL365"/>
        <s v="FL366"/>
        <s v="FL367"/>
        <s v="FL368"/>
        <s v="FL369"/>
        <s v="FL370"/>
        <s v="FL371"/>
        <s v="FL372"/>
        <s v="FL373"/>
        <s v="FL374"/>
        <s v="FL375"/>
        <s v="FL376"/>
        <s v="FL377"/>
        <s v="FL378"/>
        <s v="FL379"/>
        <s v="FL380"/>
        <s v="FL381"/>
        <s v="FL382"/>
        <s v="FL383"/>
        <s v="FL384"/>
        <s v="FL385"/>
        <s v="FL386"/>
        <s v="FL387"/>
        <s v="FL388"/>
        <s v="FL389"/>
        <s v="FL390"/>
        <s v="FL391"/>
        <s v="FL392"/>
        <s v="FL393"/>
        <s v="FL394"/>
        <s v="FL395"/>
        <s v="FL396"/>
        <s v="FL397"/>
        <s v="FL398"/>
        <s v="FL399"/>
        <s v="FL400"/>
        <s v="FL401"/>
        <s v="FL402"/>
        <s v="FL403"/>
        <s v="FL404"/>
        <s v="FL405"/>
        <s v="FL406"/>
        <s v="FL407"/>
        <s v="FL408"/>
        <s v="FL409"/>
        <s v="FL410"/>
        <s v="FL411"/>
        <s v="FL412"/>
        <s v="FL413"/>
        <s v="FL414"/>
        <s v="FL415"/>
        <s v="FL416"/>
        <s v="FL417"/>
        <s v="FL418"/>
        <s v="FL419"/>
        <s v="FL420"/>
        <s v="FL421"/>
        <s v="FL422"/>
        <s v="FL423"/>
        <s v="FL424"/>
        <s v="FL425"/>
        <s v="FL426"/>
        <s v="FL427"/>
        <s v="FL428"/>
        <s v="FL429"/>
        <s v="FL430"/>
        <s v="FL431"/>
        <s v="FL432"/>
        <s v="FL433"/>
        <s v="FL434"/>
        <s v="FL435"/>
        <s v="FL436"/>
        <s v="FL437"/>
        <s v="FL438"/>
        <s v="FL439"/>
        <s v="FL440"/>
        <s v="FL441"/>
        <s v="FL442"/>
        <s v="FL443"/>
        <s v="FL444"/>
        <s v="FL445"/>
        <s v="FL446"/>
        <s v="FL447"/>
        <s v="FL448"/>
        <s v="FL449"/>
        <s v="FL450"/>
        <s v="FL451"/>
        <s v="FL452"/>
        <s v="FL453"/>
        <s v="FL454"/>
        <s v="FL455"/>
        <s v="FL456"/>
        <s v="FL457"/>
        <s v="FL458"/>
        <s v="FL459"/>
        <s v="FL460"/>
        <s v="FL461"/>
        <s v="FL462"/>
        <s v="FL463"/>
        <s v="FL464"/>
        <s v="FL465"/>
        <s v="FL466"/>
        <s v="FL467"/>
        <s v="FL468"/>
        <s v="FL469"/>
        <s v="FL470"/>
        <s v="FL471"/>
        <s v="FL472"/>
        <s v="FL473"/>
        <s v="FL474"/>
        <s v="FL475"/>
        <s v="FL476"/>
        <s v="FL477"/>
        <s v="FL478"/>
        <s v="FL479"/>
        <s v="FL480"/>
        <s v="FL481"/>
        <s v="FL482"/>
        <s v="FL483"/>
        <s v="FL484"/>
        <s v="FL485"/>
        <s v="FL486"/>
        <s v="FL487"/>
        <s v="FL488"/>
        <s v="FL489"/>
        <s v="FL490"/>
        <s v="FL491"/>
        <s v="FL492"/>
        <s v="FL493"/>
        <s v="FL494"/>
        <s v="FL495"/>
        <s v="FL496"/>
        <s v="FL497"/>
        <s v="FL498"/>
        <s v="FL499"/>
        <s v="FL500"/>
      </sharedItems>
    </cacheField>
    <cacheField name="Flight Date" numFmtId="167">
      <sharedItems containsSemiMixedTypes="0" containsNonDate="0" containsDate="1" containsString="0" minDate="2022-01-04T00:00:00" maxDate="2024-12-30T00:00:00" count="399">
        <d v="2022-08-17T00:00:00"/>
        <d v="2022-07-11T00:00:00"/>
        <d v="2023-07-24T00:00:00"/>
        <d v="2024-01-06T00:00:00"/>
        <d v="2024-01-11T00:00:00"/>
        <d v="2024-01-18T00:00:00"/>
        <d v="2024-08-04T00:00:00"/>
        <d v="2023-10-07T00:00:00"/>
        <d v="2024-05-27T00:00:00"/>
        <d v="2022-05-11T00:00:00"/>
        <d v="2023-11-28T00:00:00"/>
        <d v="2024-11-05T00:00:00"/>
        <d v="2023-05-06T00:00:00"/>
        <d v="2024-08-31T00:00:00"/>
        <d v="2024-02-04T00:00:00"/>
        <d v="2022-01-15T00:00:00"/>
        <d v="2022-09-28T00:00:00"/>
        <d v="2022-04-21T00:00:00"/>
        <d v="2023-07-25T00:00:00"/>
        <d v="2022-12-07T00:00:00"/>
        <d v="2024-05-16T00:00:00"/>
        <d v="2024-09-03T00:00:00"/>
        <d v="2023-05-20T00:00:00"/>
        <d v="2023-09-07T00:00:00"/>
        <d v="2022-09-29T00:00:00"/>
        <d v="2023-09-06T00:00:00"/>
        <d v="2023-06-25T00:00:00"/>
        <d v="2024-06-23T00:00:00"/>
        <d v="2022-09-19T00:00:00"/>
        <d v="2022-11-13T00:00:00"/>
        <d v="2022-08-10T00:00:00"/>
        <d v="2023-11-04T00:00:00"/>
        <d v="2023-06-28T00:00:00"/>
        <d v="2022-04-01T00:00:00"/>
        <d v="2022-09-13T00:00:00"/>
        <d v="2024-02-16T00:00:00"/>
        <d v="2023-10-22T00:00:00"/>
        <d v="2024-11-21T00:00:00"/>
        <d v="2022-05-30T00:00:00"/>
        <d v="2024-05-20T00:00:00"/>
        <d v="2023-10-12T00:00:00"/>
        <d v="2024-09-19T00:00:00"/>
        <d v="2024-02-24T00:00:00"/>
        <d v="2022-02-10T00:00:00"/>
        <d v="2024-09-26T00:00:00"/>
        <d v="2024-12-29T00:00:00"/>
        <d v="2023-11-02T00:00:00"/>
        <d v="2023-12-18T00:00:00"/>
        <d v="2023-03-23T00:00:00"/>
        <d v="2024-02-08T00:00:00"/>
        <d v="2022-03-26T00:00:00"/>
        <d v="2024-06-06T00:00:00"/>
        <d v="2024-08-10T00:00:00"/>
        <d v="2022-01-21T00:00:00"/>
        <d v="2022-02-05T00:00:00"/>
        <d v="2023-11-09T00:00:00"/>
        <d v="2023-01-15T00:00:00"/>
        <d v="2024-08-19T00:00:00"/>
        <d v="2022-04-20T00:00:00"/>
        <d v="2024-12-06T00:00:00"/>
        <d v="2023-03-02T00:00:00"/>
        <d v="2023-08-20T00:00:00"/>
        <d v="2023-02-10T00:00:00"/>
        <d v="2023-08-15T00:00:00"/>
        <d v="2022-03-23T00:00:00"/>
        <d v="2022-03-24T00:00:00"/>
        <d v="2022-07-06T00:00:00"/>
        <d v="2024-03-31T00:00:00"/>
        <d v="2023-08-13T00:00:00"/>
        <d v="2022-08-21T00:00:00"/>
        <d v="2022-10-24T00:00:00"/>
        <d v="2022-01-06T00:00:00"/>
        <d v="2022-11-08T00:00:00"/>
        <d v="2024-06-27T00:00:00"/>
        <d v="2023-01-04T00:00:00"/>
        <d v="2023-06-05T00:00:00"/>
        <d v="2023-09-05T00:00:00"/>
        <d v="2023-08-28T00:00:00"/>
        <d v="2023-12-23T00:00:00"/>
        <d v="2023-07-13T00:00:00"/>
        <d v="2024-01-20T00:00:00"/>
        <d v="2024-01-31T00:00:00"/>
        <d v="2024-04-16T00:00:00"/>
        <d v="2024-05-08T00:00:00"/>
        <d v="2024-01-13T00:00:00"/>
        <d v="2023-03-11T00:00:00"/>
        <d v="2023-04-23T00:00:00"/>
        <d v="2024-01-04T00:00:00"/>
        <d v="2024-07-07T00:00:00"/>
        <d v="2023-09-10T00:00:00"/>
        <d v="2022-10-31T00:00:00"/>
        <d v="2022-08-23T00:00:00"/>
        <d v="2023-06-07T00:00:00"/>
        <d v="2022-05-03T00:00:00"/>
        <d v="2022-02-23T00:00:00"/>
        <d v="2022-10-18T00:00:00"/>
        <d v="2022-06-23T00:00:00"/>
        <d v="2024-04-28T00:00:00"/>
        <d v="2023-09-24T00:00:00"/>
        <d v="2023-11-03T00:00:00"/>
        <d v="2023-12-27T00:00:00"/>
        <d v="2024-05-05T00:00:00"/>
        <d v="2022-08-05T00:00:00"/>
        <d v="2022-08-22T00:00:00"/>
        <d v="2022-06-04T00:00:00"/>
        <d v="2022-05-20T00:00:00"/>
        <d v="2023-08-11T00:00:00"/>
        <d v="2023-01-21T00:00:00"/>
        <d v="2022-12-20T00:00:00"/>
        <d v="2023-11-17T00:00:00"/>
        <d v="2022-10-17T00:00:00"/>
        <d v="2022-10-09T00:00:00"/>
        <d v="2022-11-29T00:00:00"/>
        <d v="2024-07-08T00:00:00"/>
        <d v="2024-10-26T00:00:00"/>
        <d v="2022-02-24T00:00:00"/>
        <d v="2022-07-22T00:00:00"/>
        <d v="2022-06-12T00:00:00"/>
        <d v="2024-07-25T00:00:00"/>
        <d v="2023-12-24T00:00:00"/>
        <d v="2022-02-11T00:00:00"/>
        <d v="2022-08-01T00:00:00"/>
        <d v="2022-10-04T00:00:00"/>
        <d v="2024-08-27T00:00:00"/>
        <d v="2024-03-30T00:00:00"/>
        <d v="2024-05-19T00:00:00"/>
        <d v="2024-05-22T00:00:00"/>
        <d v="2022-04-28T00:00:00"/>
        <d v="2022-05-18T00:00:00"/>
        <d v="2022-08-30T00:00:00"/>
        <d v="2024-06-30T00:00:00"/>
        <d v="2022-12-23T00:00:00"/>
        <d v="2024-08-15T00:00:00"/>
        <d v="2022-04-24T00:00:00"/>
        <d v="2023-05-29T00:00:00"/>
        <d v="2022-11-12T00:00:00"/>
        <d v="2023-03-08T00:00:00"/>
        <d v="2024-03-27T00:00:00"/>
        <d v="2022-04-14T00:00:00"/>
        <d v="2024-11-20T00:00:00"/>
        <d v="2022-04-03T00:00:00"/>
        <d v="2022-09-01T00:00:00"/>
        <d v="2023-10-15T00:00:00"/>
        <d v="2022-02-04T00:00:00"/>
        <d v="2023-04-12T00:00:00"/>
        <d v="2023-10-05T00:00:00"/>
        <d v="2023-03-01T00:00:00"/>
        <d v="2023-06-26T00:00:00"/>
        <d v="2024-09-09T00:00:00"/>
        <d v="2022-10-27T00:00:00"/>
        <d v="2023-07-10T00:00:00"/>
        <d v="2022-07-25T00:00:00"/>
        <d v="2023-02-13T00:00:00"/>
        <d v="2022-12-25T00:00:00"/>
        <d v="2023-11-18T00:00:00"/>
        <d v="2024-07-28T00:00:00"/>
        <d v="2024-05-25T00:00:00"/>
        <d v="2024-07-03T00:00:00"/>
        <d v="2022-11-24T00:00:00"/>
        <d v="2024-07-20T00:00:00"/>
        <d v="2024-12-17T00:00:00"/>
        <d v="2024-12-01T00:00:00"/>
        <d v="2024-07-24T00:00:00"/>
        <d v="2024-05-10T00:00:00"/>
        <d v="2024-03-15T00:00:00"/>
        <d v="2023-12-10T00:00:00"/>
        <d v="2022-03-10T00:00:00"/>
        <d v="2024-10-28T00:00:00"/>
        <d v="2023-07-18T00:00:00"/>
        <d v="2024-02-20T00:00:00"/>
        <d v="2022-10-23T00:00:00"/>
        <d v="2022-06-11T00:00:00"/>
        <d v="2023-03-21T00:00:00"/>
        <d v="2023-05-12T00:00:00"/>
        <d v="2024-11-16T00:00:00"/>
        <d v="2023-03-30T00:00:00"/>
        <d v="2023-11-23T00:00:00"/>
        <d v="2022-05-01T00:00:00"/>
        <d v="2024-07-22T00:00:00"/>
        <d v="2023-07-17T00:00:00"/>
        <d v="2024-12-14T00:00:00"/>
        <d v="2022-06-15T00:00:00"/>
        <d v="2024-06-07T00:00:00"/>
        <d v="2022-06-02T00:00:00"/>
        <d v="2022-06-07T00:00:00"/>
        <d v="2023-07-14T00:00:00"/>
        <d v="2022-01-11T00:00:00"/>
        <d v="2022-07-31T00:00:00"/>
        <d v="2024-06-09T00:00:00"/>
        <d v="2023-02-05T00:00:00"/>
        <d v="2024-05-31T00:00:00"/>
        <d v="2024-10-02T00:00:00"/>
        <d v="2022-02-25T00:00:00"/>
        <d v="2024-02-12T00:00:00"/>
        <d v="2024-01-07T00:00:00"/>
        <d v="2023-11-11T00:00:00"/>
        <d v="2024-07-01T00:00:00"/>
        <d v="2023-02-09T00:00:00"/>
        <d v="2023-01-18T00:00:00"/>
        <d v="2023-05-04T00:00:00"/>
        <d v="2024-09-23T00:00:00"/>
        <d v="2022-03-05T00:00:00"/>
        <d v="2024-11-12T00:00:00"/>
        <d v="2022-07-29T00:00:00"/>
        <d v="2023-12-20T00:00:00"/>
        <d v="2023-08-23T00:00:00"/>
        <d v="2023-05-27T00:00:00"/>
        <d v="2024-07-27T00:00:00"/>
        <d v="2022-09-25T00:00:00"/>
        <d v="2024-05-26T00:00:00"/>
        <d v="2023-09-18T00:00:00"/>
        <d v="2022-01-18T00:00:00"/>
        <d v="2023-05-24T00:00:00"/>
        <d v="2024-10-10T00:00:00"/>
        <d v="2024-05-11T00:00:00"/>
        <d v="2024-11-03T00:00:00"/>
        <d v="2024-06-14T00:00:00"/>
        <d v="2022-03-02T00:00:00"/>
        <d v="2024-10-20T00:00:00"/>
        <d v="2023-05-16T00:00:00"/>
        <d v="2024-11-22T00:00:00"/>
        <d v="2023-09-15T00:00:00"/>
        <d v="2022-02-18T00:00:00"/>
        <d v="2024-12-21T00:00:00"/>
        <d v="2024-02-02T00:00:00"/>
        <d v="2023-04-30T00:00:00"/>
        <d v="2022-08-12T00:00:00"/>
        <d v="2024-08-06T00:00:00"/>
        <d v="2024-03-22T00:00:00"/>
        <d v="2022-10-14T00:00:00"/>
        <d v="2023-06-15T00:00:00"/>
        <d v="2023-01-19T00:00:00"/>
        <d v="2024-09-08T00:00:00"/>
        <d v="2022-02-09T00:00:00"/>
        <d v="2023-03-25T00:00:00"/>
        <d v="2024-12-28T00:00:00"/>
        <d v="2023-12-22T00:00:00"/>
        <d v="2022-11-19T00:00:00"/>
        <d v="2022-01-04T00:00:00"/>
        <d v="2022-06-09T00:00:00"/>
        <d v="2024-02-15T00:00:00"/>
        <d v="2022-07-10T00:00:00"/>
        <d v="2023-02-25T00:00:00"/>
        <d v="2022-02-22T00:00:00"/>
        <d v="2024-03-04T00:00:00"/>
        <d v="2022-05-07T00:00:00"/>
        <d v="2024-03-03T00:00:00"/>
        <d v="2024-11-24T00:00:00"/>
        <d v="2022-10-30T00:00:00"/>
        <d v="2022-07-26T00:00:00"/>
        <d v="2024-04-05T00:00:00"/>
        <d v="2024-05-03T00:00:00"/>
        <d v="2022-11-22T00:00:00"/>
        <d v="2022-03-09T00:00:00"/>
        <d v="2023-08-07T00:00:00"/>
        <d v="2022-01-16T00:00:00"/>
        <d v="2023-09-04T00:00:00"/>
        <d v="2023-06-16T00:00:00"/>
        <d v="2024-12-30T00:00:00"/>
        <d v="2023-01-10T00:00:00"/>
        <d v="2024-08-07T00:00:00"/>
        <d v="2022-12-29T00:00:00"/>
        <d v="2023-01-26T00:00:00"/>
        <d v="2022-04-04T00:00:00"/>
        <d v="2024-04-06T00:00:00"/>
        <d v="2024-06-28T00:00:00"/>
        <d v="2023-02-14T00:00:00"/>
        <d v="2022-07-27T00:00:00"/>
        <d v="2023-10-03T00:00:00"/>
        <d v="2023-07-04T00:00:00"/>
        <d v="2024-05-13T00:00:00"/>
        <d v="2024-02-17T00:00:00"/>
        <d v="2023-10-06T00:00:00"/>
        <d v="2023-05-25T00:00:00"/>
        <d v="2022-06-03T00:00:00"/>
        <d v="2024-07-29T00:00:00"/>
        <d v="2023-11-30T00:00:00"/>
        <d v="2022-07-19T00:00:00"/>
        <d v="2022-10-15T00:00:00"/>
        <d v="2023-11-24T00:00:00"/>
        <d v="2022-04-10T00:00:00"/>
        <d v="2024-11-15T00:00:00"/>
        <d v="2022-12-31T00:00:00"/>
        <d v="2024-05-15T00:00:00"/>
        <d v="2024-03-07T00:00:00"/>
        <d v="2023-05-30T00:00:00"/>
        <d v="2023-08-26T00:00:00"/>
        <d v="2022-09-24T00:00:00"/>
        <d v="2023-09-09T00:00:00"/>
        <d v="2024-05-01T00:00:00"/>
        <d v="2024-08-30T00:00:00"/>
        <d v="2024-02-21T00:00:00"/>
        <d v="2022-03-31T00:00:00"/>
        <d v="2022-06-29T00:00:00"/>
        <d v="2024-06-05T00:00:00"/>
        <d v="2024-01-03T00:00:00"/>
        <d v="2023-03-27T00:00:00"/>
        <d v="2022-03-27T00:00:00"/>
        <d v="2024-08-02T00:00:00"/>
        <d v="2022-07-24T00:00:00"/>
        <d v="2024-01-17T00:00:00"/>
        <d v="2023-02-07T00:00:00"/>
        <d v="2024-08-24T00:00:00"/>
        <d v="2023-05-05T00:00:00"/>
        <d v="2024-01-05T00:00:00"/>
        <d v="2024-03-05T00:00:00"/>
        <d v="2023-12-08T00:00:00"/>
        <d v="2022-11-27T00:00:00"/>
        <d v="2022-04-25T00:00:00"/>
        <d v="2023-03-20T00:00:00"/>
        <d v="2024-10-29T00:00:00"/>
        <d v="2022-07-20T00:00:00"/>
        <d v="2023-06-20T00:00:00"/>
        <d v="2024-01-29T00:00:00"/>
        <d v="2022-11-28T00:00:00"/>
        <d v="2024-12-03T00:00:00"/>
        <d v="2024-03-20T00:00:00"/>
        <d v="2023-12-14T00:00:00"/>
        <d v="2022-05-29T00:00:00"/>
        <d v="2023-05-14T00:00:00"/>
        <d v="2023-04-16T00:00:00"/>
        <d v="2023-01-01T00:00:00"/>
        <d v="2022-01-14T00:00:00"/>
        <d v="2023-03-31T00:00:00"/>
        <d v="2022-09-04T00:00:00"/>
        <d v="2023-06-23T00:00:00"/>
        <d v="2024-06-04T00:00:00"/>
        <d v="2023-10-09T00:00:00"/>
        <d v="2022-07-17T00:00:00"/>
        <d v="2023-12-21T00:00:00"/>
        <d v="2023-08-10T00:00:00"/>
        <d v="2023-12-05T00:00:00"/>
        <d v="2024-01-14T00:00:00"/>
        <d v="2022-12-08T00:00:00"/>
        <d v="2022-11-15T00:00:00"/>
        <d v="2022-03-13T00:00:00"/>
        <d v="2023-06-17T00:00:00"/>
        <d v="2024-09-04T00:00:00"/>
        <d v="2022-12-01T00:00:00"/>
        <d v="2024-12-25T00:00:00"/>
        <d v="2024-10-04T00:00:00"/>
        <d v="2024-06-16T00:00:00"/>
        <d v="2023-05-28T00:00:00"/>
        <d v="2022-09-08T00:00:00"/>
        <d v="2022-12-09T00:00:00"/>
        <d v="2022-07-03T00:00:00"/>
        <d v="2022-09-15T00:00:00"/>
        <d v="2022-03-22T00:00:00"/>
        <d v="2022-11-25T00:00:00"/>
        <d v="2024-10-15T00:00:00"/>
        <d v="2022-09-23T00:00:00"/>
        <d v="2023-06-09T00:00:00"/>
        <d v="2022-07-18T00:00:00"/>
        <d v="2024-04-30T00:00:00"/>
        <d v="2024-10-30T00:00:00"/>
        <d v="2024-03-24T00:00:00"/>
        <d v="2023-03-16T00:00:00"/>
        <d v="2022-07-15T00:00:00"/>
        <d v="2022-01-24T00:00:00"/>
        <d v="2024-09-01T00:00:00"/>
        <d v="2024-04-27T00:00:00"/>
        <d v="2024-06-24T00:00:00"/>
        <d v="2022-04-22T00:00:00"/>
        <d v="2023-03-10T00:00:00"/>
        <d v="2024-12-24T00:00:00"/>
        <d v="2022-11-18T00:00:00"/>
        <d v="2023-07-28T00:00:00"/>
        <d v="2023-05-08T00:00:00"/>
        <d v="2023-02-19T00:00:00"/>
        <d v="2022-08-31T00:00:00"/>
        <d v="2023-07-15T00:00:00"/>
        <d v="2023-04-21T00:00:00"/>
        <d v="2023-04-01T00:00:00"/>
        <d v="2024-03-21T00:00:00"/>
        <d v="2022-10-05T00:00:00"/>
        <d v="2024-11-13T00:00:00"/>
        <d v="2023-03-06T00:00:00"/>
        <d v="2023-10-11T00:00:00"/>
        <d v="2024-04-29T00:00:00"/>
        <d v="2023-07-09T00:00:00"/>
        <d v="2023-11-08T00:00:00"/>
        <d v="2022-05-16T00:00:00"/>
        <d v="2022-08-28T00:00:00"/>
        <d v="2023-09-12T00:00:00"/>
        <d v="2023-10-02T00:00:00"/>
        <d v="2023-08-04T00:00:00"/>
        <d v="2022-06-10T00:00:00"/>
        <d v="2023-04-20T00:00:00"/>
        <d v="2022-08-08T00:00:00"/>
        <d v="2024-09-14T00:00:00"/>
        <d v="2022-05-23T00:00:00"/>
        <d v="2024-07-16T00:00:00"/>
        <d v="2022-07-02T00:00:00"/>
        <d v="2024-06-10T00:00:00"/>
        <d v="2022-03-19T00:00:00"/>
        <d v="2022-01-23T00:00:00"/>
        <d v="2022-06-18T00:00:00"/>
        <d v="2022-12-24T00:00:00"/>
        <d v="2022-06-22T00:00:00"/>
      </sharedItems>
    </cacheField>
    <cacheField name="Airline" numFmtId="0">
      <sharedItems count="8">
        <s v="Delta"/>
        <s v="Southwest"/>
        <s v="Alaska"/>
        <s v="American"/>
        <s v="Spirit"/>
        <s v="United"/>
        <s v="Frontier"/>
        <s v="Jetblue"/>
      </sharedItems>
    </cacheField>
    <cacheField name="Origin City" numFmtId="0">
      <sharedItems count="19">
        <s v="Boston"/>
        <s v="Denver"/>
        <s v="Miami"/>
        <s v="San Diego"/>
        <s v="Chicago"/>
        <s v="San Francisco"/>
        <s v="Newark"/>
        <s v="Minneapolis"/>
        <s v="Las Vegas"/>
        <s v="Dallas"/>
        <s v="Houston"/>
        <s v="Los Angeles"/>
        <s v="Phoenix"/>
        <s v="Orlando"/>
        <s v="Atlanta"/>
        <s v="New York"/>
        <s v="Charlotte"/>
        <s v="Detroit"/>
        <s v="Seattle"/>
      </sharedItems>
    </cacheField>
    <cacheField name="Origin Code" numFmtId="0">
      <sharedItems count="20">
        <s v="BOS"/>
        <s v="DEN"/>
        <s v="MIA"/>
        <s v="SAN"/>
        <s v="ORD"/>
        <s v="SFO"/>
        <s v="EWR"/>
        <s v="MSP"/>
        <s v="LAS"/>
        <s v="DFW"/>
        <s v="IAH"/>
        <s v="LAX"/>
        <s v="PHX"/>
        <s v="MCO"/>
        <s v="ATL"/>
        <s v="JFK"/>
        <s v="CLT"/>
        <s v="DTW"/>
        <s v="SEA"/>
        <s v="MDW"/>
      </sharedItems>
    </cacheField>
    <cacheField name="Destination City" numFmtId="0">
      <sharedItems count="19">
        <s v="Denver"/>
        <s v="Orlando"/>
        <s v="Charlotte"/>
        <s v="Boston"/>
        <s v="Los Angeles"/>
        <s v="Minneapolis"/>
        <s v="Chicago"/>
        <s v="Newark"/>
        <s v="San Diego"/>
        <s v="Houston"/>
        <s v="Detroit"/>
        <s v="Las Vegas"/>
        <s v="New York"/>
        <s v="Seattle"/>
        <s v="Phoenix"/>
        <s v="Dallas"/>
        <s v="Atlanta"/>
        <s v="Miami"/>
        <s v="San Francisco"/>
      </sharedItems>
    </cacheField>
    <cacheField name="Routes" numFmtId="0">
      <sharedItems count="261">
        <s v="Boston → Denver"/>
        <s v="Denver → Orlando"/>
        <s v="Miami → Charlotte"/>
        <s v="San Diego → Boston"/>
        <s v="Chicago → Los Angeles"/>
        <s v="San Francisco → Minneapolis"/>
        <s v="Boston → Chicago"/>
        <s v="Newark → Minneapolis"/>
        <s v="San Francisco → Denver"/>
        <s v="Minneapolis → Newark"/>
        <s v="Las Vegas → Charlotte"/>
        <s v="Dallas → Minneapolis"/>
        <s v="Denver → San Diego"/>
        <s v="Boston → Orlando"/>
        <s v="Houston → Charlotte"/>
        <s v="Los Angeles → Boston"/>
        <s v="Denver → Houston"/>
        <s v="Los Angeles → Detroit"/>
        <s v="Denver → Chicago"/>
        <s v="Newark → Houston"/>
        <s v="Dallas → Denver"/>
        <s v="Los Angeles → Orlando"/>
        <s v="San Diego → Chicago"/>
        <s v="Phoenix → Chicago"/>
        <s v="Chicago → Boston"/>
        <s v="Dallas → Las Vegas"/>
        <s v="Boston → Los Angeles"/>
        <s v="Orlando → New York"/>
        <s v="Las Vegas → Minneapolis"/>
        <s v="Miami → Seattle"/>
        <s v="Los Angeles → Houston"/>
        <s v="Chicago → Las Vegas"/>
        <s v="Atlanta → Charlotte"/>
        <s v="New York → Orlando"/>
        <s v="Houston → Las Vegas"/>
        <s v="Charlotte → Newark"/>
        <s v="Detroit → San Diego"/>
        <s v="Miami → Orlando"/>
        <s v="San Diego → Houston"/>
        <s v="Boston → Newark"/>
        <s v="Seattle → Chicago"/>
        <s v="Newark → New York"/>
        <s v="Boston → Charlotte"/>
        <s v="Minneapolis → San Diego"/>
        <s v="Charlotte → Phoenix"/>
        <s v="Boston → Minneapolis"/>
        <s v="Orlando → Detroit"/>
        <s v="Charlotte → Dallas"/>
        <s v="New York → Houston"/>
        <s v="Las Vegas → Denver"/>
        <s v="Charlotte → Boston"/>
        <s v="Seattle → Houston"/>
        <s v="Dallas → San Diego"/>
        <s v="Denver → Phoenix"/>
        <s v="Atlanta → Chicago"/>
        <s v="Atlanta → Newark"/>
        <s v="Phoenix → Boston"/>
        <s v="Newark → Orlando"/>
        <s v="San Francisco → Charlotte"/>
        <s v="Charlotte → Chicago"/>
        <s v="Los Angeles → Denver"/>
        <s v="Newark → Atlanta"/>
        <s v="Atlanta → Miami"/>
        <s v="Seattle → Orlando"/>
        <s v="Las Vegas → San Diego"/>
        <s v="Los Angeles → Miami"/>
        <s v="Newark → Boston"/>
        <s v="Las Vegas → New York"/>
        <s v="Miami → Chicago"/>
        <s v="Boston → New York"/>
        <s v="Minneapolis → Boston"/>
        <s v="Seattle → Las Vegas"/>
        <s v="Chicago → Phoenix"/>
        <s v="Boston → Houston"/>
        <s v="Minneapolis → New York"/>
        <s v="Dallas → Los Angeles"/>
        <s v="Detroit → Atlanta"/>
        <s v="San Francisco → Chicago"/>
        <s v="Los Angeles → San Francisco"/>
        <s v="Dallas → New York"/>
        <s v="Houston → San Diego"/>
        <s v="New York → Chicago"/>
        <s v="Detroit → Newark"/>
        <s v="Dallas → Houston"/>
        <s v="New York → Seattle"/>
        <s v="Chicago → Orlando"/>
        <s v="Dallas → Seattle"/>
        <s v="Denver → Detroit"/>
        <s v="Minneapolis → Los Angeles"/>
        <s v="Atlanta → Detroit"/>
        <s v="Newark → Charlotte"/>
        <s v="Charlotte → Las Vegas"/>
        <s v="San Diego → Newark"/>
        <s v="Denver → Newark"/>
        <s v="Phoenix → Atlanta"/>
        <s v="Las Vegas → Detroit"/>
        <s v="Houston → San Francisco"/>
        <s v="San Diego → Miami"/>
        <s v="Orlando → Denver"/>
        <s v="Miami → Denver"/>
        <s v="Chicago → Seattle"/>
        <s v="Dallas → Miami"/>
        <s v="Boston → Seattle"/>
        <s v="Atlanta → Houston"/>
        <s v="Chicago → Detroit"/>
        <s v="Newark → Los Angeles"/>
        <s v="Charlotte → Los Angeles"/>
        <s v="Minneapolis → Phoenix"/>
        <s v="Detroit → Miami"/>
        <s v="Charlotte → San Francisco"/>
        <s v="Minneapolis → San Francisco"/>
        <s v="Phoenix → Minneapolis"/>
        <s v="Houston → Denver"/>
        <s v="Houston → Dallas"/>
        <s v="Orlando → Boston"/>
        <s v="San Diego → Phoenix"/>
        <s v="San Diego → New York"/>
        <s v="Charlotte → Detroit"/>
        <s v="San Francisco → Orlando"/>
        <s v="Minneapolis → Charlotte"/>
        <s v="Newark → Las Vegas"/>
        <s v="Los Angeles → San Diego"/>
        <s v="Minneapolis → Las Vegas"/>
        <s v="Chicago → Newark"/>
        <s v="Dallas → Charlotte"/>
        <s v="Seattle → Boston"/>
        <s v="Los Angeles → Phoenix"/>
        <s v="Dallas → Atlanta"/>
        <s v="Phoenix → Houston"/>
        <s v="Phoenix → Las Vegas"/>
        <s v="Miami → Los Angeles"/>
        <s v="Miami → New York"/>
        <s v="Detroit → Chicago"/>
        <s v="Chicago → San Diego"/>
        <s v="Atlanta → Denver"/>
        <s v="Orlando → Charlotte"/>
        <s v="Denver → New York"/>
        <s v="San Diego → Los Angeles"/>
        <s v="Orlando → San Diego"/>
        <s v="Detroit → Charlotte"/>
        <s v="Los Angeles → Chicago"/>
        <s v="Seattle → San Francisco"/>
        <s v="Minneapolis → Denver"/>
        <s v="Charlotte → Atlanta"/>
        <s v="New York → Las Vegas"/>
        <s v="San Francisco → Boston"/>
        <s v="Chicago → Atlanta"/>
        <s v="Miami → San Diego"/>
        <s v="Newark → Denver"/>
        <s v="Chicago → Minneapolis"/>
        <s v="Chicago → Houston"/>
        <s v="Detroit → Las Vegas"/>
        <s v="Las Vegas → San Francisco"/>
        <s v="Phoenix → Detroit"/>
        <s v="Seattle → Newark"/>
        <s v="Charlotte → Houston"/>
        <s v="Atlanta → Boston"/>
        <s v="Atlanta → New York"/>
        <s v="Phoenix → Seattle"/>
        <s v="San Francisco → Newark"/>
        <s v="Atlanta → Seattle"/>
        <s v="Orlando → Miami"/>
        <s v="Seattle → Detroit"/>
        <s v="Las Vegas → Los Angeles"/>
        <s v="Miami → Dallas"/>
        <s v="Phoenix → Denver"/>
        <s v="Minneapolis → Orlando"/>
        <s v="Chicago → Chicago"/>
        <s v="Phoenix → Los Angeles"/>
        <s v="Dallas → Phoenix"/>
        <s v="New York → San Francisco"/>
        <s v="San Francisco → Las Vegas"/>
        <s v="Atlanta → San Diego"/>
        <s v="New York → Phoenix"/>
        <s v="Houston → Detroit"/>
        <s v="Dallas → Chicago"/>
        <s v="Miami → Houston"/>
        <s v="Detroit → Boston"/>
        <s v="San Francisco → Miami"/>
        <s v="Newark → San Francisco"/>
        <s v="Detroit → Phoenix"/>
        <s v="Minneapolis → Chicago"/>
        <s v="Orlando → San Francisco"/>
        <s v="Detroit → Houston"/>
        <s v="Boston → San Francisco"/>
        <s v="Las Vegas → Boston"/>
        <s v="New York → Atlanta"/>
        <s v="San Francisco → Houston"/>
        <s v="Newark → Phoenix"/>
        <s v="San Francisco → Phoenix"/>
        <s v="Orlando → Minneapolis"/>
        <s v="Los Angeles → Minneapolis"/>
        <s v="Miami → Phoenix"/>
        <s v="San Francisco → Detroit"/>
        <s v="Orlando → Newark"/>
        <s v="San Diego → Minneapolis"/>
        <s v="Las Vegas → Orlando"/>
        <s v="San Diego → Charlotte"/>
        <s v="Newark → Dallas"/>
        <s v="Orlando → Las Vegas"/>
        <s v="Dallas → Orlando"/>
        <s v="Minneapolis → Detroit"/>
        <s v="Los Angeles → New York"/>
        <s v="New York → Boston"/>
        <s v="Las Vegas → Newark"/>
        <s v="Denver → Boston"/>
        <s v="Orlando → Los Angeles"/>
        <s v="San Diego → Dallas"/>
        <s v="Houston → Seattle"/>
        <s v="New York → Los Angeles"/>
        <s v="Atlanta → Dallas"/>
        <s v="Chicago → Charlotte"/>
        <s v="Atlanta → Las Vegas"/>
        <s v="Detroit → Los Angeles"/>
        <s v="Detroit → Denver"/>
        <s v="Orlando → Phoenix"/>
        <s v="Atlanta → Minneapolis"/>
        <s v="Houston → Atlanta"/>
        <s v="Los Angeles → Seattle"/>
        <s v="New York → Detroit"/>
        <s v="Las Vegas → Phoenix"/>
        <s v="Las Vegas → Chicago"/>
        <s v="San Francisco → Atlanta"/>
        <s v="Boston → Miami"/>
        <s v="Miami → San Francisco"/>
        <s v="Detroit → Orlando"/>
        <s v="Houston → New York"/>
        <s v="Chicago → San Francisco"/>
        <s v="Boston → Phoenix"/>
        <s v="Detroit → San Francisco"/>
        <s v="Denver → Seattle"/>
        <s v="Phoenix → New York"/>
        <s v="Charlotte → Miami"/>
        <s v="Seattle → Dallas"/>
        <s v="Phoenix → San Francisco"/>
        <s v="Houston → Chicago"/>
        <s v="New York → Charlotte"/>
        <s v="Detroit → Seattle"/>
        <s v="New York → Dallas"/>
        <s v="Denver → San Francisco"/>
        <s v="San Diego → San Francisco"/>
        <s v="San Diego → Las Vegas"/>
        <s v="Los Angeles → Las Vegas"/>
        <s v="San Diego → Denver"/>
        <s v="Charlotte → San Diego"/>
        <s v="Orlando → Houston"/>
        <s v="Dallas → San Francisco"/>
        <s v="Phoenix → Dallas"/>
        <s v="Seattle → Atlanta"/>
        <s v="New York → Minneapolis"/>
        <s v="Miami → Atlanta"/>
        <s v="Los Angeles → Charlotte"/>
        <s v="New York → Newark"/>
        <s v="San Francisco → Los Angeles"/>
        <s v="Las Vegas → Seattle"/>
        <s v="Detroit → Minneapolis"/>
        <s v="Chicago → Dallas"/>
        <s v="Orlando → Chicago"/>
        <s v="San Diego → Detroit"/>
        <s v="Charlotte → Orlando"/>
        <s v="Boston → Atlanta"/>
      </sharedItems>
    </cacheField>
    <cacheField name="Destination Code" numFmtId="0">
      <sharedItems count="20">
        <s v="DEN"/>
        <s v="MCO"/>
        <s v="CLT"/>
        <s v="BOS"/>
        <s v="LAX"/>
        <s v="MSP"/>
        <s v="MDW"/>
        <s v="EWR"/>
        <s v="SAN"/>
        <s v="IAH"/>
        <s v="DTW"/>
        <s v="ORD"/>
        <s v="LAS"/>
        <s v="JFK"/>
        <s v="SEA"/>
        <s v="PHX"/>
        <s v="DFW"/>
        <s v="ATL"/>
        <s v="MIA"/>
        <s v="SFO"/>
      </sharedItems>
    </cacheField>
    <cacheField name="Departure Time" numFmtId="0">
      <sharedItems count="96">
        <s v="07:15"/>
        <s v="19:00"/>
        <s v="10:30"/>
        <s v="01:45"/>
        <s v="21:15"/>
        <s v="06:30"/>
        <s v="07:30"/>
        <s v="20:45"/>
        <s v="04:45"/>
        <s v="16:30"/>
        <s v="05:45"/>
        <s v="05:00"/>
        <s v="02:00"/>
        <s v="19:45"/>
        <s v="03:15"/>
        <s v="13:15"/>
        <s v="23:30"/>
        <s v="14:00"/>
        <s v="06:45"/>
        <s v="09:15"/>
        <s v="02:15"/>
        <s v="13:30"/>
        <s v="00:45"/>
        <s v="11:30"/>
        <s v="03:00"/>
        <s v="02:45"/>
        <s v="01:30"/>
        <s v="13:00"/>
        <s v="11:45"/>
        <s v="17:15"/>
        <s v="21:45"/>
        <s v="09:45"/>
        <s v="21:30"/>
        <s v="13:45"/>
        <s v="02:30"/>
        <s v="15:00"/>
        <s v="18:00"/>
        <s v="10:45"/>
        <s v="00:15"/>
        <s v="18:15"/>
        <s v="10:15"/>
        <s v="23:45"/>
        <s v="12:15"/>
        <s v="09:30"/>
        <s v="08:30"/>
        <s v="09:00"/>
        <s v="05:15"/>
        <s v="22:30"/>
        <s v="00:00"/>
        <s v="15:30"/>
        <s v="23:15"/>
        <s v="18:45"/>
        <s v="14:30"/>
        <s v="08:00"/>
        <s v="00:30"/>
        <s v="15:45"/>
        <s v="20:30"/>
        <s v="08:15"/>
        <s v="03:45"/>
        <s v="19:30"/>
        <s v="07:45"/>
        <s v="07:00"/>
        <s v="03:30"/>
        <s v="12:00"/>
        <s v="12:45"/>
        <s v="16:15"/>
        <s v="14:15"/>
        <s v="17:45"/>
        <s v="04:00"/>
        <s v="19:15"/>
        <s v="08:45"/>
        <s v="17:30"/>
        <s v="22:00"/>
        <s v="04:30"/>
        <s v="17:00"/>
        <s v="18:30"/>
        <s v="22:15"/>
        <s v="12:30"/>
        <s v="20:00"/>
        <s v="16:45"/>
        <s v="21:00"/>
        <s v="15:15"/>
        <s v="22:45"/>
        <s v="23:00"/>
        <s v="16:00"/>
        <s v="10:00"/>
        <s v="11:15"/>
        <s v="06:15"/>
        <s v="01:00"/>
        <s v="05:30"/>
        <s v="01:15"/>
        <s v="14:45"/>
        <s v="04:15"/>
        <s v="20:15"/>
        <s v="06:00"/>
        <s v="11:00"/>
      </sharedItems>
    </cacheField>
    <cacheField name="Arrival Time" numFmtId="0">
      <sharedItems count="408">
        <s v="15:02"/>
        <s v="01:17"/>
        <s v="13:19"/>
        <s v="07:49"/>
        <s v="01:13"/>
        <s v="13:59"/>
        <s v="09:28"/>
        <s v="23:28"/>
        <s v="07:01"/>
        <s v="22:43"/>
        <s v="07:16"/>
        <s v="11:36"/>
        <s v="09:44"/>
        <s v="23:03"/>
        <s v="06:40"/>
        <s v="06:19"/>
        <s v="15:33"/>
        <s v="01:55"/>
        <s v="15:55"/>
        <s v="08:45"/>
        <s v="11:14"/>
        <s v="04:20"/>
        <s v="17:13"/>
        <s v="07:33"/>
        <s v="14:20"/>
        <s v="10:50"/>
        <s v="06:36"/>
        <s v="10:23"/>
        <s v="04:47"/>
        <s v="16:01"/>
        <s v="12:40"/>
        <s v="19:02"/>
        <s v="16:43"/>
        <s v="21:51"/>
        <s v="02:02"/>
        <s v="03:06"/>
        <s v="00:55"/>
        <s v="12:28"/>
        <s v="20:15"/>
        <s v="16:36"/>
        <s v="06:00"/>
        <s v="18:04"/>
        <s v="19:25"/>
        <s v="19:49"/>
        <s v="20:12"/>
        <s v="14:37"/>
        <s v="03:27"/>
        <s v="07:53"/>
        <s v="20:37"/>
        <s v="23:35"/>
        <s v="21:00"/>
        <s v="12:29"/>
        <s v="15:54"/>
        <s v="05:25"/>
        <s v="16:21"/>
        <s v="12:58"/>
        <s v="10:51"/>
        <s v="08:57"/>
        <s v="08:39"/>
        <s v="12:37"/>
        <s v="13:51"/>
        <s v="08:13"/>
        <s v="05:59"/>
        <s v="11:01"/>
        <s v="05:58"/>
        <s v="00:37"/>
        <s v="17:43"/>
        <s v="14:45"/>
        <s v="23:18"/>
        <s v="07:48"/>
        <s v="21:20"/>
        <s v="01:20"/>
        <s v="21:31"/>
        <s v="17:15"/>
        <s v="18:51"/>
        <s v="17:47"/>
        <s v="10:56"/>
        <s v="03:28"/>
        <s v="02:32"/>
        <s v="21:46"/>
        <s v="14:01"/>
        <s v="04:06"/>
        <s v="13:44"/>
        <s v="11:58"/>
        <s v="13:22"/>
        <s v="07:12"/>
        <s v="19:38"/>
        <s v="22:31"/>
        <s v="13:34"/>
        <s v="04:00"/>
        <s v="09:32"/>
        <s v="20:53"/>
        <s v="00:15"/>
        <s v="12:08"/>
        <s v="04:13"/>
        <s v="19:24"/>
        <s v="11:29"/>
        <s v="12:53"/>
        <s v="11:49"/>
        <s v="02:15"/>
        <s v="08:40"/>
        <s v="20:33"/>
        <s v="02:44"/>
        <s v="18:25"/>
        <s v="16:52"/>
        <s v="02:45"/>
        <s v="02:03"/>
        <s v="12:30"/>
        <s v="19:12"/>
        <s v="18:16"/>
        <s v="21:40"/>
        <s v="08:08"/>
        <s v="04:38"/>
        <s v="10:08"/>
        <s v="01:37"/>
        <s v="12:54"/>
        <s v="22:53"/>
        <s v="20:00"/>
        <s v="07:11"/>
        <s v="01:53"/>
        <s v="10:58"/>
        <s v="01:26"/>
        <s v="18:29"/>
        <s v="11:07"/>
        <s v="11:24"/>
        <s v="13:09"/>
        <s v="21:44"/>
        <s v="21:42"/>
        <s v="18:00"/>
        <s v="18:39"/>
        <s v="00:07"/>
        <s v="13:55"/>
        <s v="04:11"/>
        <s v="05:56"/>
        <s v="07:23"/>
        <s v="00:05"/>
        <s v="12:07"/>
        <s v="19:44"/>
        <s v="22:28"/>
        <s v="18:59"/>
        <s v="21:13"/>
        <s v="11:32"/>
        <s v="17:16"/>
        <s v="11:25"/>
        <s v="21:50"/>
        <s v="17:45"/>
        <s v="04:02"/>
        <s v="00:19"/>
        <s v="21:11"/>
        <s v="08:30"/>
        <s v="03:15"/>
        <s v="15:28"/>
        <s v="11:55"/>
        <s v="15:23"/>
        <s v="02:27"/>
        <s v="22:49"/>
        <s v="22:15"/>
        <s v="15:50"/>
        <s v="19:23"/>
        <s v="03:31"/>
        <s v="00:04"/>
        <s v="21:43"/>
        <s v="04:57"/>
        <s v="23:15"/>
        <s v="09:10"/>
        <s v="01:01"/>
        <s v="05:10"/>
        <s v="19:05"/>
        <s v="14:56"/>
        <s v="05:57"/>
        <s v="00:46"/>
        <s v="06:05"/>
        <s v="09:12"/>
        <s v="19:11"/>
        <s v="12:18"/>
        <s v="21:24"/>
        <s v="07:44"/>
        <s v="22:00"/>
        <s v="03:25"/>
        <s v="23:23"/>
        <s v="01:46"/>
        <s v="16:41"/>
        <s v="18:57"/>
        <s v="19:27"/>
        <s v="00:01"/>
        <s v="15:01"/>
        <s v="16:56"/>
        <s v="12:19"/>
        <s v="10:37"/>
        <s v="08:41"/>
        <s v="19:34"/>
        <s v="13:52"/>
        <s v="00:50"/>
        <s v="13:21"/>
        <s v="00:48"/>
        <s v="00:25"/>
        <s v="06:53"/>
        <s v="01:41"/>
        <s v="20:11"/>
        <s v="19:30"/>
        <s v="17:44"/>
        <s v="02:29"/>
        <s v="17:06"/>
        <s v="18:11"/>
        <s v="22:44"/>
        <s v="18:58"/>
        <s v="08:15"/>
        <s v="06:55"/>
        <s v="17:24"/>
        <s v="07:50"/>
        <s v="07:47"/>
        <s v="23:30"/>
        <s v="11:10"/>
        <s v="06:06"/>
        <s v="04:14"/>
        <s v="14:07"/>
        <s v="16:38"/>
        <s v="15:57"/>
        <s v="05:14"/>
        <s v="14:25"/>
        <s v="14:23"/>
        <s v="15:16"/>
        <s v="14:22"/>
        <s v="21:55"/>
        <s v="00:21"/>
        <s v="08:49"/>
        <s v="10:11"/>
        <s v="16:42"/>
        <s v="18:55"/>
        <s v="13:00"/>
        <s v="09:57"/>
        <s v="10:26"/>
        <s v="09:20"/>
        <s v="05:29"/>
        <s v="10:44"/>
        <s v="17:19"/>
        <s v="22:11"/>
        <s v="21:59"/>
        <s v="10:00"/>
        <s v="08:54"/>
        <s v="12:13"/>
        <s v="12:32"/>
        <s v="04:54"/>
        <s v="10:10"/>
        <s v="10:07"/>
        <s v="03:10"/>
        <s v="06:38"/>
        <s v="02:59"/>
        <s v="16:33"/>
        <s v="03:37"/>
        <s v="23:48"/>
        <s v="08:33"/>
        <s v="08:59"/>
        <s v="10:35"/>
        <s v="06:04"/>
        <s v="18:26"/>
        <s v="14:34"/>
        <s v="18:13"/>
        <s v="02:05"/>
        <s v="12:15"/>
        <s v="08:38"/>
        <s v="02:52"/>
        <s v="17:51"/>
        <s v="14:36"/>
        <s v="13:37"/>
        <s v="05:28"/>
        <s v="19:06"/>
        <s v="01:31"/>
        <s v="17:17"/>
        <s v="11:39"/>
        <s v="04:42"/>
        <s v="02:33"/>
        <s v="02:08"/>
        <s v="16:14"/>
        <s v="15:46"/>
        <s v="23:26"/>
        <s v="14:57"/>
        <s v="03:40"/>
        <s v="09:55"/>
        <s v="00:51"/>
        <s v="06:27"/>
        <s v="05:35"/>
        <s v="12:25"/>
        <s v="08:03"/>
        <s v="19:16"/>
        <s v="20:46"/>
        <s v="17:40"/>
        <s v="22:21"/>
        <s v="23:39"/>
        <s v="13:10"/>
        <s v="01:27"/>
        <s v="00:13"/>
        <s v="03:29"/>
        <s v="10:33"/>
        <s v="15:26"/>
        <s v="13:01"/>
        <s v="18:32"/>
        <s v="14:24"/>
        <s v="18:19"/>
        <s v="13:46"/>
        <s v="03:03"/>
        <s v="22:54"/>
        <s v="13:17"/>
        <s v="21:06"/>
        <s v="10:39"/>
        <s v="11:11"/>
        <s v="17:09"/>
        <s v="10:45"/>
        <s v="03:52"/>
        <s v="23:54"/>
        <s v="21:30"/>
        <s v="02:17"/>
        <s v="07:38"/>
        <s v="23:21"/>
        <s v="18:37"/>
        <s v="17:27"/>
        <s v="15:22"/>
        <s v="19:37"/>
        <s v="02:48"/>
        <s v="02:01"/>
        <s v="18:41"/>
        <s v="10:59"/>
        <s v="01:34"/>
        <s v="23:47"/>
        <s v="22:35"/>
        <s v="23:36"/>
        <s v="09:33"/>
        <s v="10:19"/>
        <s v="01:12"/>
        <s v="19:51"/>
        <s v="04:59"/>
        <s v="00:39"/>
        <s v="21:53"/>
        <s v="17:46"/>
        <s v="00:10"/>
        <s v="01:35"/>
        <s v="04:03"/>
        <s v="07:34"/>
        <s v="08:55"/>
        <s v="20:40"/>
        <s v="15:06"/>
        <s v="04:41"/>
        <s v="10:48"/>
        <s v="13:06"/>
        <s v="10:03"/>
        <s v="09:42"/>
        <s v="03:02"/>
        <s v="01:45"/>
        <s v="08:26"/>
        <s v="13:49"/>
        <s v="10:28"/>
        <s v="12:52"/>
        <s v="18:14"/>
        <s v="23:29"/>
        <s v="20:36"/>
        <s v="23:45"/>
        <s v="22:57"/>
        <s v="19:33"/>
        <s v="09:06"/>
        <s v="13:58"/>
        <s v="20:13"/>
        <s v="09:49"/>
        <s v="14:35"/>
        <s v="13:25"/>
        <s v="13:13"/>
        <s v="23:02"/>
        <s v="15:00"/>
        <s v="14:29"/>
        <s v="00:49"/>
        <s v="07:29"/>
        <s v="03:13"/>
        <s v="05:23"/>
        <s v="00:56"/>
        <s v="19:07"/>
        <s v="03:42"/>
        <s v="17:01"/>
        <s v="09:31"/>
        <s v="00:38"/>
        <s v="08:01"/>
        <s v="08:37"/>
        <s v="22:06"/>
        <s v="01:42"/>
        <s v="12:50"/>
        <s v="01:54"/>
        <s v="06:51"/>
        <s v="00:44"/>
        <s v="17:35"/>
        <s v="03:32"/>
        <s v="12:35"/>
        <s v="05:20"/>
        <s v="10:21"/>
        <s v="15:36"/>
        <s v="05:04"/>
        <s v="14:48"/>
        <s v="18:09"/>
        <s v="14:40"/>
        <s v="11:57"/>
        <s v="17:30"/>
        <s v="16:15"/>
        <s v="15:14"/>
        <s v="10:29"/>
        <s v="06:49"/>
        <s v="03:20"/>
        <s v="20:35"/>
        <s v="20:31"/>
        <s v="06:42"/>
        <s v="06:21"/>
        <s v="23:46"/>
      </sharedItems>
    </cacheField>
    <cacheField name="Flight Duration Min" numFmtId="0">
      <sharedItems containsSemiMixedTypes="0" containsString="0" containsNumber="1" containsInteger="1" minValue="0" maxValue="480" count="276">
        <n v="467"/>
        <n v="377"/>
        <n v="169"/>
        <n v="364"/>
        <n v="238"/>
        <n v="449"/>
        <n v="118"/>
        <n v="163"/>
        <n v="136"/>
        <n v="373"/>
        <n v="91"/>
        <n v="396"/>
        <n v="464"/>
        <n v="198"/>
        <n v="205"/>
        <n v="259"/>
        <n v="138"/>
        <n v="145"/>
        <n v="115"/>
        <n v="120"/>
        <n v="119"/>
        <n v="125"/>
        <n v="223"/>
        <n v="408"/>
        <n v="170"/>
        <n v="470"/>
        <n v="231"/>
        <n v="443"/>
        <n v="197"/>
        <n v="181"/>
        <n v="325"/>
        <n v="437"/>
        <n v="313"/>
        <n v="276"/>
        <n v="257"/>
        <n v="370"/>
        <n v="351"/>
        <n v="343"/>
        <n v="375"/>
        <n v="171"/>
        <n v="210"/>
        <n v="475"/>
        <n v="289"/>
        <n v="132"/>
        <n v="232"/>
        <n v="192"/>
        <n v="173"/>
        <n v="142"/>
        <n v="465"/>
        <n v="134"/>
        <n v="339"/>
        <n v="340"/>
        <n v="246"/>
        <n v="208"/>
        <n v="141"/>
        <n v="447"/>
        <n v="219"/>
        <n v="217"/>
        <n v="178"/>
        <n v="226"/>
        <n v="448"/>
        <n v="207"/>
        <n v="433"/>
        <n v="255"/>
        <n v="453"/>
        <n v="350"/>
        <n v="166"/>
        <n v="300"/>
        <n v="422"/>
        <n v="206"/>
        <n v="407"/>
        <n v="436"/>
        <n v="286"/>
        <n v="400"/>
        <n v="411"/>
        <n v="179"/>
        <n v="148"/>
        <n v="322"/>
        <n v="402"/>
        <n v="342"/>
        <n v="233"/>
        <n v="121"/>
        <n v="379"/>
        <n v="156"/>
        <n v="225"/>
        <n v="347"/>
        <n v="308"/>
        <n v="285"/>
        <n v="263"/>
        <n v="133"/>
        <n v="459"/>
        <n v="269"/>
        <n v="304"/>
        <n v="435"/>
        <n v="310"/>
        <n v="93"/>
        <n v="177"/>
        <n v="292"/>
        <n v="438"/>
        <n v="270"/>
        <n v="387"/>
        <n v="235"/>
        <n v="248"/>
        <n v="428"/>
        <n v="112"/>
        <n v="189"/>
        <n v="218"/>
        <n v="352"/>
        <n v="331"/>
        <n v="146"/>
        <n v="413"/>
        <n v="358"/>
        <n v="281"/>
        <n v="419"/>
        <n v="114"/>
        <n v="444"/>
        <n v="254"/>
        <n v="462"/>
        <n v="105"/>
        <n v="399"/>
        <n v="445"/>
        <n v="371"/>
        <n v="161"/>
        <n v="293"/>
        <n v="155"/>
        <n v="172"/>
        <n v="404"/>
        <n v="104"/>
        <n v="418"/>
        <n v="194"/>
        <n v="253"/>
        <n v="275"/>
        <n v="332"/>
        <n v="349"/>
        <n v="461"/>
        <n v="165"/>
        <n v="383"/>
        <n v="267"/>
        <n v="214"/>
        <n v="92"/>
        <n v="135"/>
        <n v="185"/>
        <n v="158"/>
        <n v="241"/>
        <n v="184"/>
        <n v="417"/>
        <n v="480"/>
        <n v="460"/>
        <n v="131"/>
        <n v="327"/>
        <n v="106"/>
        <n v="295"/>
        <n v="211"/>
        <n v="410"/>
        <n v="282"/>
        <n v="116"/>
        <n v="234"/>
        <n v="479"/>
        <n v="160"/>
        <n v="98"/>
        <n v="372"/>
        <n v="264"/>
        <n v="311"/>
        <n v="454"/>
        <n v="157"/>
        <n v="395"/>
        <n v="176"/>
        <n v="274"/>
        <n v="335"/>
        <n v="299"/>
        <n v="363"/>
        <n v="175"/>
        <n v="203"/>
        <n v="266"/>
        <n v="356"/>
        <n v="297"/>
        <n v="450"/>
        <n v="224"/>
        <n v="434"/>
        <n v="365"/>
        <n v="367"/>
        <n v="268"/>
        <n v="159"/>
        <n v="309"/>
        <n v="137"/>
        <n v="90"/>
        <n v="472"/>
        <n v="360"/>
        <n v="390"/>
        <n v="149"/>
        <n v="382"/>
        <n v="249"/>
        <n v="190"/>
        <n v="261"/>
        <n v="416"/>
        <n v="252"/>
        <n v="250"/>
        <n v="191"/>
        <n v="344"/>
        <n v="389"/>
        <n v="204"/>
        <n v="403"/>
        <n v="452"/>
        <n v="385"/>
        <n v="127"/>
        <n v="318"/>
        <n v="333"/>
        <n v="374"/>
        <n v="380"/>
        <n v="469"/>
        <n v="230"/>
        <n v="397"/>
        <n v="201"/>
        <n v="336"/>
        <n v="388"/>
        <n v="426"/>
        <n v="471"/>
        <n v="381"/>
        <n v="312"/>
        <n v="337"/>
        <n v="432"/>
        <n v="95"/>
        <n v="376"/>
        <n v="186"/>
        <n v="320"/>
        <n v="265"/>
        <n v="164"/>
        <n v="273"/>
        <n v="476"/>
        <n v="466"/>
        <n v="328"/>
        <n v="429"/>
        <n v="102"/>
        <n v="139"/>
        <n v="421"/>
        <n v="384"/>
        <n v="242"/>
        <n v="338"/>
        <n v="216"/>
        <n v="354"/>
        <n v="315"/>
        <n v="302"/>
        <n v="202"/>
        <n v="442"/>
        <n v="451"/>
        <n v="314"/>
        <n v="183"/>
        <n v="366"/>
        <n v="284"/>
        <n v="277"/>
        <n v="305"/>
        <n v="154"/>
        <n v="306"/>
        <n v="287"/>
        <n v="94"/>
        <n v="478"/>
        <n v="187"/>
        <n v="188"/>
        <n v="96"/>
        <n v="355"/>
        <n v="294"/>
        <n v="440"/>
        <n v="319"/>
        <n v="103"/>
        <n v="405"/>
        <n v="463"/>
        <n v="368"/>
        <n v="215"/>
        <n v="431"/>
        <n v="323"/>
        <n v="140"/>
        <n v="260"/>
        <n v="195"/>
        <n v="256"/>
        <n v="420"/>
        <n v="240"/>
      </sharedItems>
    </cacheField>
    <cacheField name="Distance Miles" numFmtId="0">
      <sharedItems containsSemiMixedTypes="0" containsString="0" containsNumber="1" containsInteger="1" minValue="0" maxValue="2987" count="456">
        <n v="719"/>
        <n v="1114"/>
        <n v="1181"/>
        <n v="811"/>
        <n v="626"/>
        <n v="2954"/>
        <n v="1238"/>
        <n v="1384"/>
        <n v="492"/>
        <n v="347"/>
        <n v="1378"/>
        <n v="1627"/>
        <n v="2290"/>
        <n v="2508"/>
        <n v="562"/>
        <n v="590"/>
        <n v="697"/>
        <n v="1318"/>
        <n v="2971"/>
        <n v="974"/>
        <n v="2672"/>
        <n v="2737"/>
        <n v="1136"/>
        <n v="2606"/>
        <n v="2094"/>
        <n v="2566"/>
        <n v="480"/>
        <n v="910"/>
        <n v="1322"/>
        <n v="1660"/>
        <n v="1732"/>
        <n v="2496"/>
        <n v="2783"/>
        <n v="2066"/>
        <n v="1948"/>
        <n v="301"/>
        <n v="2238"/>
        <n v="1115"/>
        <n v="1936"/>
        <n v="1320"/>
        <n v="2244"/>
        <n v="1412"/>
        <n v="2522"/>
        <n v="1897"/>
        <n v="1676"/>
        <n v="2932"/>
        <n v="2026"/>
        <n v="383"/>
        <n v="1574"/>
        <n v="1535"/>
        <n v="2372"/>
        <n v="2437"/>
        <n v="1442"/>
        <n v="1168"/>
        <n v="2574"/>
        <n v="2682"/>
        <n v="794"/>
        <n v="1095"/>
        <n v="817"/>
        <n v="2256"/>
        <n v="785"/>
        <n v="2629"/>
        <n v="2560"/>
        <n v="2159"/>
        <n v="882"/>
        <n v="2656"/>
        <n v="1043"/>
        <n v="728"/>
        <n v="774"/>
        <n v="2341"/>
        <n v="948"/>
        <n v="1419"/>
        <n v="1431"/>
        <n v="2129"/>
        <n v="478"/>
        <n v="2103"/>
        <n v="628"/>
        <n v="670"/>
        <n v="1501"/>
        <n v="1286"/>
        <n v="2538"/>
        <n v="2279"/>
        <n v="2334"/>
        <n v="1122"/>
        <n v="2218"/>
        <n v="1809"/>
        <n v="1206"/>
        <n v="775"/>
        <n v="434"/>
        <n v="1930"/>
        <n v="1140"/>
        <n v="2512"/>
        <n v="514"/>
        <n v="1207"/>
        <n v="742"/>
        <n v="2746"/>
        <n v="2157"/>
        <n v="681"/>
        <n v="510"/>
        <n v="2578"/>
        <n v="1737"/>
        <n v="2158"/>
        <n v="634"/>
        <n v="754"/>
        <n v="1137"/>
        <n v="829"/>
        <n v="618"/>
        <n v="2831"/>
        <n v="1570"/>
        <n v="721"/>
        <n v="2612"/>
        <n v="2378"/>
        <n v="2570"/>
        <n v="2145"/>
        <n v="1827"/>
        <n v="1332"/>
        <n v="2589"/>
        <n v="1038"/>
        <n v="1679"/>
        <n v="1982"/>
        <n v="1806"/>
        <n v="513"/>
        <n v="903"/>
        <n v="1881"/>
        <n v="868"/>
        <n v="1480"/>
        <n v="2410"/>
        <n v="1777"/>
        <n v="1338"/>
        <n v="1017"/>
        <n v="1117"/>
        <n v="2985"/>
        <n v="2337"/>
        <n v="720"/>
        <n v="1744"/>
        <n v="884"/>
        <n v="928"/>
        <n v="764"/>
        <n v="2311"/>
        <n v="2520"/>
        <n v="1269"/>
        <n v="2260"/>
        <n v="2558"/>
        <n v="1621"/>
        <n v="2485"/>
        <n v="632"/>
        <n v="1537"/>
        <n v="1693"/>
        <n v="1290"/>
        <n v="2666"/>
        <n v="1910"/>
        <n v="2065"/>
        <n v="1797"/>
        <n v="2427"/>
        <n v="2387"/>
        <n v="2877"/>
        <n v="1292"/>
        <n v="2355"/>
        <n v="2182"/>
        <n v="1519"/>
        <n v="2524"/>
        <n v="2111"/>
        <n v="507"/>
        <n v="2554"/>
        <n v="1485"/>
        <n v="2365"/>
        <n v="2625"/>
        <n v="875"/>
        <n v="2977"/>
        <n v="1508"/>
        <n v="1313"/>
        <n v="2370"/>
        <n v="2390"/>
        <n v="389"/>
        <n v="2233"/>
        <n v="2530"/>
        <n v="2017"/>
        <n v="2097"/>
        <n v="1536"/>
        <n v="2049"/>
        <n v="1053"/>
        <n v="2470"/>
        <n v="1399"/>
        <n v="1078"/>
        <n v="1859"/>
        <n v="1611"/>
        <n v="924"/>
        <n v="1742"/>
        <n v="2883"/>
        <n v="327"/>
        <n v="738"/>
        <n v="1963"/>
        <n v="2249"/>
        <n v="1165"/>
        <n v="1588"/>
        <n v="2514"/>
        <n v="2778"/>
        <n v="1060"/>
        <n v="2896"/>
        <n v="657"/>
        <n v="2749"/>
        <n v="1330"/>
        <n v="1586"/>
        <n v="766"/>
        <n v="2345"/>
        <n v="2375"/>
        <n v="2950"/>
        <n v="2391"/>
        <n v="400"/>
        <n v="2278"/>
        <n v="973"/>
        <n v="2879"/>
        <n v="1179"/>
        <n v="2304"/>
        <n v="1518"/>
        <n v="1891"/>
        <n v="1066"/>
        <n v="2314"/>
        <n v="1482"/>
        <n v="470"/>
        <n v="656"/>
        <n v="2635"/>
        <n v="1985"/>
        <n v="1811"/>
        <n v="1167"/>
        <n v="2981"/>
        <n v="1174"/>
        <n v="841"/>
        <n v="845"/>
        <n v="920"/>
        <n v="2058"/>
        <n v="1904"/>
        <n v="349"/>
        <n v="2705"/>
        <n v="2923"/>
        <n v="2898"/>
        <n v="1823"/>
        <n v="2661"/>
        <n v="772"/>
        <n v="444"/>
        <n v="1640"/>
        <n v="305"/>
        <n v="1446"/>
        <n v="1915"/>
        <n v="2154"/>
        <n v="1965"/>
        <n v="2771"/>
        <n v="2152"/>
        <n v="1940"/>
        <n v="676"/>
        <n v="420"/>
        <n v="2836"/>
        <n v="1116"/>
        <n v="2616"/>
        <n v="1253"/>
        <n v="1021"/>
        <n v="2308"/>
        <n v="1695"/>
        <n v="1920"/>
        <n v="2712"/>
        <n v="1204"/>
        <n v="2917"/>
        <n v="1880"/>
        <n v="2966"/>
        <n v="1700"/>
        <n v="1453"/>
        <n v="1506"/>
        <n v="1563"/>
        <n v="482"/>
        <n v="1995"/>
        <n v="1524"/>
        <n v="1089"/>
        <n v="1927"/>
        <n v="2708"/>
        <n v="2982"/>
        <n v="1273"/>
        <n v="850"/>
        <n v="2284"/>
        <n v="1808"/>
        <n v="2951"/>
        <n v="334"/>
        <n v="2211"/>
        <n v="561"/>
        <n v="1955"/>
        <n v="2643"/>
        <n v="2586"/>
        <n v="1557"/>
        <n v="1096"/>
        <n v="2174"/>
        <n v="990"/>
        <n v="454"/>
        <n v="828"/>
        <n v="848"/>
        <n v="927"/>
        <n v="2830"/>
        <n v="956"/>
        <n v="2651"/>
        <n v="505"/>
        <n v="1939"/>
        <n v="724"/>
        <n v="2299"/>
        <n v="1685"/>
        <n v="2935"/>
        <n v="2376"/>
        <n v="1594"/>
        <n v="2774"/>
        <n v="2838"/>
        <n v="2438"/>
        <n v="2173"/>
        <n v="2669"/>
        <n v="1504"/>
        <n v="1158"/>
        <n v="2637"/>
        <n v="517"/>
        <n v="2153"/>
        <n v="1887"/>
        <n v="2710"/>
        <n v="2404"/>
        <n v="934"/>
        <n v="1601"/>
        <n v="1659"/>
        <n v="2813"/>
        <n v="2417"/>
        <n v="985"/>
        <n v="595"/>
        <n v="1232"/>
        <n v="324"/>
        <n v="2092"/>
        <n v="2953"/>
        <n v="1160"/>
        <n v="769"/>
        <n v="2678"/>
        <n v="2559"/>
        <n v="2671"/>
        <n v="2203"/>
        <n v="2619"/>
        <n v="1813"/>
        <n v="2435"/>
        <n v="978"/>
        <n v="1652"/>
        <n v="2726"/>
        <n v="2608"/>
        <n v="1849"/>
        <n v="2756"/>
        <n v="1460"/>
        <n v="1593"/>
        <n v="2815"/>
        <n v="343"/>
        <n v="1279"/>
        <n v="581"/>
        <n v="1954"/>
        <n v="2654"/>
        <n v="776"/>
        <n v="736"/>
        <n v="2653"/>
        <n v="433"/>
        <n v="2679"/>
        <n v="1236"/>
        <n v="339"/>
        <n v="705"/>
        <n v="2583"/>
        <n v="1754"/>
        <n v="2885"/>
        <n v="1395"/>
        <n v="1261"/>
        <n v="520"/>
        <n v="1463"/>
        <n v="2122"/>
        <n v="2510"/>
        <n v="1474"/>
        <n v="2545"/>
        <n v="2861"/>
        <n v="1486"/>
        <n v="390"/>
        <n v="1189"/>
        <n v="1391"/>
        <n v="2114"/>
        <n v="949"/>
        <n v="1192"/>
        <n v="472"/>
        <n v="2860"/>
        <n v="1090"/>
        <n v="2621"/>
        <n v="2518"/>
        <n v="559"/>
        <n v="1619"/>
        <n v="704"/>
        <n v="1154"/>
        <n v="588"/>
        <n v="2455"/>
        <n v="1590"/>
        <n v="2553"/>
        <n v="853"/>
        <n v="1190"/>
        <n v="1669"/>
        <n v="2511"/>
        <n v="2069"/>
        <n v="593"/>
        <n v="2732"/>
        <n v="1831"/>
        <n v="755"/>
        <n v="878"/>
        <n v="388"/>
        <n v="2353"/>
        <n v="1865"/>
        <n v="2987"/>
        <n v="2806"/>
        <n v="2357"/>
        <n v="432"/>
        <n v="2306"/>
        <n v="747"/>
        <n v="1492"/>
        <n v="2946"/>
        <n v="2140"/>
        <n v="1672"/>
        <n v="2127"/>
        <n v="323"/>
        <n v="2541"/>
        <n v="2667"/>
        <n v="851"/>
        <n v="2777"/>
        <n v="2816"/>
        <n v="2204"/>
        <n v="1922"/>
        <n v="936"/>
        <n v="2494"/>
        <n v="2488"/>
        <n v="2335"/>
        <n v="2117"/>
        <n v="2414"/>
        <n v="2212"/>
        <n v="2480"/>
        <n v="1756"/>
        <n v="2166"/>
        <n v="1653"/>
        <n v="1727"/>
        <n v="2718"/>
        <n v="2623"/>
        <n v="2573"/>
        <n v="551"/>
        <n v="1596"/>
        <n v="555"/>
        <n v="2717"/>
        <n v="1875"/>
        <n v="2293"/>
        <n v="2386"/>
        <n v="627"/>
        <n v="2895"/>
        <n v="1745"/>
        <n v="511"/>
        <n v="2822"/>
        <n v="1267"/>
        <n v="1274"/>
        <n v="1933"/>
        <n v="1407"/>
        <n v="1036"/>
      </sharedItems>
    </cacheField>
    <cacheField name="Ticket Price" numFmtId="0">
      <sharedItems containsSemiMixedTypes="0" containsString="0" containsNumber="1" minValue="0" maxValue="1196.58" count="465">
        <n v="837.9"/>
        <n v="881.94"/>
        <n v="1152.08"/>
        <n v="1169.8900000000001"/>
        <n v="1037.96"/>
        <n v="159.97"/>
        <n v="1000.42"/>
        <n v="236.39"/>
        <n v="1044.44"/>
        <n v="587.19000000000005"/>
        <n v="494.95499999999998"/>
        <n v="677.70500000000004"/>
        <n v="579.745"/>
        <n v="498.48"/>
        <n v="527.08500000000004"/>
        <n v="627.39"/>
        <n v="641.17750000000001"/>
        <n v="956.27"/>
        <n v="450.89"/>
        <n v="1182.3399999999999"/>
        <n v="158.37"/>
        <n v="860.87"/>
        <n v="420.34"/>
        <n v="968.98"/>
        <n v="245.04"/>
        <n v="353.26"/>
        <n v="1107.57"/>
        <n v="584.08000000000004"/>
        <n v="456.15"/>
        <n v="601.84"/>
        <n v="1035.8599999999999"/>
        <n v="829.14"/>
        <n v="560.04999999999995"/>
        <n v="362.54"/>
        <n v="775.9"/>
        <n v="201.07"/>
        <n v="1032.33"/>
        <n v="805.25"/>
        <n v="1161.33"/>
        <n v="1067.43"/>
        <n v="477.4"/>
        <n v="929.14"/>
        <n v="493.3"/>
        <n v="887.84"/>
        <n v="411.8"/>
        <n v="794.41"/>
        <n v="207.78"/>
        <n v="705.04"/>
        <n v="775.55"/>
        <n v="164.07"/>
        <n v="159.72"/>
        <n v="159.97999999999999"/>
        <n v="1135.8"/>
        <n v="737.58"/>
        <n v="1196.58"/>
        <n v="496.71749999999997"/>
        <n v="1166.6099999999999"/>
        <n v="780.46"/>
        <n v="428.04"/>
        <n v="545.35"/>
        <n v="683.21"/>
        <n v="436.36"/>
        <n v="191.68"/>
        <n v="1033.98"/>
        <n v="566.04999999999995"/>
        <n v="481.48"/>
        <n v="637.39"/>
        <n v="256.93"/>
        <n v="199.45"/>
        <n v="1012.78"/>
        <n v="228.02"/>
        <n v="1158.44"/>
        <n v="833.57"/>
        <n v="805.37"/>
        <n v="188.86"/>
        <n v="853.11"/>
        <n v="388.99"/>
        <n v="156.84"/>
        <n v="360.73"/>
        <n v="221.97"/>
        <n v="1138.8699999999999"/>
        <n v="629.1"/>
        <n v="674.22"/>
        <n v="526.58000000000004"/>
        <n v="563.70000000000005"/>
        <n v="1164.6099999999999"/>
        <n v="491.67"/>
        <n v="86.84"/>
        <n v="461.8"/>
        <n v="397.24"/>
        <n v="417.59"/>
        <n v="505.83"/>
        <n v="1045.56"/>
        <n v="595.30999999999995"/>
        <n v="915.3"/>
        <n v="244.02"/>
        <n v="800.15"/>
        <n v="163.09"/>
        <n v="1148.74"/>
        <n v="195.92"/>
        <n v="1108.0899999999999"/>
        <n v="890.58"/>
        <n v="501.88"/>
        <n v="1145.31"/>
        <n v="1061.56"/>
        <n v="488.02"/>
        <n v="839.7"/>
        <n v="798.12"/>
        <n v="1193.8699999999999"/>
        <n v="929.9"/>
        <n v="346.16"/>
        <n v="724.05"/>
        <n v="155.80000000000001"/>
        <n v="916.99"/>
        <n v="1010.03"/>
        <n v="1072.0899999999999"/>
        <n v="451.76"/>
        <n v="491.43"/>
        <n v="169.68"/>
        <n v="768.63"/>
        <n v="1030.51"/>
        <n v="840.55"/>
        <n v="109.02"/>
        <n v="304.2"/>
        <n v="607.15771802325605"/>
        <n v="965.22"/>
        <n v="668.78"/>
        <n v="796.57"/>
        <n v="1126.9100000000001"/>
        <n v="184.64"/>
        <n v="130.91999999999999"/>
        <n v="620.9"/>
        <n v="759.46"/>
        <n v="887.66"/>
        <n v="646.1"/>
        <n v="230.01"/>
        <n v="403.23"/>
        <n v="591.83000000000004"/>
        <n v="676.22"/>
        <n v="109.84"/>
        <n v="115.36"/>
        <n v="947.97"/>
        <n v="1101.58"/>
        <n v="943.72"/>
        <n v="505.26"/>
        <n v="814.69"/>
        <n v="830.21"/>
        <n v="1175.26"/>
        <n v="723.03"/>
        <n v="1061.95"/>
        <n v="604.17999999999995"/>
        <n v="835.33"/>
        <n v="614.75"/>
        <n v="482.7"/>
        <n v="491.65"/>
        <n v="841.98"/>
        <n v="306.42"/>
        <n v="578.94000000000005"/>
        <n v="523.46"/>
        <n v="115.54"/>
        <n v="228.95"/>
        <n v="555.02"/>
        <n v="768.71"/>
        <n v="342.46"/>
        <n v="1061.4100000000001"/>
        <n v="702.55"/>
        <n v="924.95"/>
        <n v="230.18"/>
        <n v="502.43"/>
        <n v="1157.53"/>
        <n v="602.20000000000005"/>
        <n v="1104.05"/>
        <n v="299.73"/>
        <n v="269.58"/>
        <n v="339.21"/>
        <n v="1108.21"/>
        <n v="594.08000000000004"/>
        <n v="142.85"/>
        <n v="1089.43"/>
        <n v="97.54"/>
        <n v="451.54"/>
        <n v="941.29"/>
        <n v="841.26"/>
        <n v="252.79"/>
        <n v="289.88"/>
        <n v="958.57"/>
        <n v="381.19"/>
        <n v="1137.53"/>
        <n v="1022.61"/>
        <n v="278.95"/>
        <n v="1123.92"/>
        <n v="235.88"/>
        <n v="1114.32"/>
        <n v="766.2"/>
        <n v="916.48"/>
        <n v="620.70000000000005"/>
        <n v="470.1"/>
        <n v="1121.51"/>
        <n v="286.58999999999997"/>
        <n v="310.48"/>
        <n v="671.04"/>
        <n v="1108.92"/>
        <n v="548.42999999999995"/>
        <n v="432.33"/>
        <n v="545.51"/>
        <n v="268.39"/>
        <n v="931.2"/>
        <n v="571.76"/>
        <n v="472.91"/>
        <n v="1109.02"/>
        <n v="726.72"/>
        <n v="589.26"/>
        <n v="634.08000000000004"/>
        <n v="98.24"/>
        <n v="483.69"/>
        <n v="614.02"/>
        <n v="615.02"/>
        <n v="798.57"/>
        <n v="1110.28"/>
        <n v="432.24"/>
        <n v="411.01"/>
        <n v="1185.31"/>
        <n v="155.63999999999999"/>
        <n v="680.95"/>
        <n v="934.81"/>
        <n v="765.77"/>
        <n v="222.16"/>
        <n v="782.84"/>
        <n v="335.81"/>
        <n v="699.21"/>
        <n v="213.73"/>
        <n v="176.75"/>
        <n v="931.74"/>
        <n v="930"/>
        <n v="184.19"/>
        <n v="163.81"/>
        <n v="384.59"/>
        <n v="215.23"/>
        <n v="125.17"/>
        <n v="702.67"/>
        <n v="496.91"/>
        <n v="1093.69"/>
        <n v="508.66"/>
        <n v="771.01"/>
        <n v="799.77"/>
        <n v="642.67999999999995"/>
        <n v="1170.8599999999999"/>
        <n v="344.94"/>
        <n v="122.52"/>
        <n v="882.97"/>
        <n v="736.34"/>
        <n v="992.19"/>
        <n v="796.4"/>
        <n v="896.8"/>
        <n v="570.80999999999995"/>
        <n v="929.23"/>
        <n v="270.52"/>
        <n v="264.8"/>
        <n v="413.09"/>
        <n v="1002.76"/>
        <n v="959.06"/>
        <n v="374.89"/>
        <n v="1167.19"/>
        <n v="168.43"/>
        <n v="221.33"/>
        <n v="698.3"/>
        <n v="732.6"/>
        <n v="623.85"/>
        <n v="135.21"/>
        <n v="416.54"/>
        <n v="930.63"/>
        <n v="112.42"/>
        <n v="1002.33"/>
        <n v="471.73"/>
        <n v="332.13"/>
        <n v="330.62"/>
        <n v="418.4"/>
        <n v="456.64"/>
        <n v="819.79"/>
        <n v="993.94"/>
        <n v="282.87"/>
        <n v="550.92999999999995"/>
        <n v="640.53"/>
        <n v="240.41"/>
        <n v="725.43"/>
        <n v="677.84"/>
        <n v="195.03"/>
        <n v="463.86"/>
        <n v="740.46"/>
        <n v="812"/>
        <n v="310.14999999999998"/>
        <n v="211.86"/>
        <n v="124.13"/>
        <n v="829.3"/>
        <n v="191.79"/>
        <n v="633.96"/>
        <n v="545.95000000000005"/>
        <n v="206.49"/>
        <n v="661.39"/>
        <n v="1126.5"/>
        <n v="329.43"/>
        <n v="212.95"/>
        <n v="1158.75"/>
        <n v="751.95"/>
        <n v="498.76"/>
        <n v="817.47"/>
        <n v="274.49"/>
        <n v="779.07"/>
        <n v="629.91020467836302"/>
        <n v="830.68"/>
        <n v="194.78"/>
        <n v="546.54999999999995"/>
        <n v="692.21"/>
        <n v="213.68"/>
        <n v="124.73"/>
        <n v="668.44"/>
        <n v="450.79"/>
        <n v="1108.8399999999999"/>
        <n v="1000.76"/>
        <n v="1168.22"/>
        <n v="916.52"/>
        <n v="1100.3"/>
        <n v="798.39"/>
        <n v="507.18"/>
        <n v="497.91"/>
        <n v="918.09"/>
        <n v="283.12"/>
        <n v="625.65"/>
        <n v="447.75"/>
        <n v="877.66"/>
        <n v="201.89"/>
        <n v="533.75"/>
        <n v="641.26"/>
        <n v="1142.56"/>
        <n v="342.1"/>
        <n v="789.6"/>
        <n v="501.49"/>
        <n v="337.59"/>
        <n v="260.45999999999998"/>
        <n v="794.14"/>
        <n v="752.94"/>
        <n v="511.72"/>
        <n v="123.72"/>
        <n v="560.42999999999995"/>
        <n v="750.09"/>
        <n v="537.91"/>
        <n v="925.57"/>
        <n v="860.7"/>
        <n v="374.66"/>
        <n v="813.62"/>
        <n v="1109.48"/>
        <n v="360.16"/>
        <n v="368.76"/>
        <n v="358.05"/>
        <n v="638.88"/>
        <n v="214.26"/>
        <n v="1053.02"/>
        <n v="642.77"/>
        <n v="192.84"/>
        <n v="638.62"/>
        <n v="991.89"/>
        <n v="853.41"/>
        <n v="1123.67"/>
        <n v="444.1"/>
        <n v="765.79"/>
        <n v="758.03"/>
        <n v="109.53"/>
        <n v="576.34"/>
        <n v="231.33"/>
        <n v="334.38"/>
        <n v="605.5"/>
        <n v="348.31"/>
        <n v="203.6"/>
        <n v="288.25"/>
        <n v="462.94"/>
        <n v="948.73"/>
        <n v="784.66"/>
        <n v="730.81"/>
        <n v="147.26"/>
        <n v="103.92"/>
        <n v="289.02"/>
        <n v="491.17"/>
        <n v="817.28"/>
        <n v="203.72"/>
        <n v="115.64"/>
        <n v="814.44"/>
        <n v="1014.59"/>
        <n v="815.7"/>
        <n v="1068.76"/>
        <n v="696.09"/>
        <n v="1117.28"/>
        <n v="1192.6199999999999"/>
        <n v="595.61"/>
        <n v="902.38"/>
        <n v="469.68"/>
        <n v="712.7"/>
        <n v="404.56"/>
        <n v="566.63"/>
        <n v="378.21"/>
        <n v="814.06"/>
        <n v="254.71"/>
        <n v="421.73"/>
        <n v="858.48"/>
        <n v="383.84"/>
        <n v="649.57000000000005"/>
        <n v="124.52"/>
        <n v="388.98"/>
        <n v="663.2"/>
        <n v="227.58"/>
        <n v="1124.99"/>
        <n v="1156.54"/>
        <n v="770.98"/>
        <n v="1027.67"/>
        <n v="537.62"/>
        <n v="850.41"/>
        <n v="585.79999999999995"/>
        <n v="572.29999999999995"/>
        <n v="585.9"/>
        <n v="790.16"/>
        <n v="713.35"/>
        <n v="403.43"/>
        <n v="760.94"/>
        <n v="391.49"/>
        <n v="1018.58"/>
        <n v="483.41"/>
        <n v="216.67"/>
        <n v="1125.96"/>
        <n v="710.15"/>
        <n v="780.52"/>
        <n v="305.33"/>
        <n v="891.32"/>
        <n v="782.46"/>
        <n v="100.96"/>
        <n v="1023.49"/>
        <n v="1062.29"/>
        <n v="646.71"/>
        <n v="837.92"/>
        <n v="1075.8900000000001"/>
        <n v="437.45"/>
        <n v="472.36"/>
        <n v="136.81"/>
        <n v="429.93"/>
        <n v="427.64"/>
        <n v="963.43"/>
        <n v="756.97"/>
        <n v="543.04999999999995"/>
        <n v="961.81"/>
        <n v="189.37"/>
        <n v="181.4"/>
        <n v="415.7"/>
        <n v="493.53"/>
        <n v="521.58000000000004"/>
        <n v="1024.53"/>
        <n v="816.88"/>
        <n v="381.56"/>
        <n v="239.14"/>
        <n v="683.9"/>
        <n v="1155.8499999999999"/>
        <n v="815.08"/>
        <n v="394.69"/>
        <n v="623.11"/>
        <n v="613.38"/>
        <n v="1118.49"/>
        <n v="379.14"/>
        <n v="430.86"/>
      </sharedItems>
    </cacheField>
    <cacheField name="Class" numFmtId="0">
      <sharedItems count="4">
        <s v="First Class"/>
        <s v="Business"/>
        <s v="Economy"/>
        <s v="Unknown"/>
      </sharedItems>
    </cacheField>
    <cacheField name="Seats Available" numFmtId="0">
      <sharedItems containsSemiMixedTypes="0" containsString="0" containsNumber="1" containsInteger="1" minValue="0" maxValue="350" count="218">
        <n v="122"/>
        <n v="239"/>
        <n v="126"/>
        <n v="120"/>
        <n v="197"/>
        <n v="143"/>
        <n v="202"/>
        <n v="243"/>
        <n v="260"/>
        <n v="274"/>
        <n v="229"/>
        <n v="337"/>
        <n v="296"/>
        <n v="151"/>
        <n v="241"/>
        <n v="271"/>
        <n v="208"/>
        <n v="214"/>
        <n v="348"/>
        <n v="167"/>
        <n v="291"/>
        <n v="203"/>
        <n v="161"/>
        <n v="237"/>
        <n v="177"/>
        <n v="254"/>
        <n v="263"/>
        <n v="249"/>
        <n v="299"/>
        <n v="305"/>
        <n v="157"/>
        <n v="129"/>
        <n v="198"/>
        <n v="335"/>
        <n v="132"/>
        <n v="210"/>
        <n v="162"/>
        <n v="276"/>
        <n v="216"/>
        <n v="315"/>
        <n v="152"/>
        <n v="285"/>
        <n v="146"/>
        <n v="220"/>
        <n v="306"/>
        <n v="317"/>
        <n v="257"/>
        <n v="292"/>
        <n v="187"/>
        <n v="221"/>
        <n v="235"/>
        <n v="130"/>
        <n v="145"/>
        <n v="255"/>
        <n v="345"/>
        <n v="204"/>
        <n v="336"/>
        <n v="302"/>
        <n v="238"/>
        <n v="295"/>
        <n v="262"/>
        <n v="205"/>
        <n v="321"/>
        <n v="350"/>
        <n v="185"/>
        <n v="280"/>
        <n v="103"/>
        <n v="319"/>
        <n v="294"/>
        <n v="137"/>
        <n v="136"/>
        <n v="341"/>
        <n v="246"/>
        <n v="298"/>
        <n v="110"/>
        <n v="324"/>
        <n v="293"/>
        <n v="310"/>
        <n v="134"/>
        <n v="213"/>
        <n v="342"/>
        <n v="153"/>
        <n v="128"/>
        <n v="234"/>
        <n v="286"/>
        <n v="118"/>
        <n v="124"/>
        <n v="289"/>
        <n v="179"/>
        <n v="244"/>
        <n v="251"/>
        <n v="158"/>
        <n v="209"/>
        <n v="144"/>
        <n v="182"/>
        <n v="215"/>
        <n v="329"/>
        <n v="282"/>
        <n v="346"/>
        <n v="308"/>
        <n v="133"/>
        <n v="160"/>
        <n v="212"/>
        <n v="112"/>
        <n v="301"/>
        <n v="218"/>
        <n v="338"/>
        <n v="304"/>
        <n v="168"/>
        <n v="175"/>
        <n v="170"/>
        <n v="300"/>
        <n v="195"/>
        <n v="227"/>
        <n v="318"/>
        <n v="192"/>
        <n v="188"/>
        <n v="297"/>
        <n v="320"/>
        <n v="155"/>
        <n v="328"/>
        <n v="323"/>
        <n v="309"/>
        <n v="222"/>
        <n v="176"/>
        <n v="307"/>
        <n v="101"/>
        <n v="115"/>
        <n v="156"/>
        <n v="138"/>
        <n v="290"/>
        <n v="233"/>
        <n v="165"/>
        <n v="191"/>
        <n v="180"/>
        <n v="278"/>
        <n v="279"/>
        <n v="327"/>
        <n v="250"/>
        <n v="135"/>
        <n v="201"/>
        <n v="181"/>
        <n v="242"/>
        <n v="226"/>
        <n v="347"/>
        <n v="207"/>
        <n v="265"/>
        <n v="248"/>
        <n v="206"/>
        <n v="268"/>
        <n v="121"/>
        <n v="247"/>
        <n v="258"/>
        <n v="225"/>
        <n v="252"/>
        <n v="183"/>
        <n v="312"/>
        <n v="275"/>
        <n v="163"/>
        <n v="139"/>
        <n v="287"/>
        <n v="100"/>
        <n v="330"/>
        <n v="102"/>
        <n v="340"/>
        <n v="131"/>
        <n v="169"/>
        <n v="159"/>
        <n v="178"/>
        <n v="339"/>
        <n v="141"/>
        <n v="140"/>
        <n v="253"/>
        <n v="108"/>
        <n v="314"/>
        <n v="311"/>
        <n v="261"/>
        <n v="333"/>
        <n v="343"/>
        <n v="313"/>
        <n v="223"/>
        <n v="196"/>
        <n v="111"/>
        <n v="150"/>
        <n v="231"/>
        <n v="236"/>
        <n v="106"/>
        <n v="199"/>
        <n v="116"/>
        <n v="107"/>
        <n v="211"/>
        <n v="154"/>
        <n v="232"/>
        <n v="264"/>
        <n v="272"/>
        <n v="104"/>
        <n v="228"/>
        <n v="113"/>
        <n v="172"/>
        <n v="273"/>
        <n v="256"/>
        <n v="224"/>
        <n v="325"/>
        <n v="219"/>
        <n v="316"/>
        <n v="105"/>
        <n v="267"/>
        <n v="125"/>
        <n v="245"/>
        <n v="184"/>
        <n v="123"/>
        <n v="173"/>
        <n v="288"/>
        <n v="331"/>
        <n v="281"/>
        <n v="230"/>
        <n v="277"/>
        <n v="174"/>
      </sharedItems>
    </cacheField>
    <cacheField name="Passengers Boarded" numFmtId="0">
      <sharedItems containsSemiMixedTypes="0" containsString="0" containsNumber="1" containsInteger="1" minValue="0" maxValue="316" count="196">
        <n v="104"/>
        <n v="157"/>
        <n v="61"/>
        <n v="120"/>
        <n v="121"/>
        <n v="118"/>
        <n v="187"/>
        <n v="90"/>
        <n v="77"/>
        <n v="235"/>
        <n v="82"/>
        <n v="141"/>
        <n v="108"/>
        <n v="174"/>
        <n v="155"/>
        <n v="85"/>
        <n v="97"/>
        <n v="150"/>
        <n v="130"/>
        <n v="80"/>
        <n v="83"/>
        <n v="52"/>
        <n v="103"/>
        <n v="117"/>
        <n v="142"/>
        <n v="193"/>
        <n v="177"/>
        <n v="53"/>
        <n v="197"/>
        <n v="219"/>
        <n v="74"/>
        <n v="198"/>
        <n v="134"/>
        <n v="110"/>
        <n v="51"/>
        <n v="84"/>
        <n v="191"/>
        <n v="67"/>
        <n v="189"/>
        <n v="92"/>
        <n v="56"/>
        <n v="54"/>
        <n v="137"/>
        <n v="209"/>
        <n v="111"/>
        <n v="265"/>
        <n v="256"/>
        <n v="168"/>
        <n v="215"/>
        <n v="138"/>
        <n v="88"/>
        <n v="175"/>
        <n v="202"/>
        <n v="100"/>
        <n v="165"/>
        <n v="185"/>
        <n v="128"/>
        <n v="176"/>
        <n v="222"/>
        <n v="258"/>
        <n v="313"/>
        <n v="154"/>
        <n v="291"/>
        <n v="179"/>
        <n v="146"/>
        <n v="257"/>
        <n v="244"/>
        <n v="136"/>
        <n v="81"/>
        <n v="79"/>
        <n v="226"/>
        <n v="254"/>
        <n v="69"/>
        <n v="237"/>
        <n v="107"/>
        <n v="124"/>
        <n v="287"/>
        <n v="99"/>
        <n v="282"/>
        <n v="125"/>
        <n v="250"/>
        <n v="60"/>
        <n v="204"/>
        <n v="145"/>
        <n v="140"/>
        <n v="218"/>
        <n v="133"/>
        <n v="114"/>
        <n v="196"/>
        <n v="93"/>
        <n v="127"/>
        <n v="59"/>
        <n v="71"/>
        <n v="126"/>
        <n v="115"/>
        <n v="298"/>
        <n v="106"/>
        <n v="76"/>
        <n v="163"/>
        <n v="207"/>
        <n v="65"/>
        <n v="87"/>
        <n v="172"/>
        <n v="208"/>
        <n v="144"/>
        <n v="152"/>
        <n v="89"/>
        <n v="131"/>
        <n v="162"/>
        <n v="182"/>
        <n v="213"/>
        <n v="113"/>
        <n v="143"/>
        <n v="180"/>
        <n v="171"/>
        <n v="122"/>
        <n v="66"/>
        <n v="91"/>
        <n v="105"/>
        <n v="72"/>
        <n v="167"/>
        <n v="271"/>
        <n v="158"/>
        <n v="243"/>
        <n v="195"/>
        <n v="293"/>
        <n v="86"/>
        <n v="192"/>
        <n v="68"/>
        <n v="223"/>
        <n v="116"/>
        <n v="149"/>
        <n v="148"/>
        <n v="63"/>
        <n v="240"/>
        <n v="156"/>
        <n v="50"/>
        <n v="166"/>
        <n v="58"/>
        <n v="279"/>
        <n v="55"/>
        <n v="214"/>
        <n v="94"/>
        <n v="276"/>
        <n v="217"/>
        <n v="73"/>
        <n v="316"/>
        <n v="153"/>
        <n v="95"/>
        <n v="132"/>
        <n v="304"/>
        <n v="135"/>
        <n v="75"/>
        <n v="78"/>
        <n v="206"/>
        <n v="253"/>
        <n v="232"/>
        <n v="98"/>
        <n v="96"/>
        <n v="70"/>
        <n v="274"/>
        <n v="247"/>
        <n v="290"/>
        <n v="102"/>
        <n v="186"/>
        <n v="184"/>
        <n v="62"/>
        <n v="246"/>
        <n v="315"/>
        <n v="251"/>
        <n v="139"/>
        <n v="164"/>
        <n v="241"/>
        <n v="273"/>
        <n v="170"/>
        <n v="289"/>
        <n v="161"/>
        <n v="169"/>
        <n v="248"/>
        <n v="160"/>
        <n v="173"/>
        <n v="228"/>
        <n v="210"/>
        <n v="216"/>
        <n v="188"/>
        <n v="261"/>
        <n v="231"/>
        <n v="211"/>
        <n v="267"/>
        <n v="151"/>
        <n v="64"/>
        <n v="221"/>
        <n v="306"/>
        <n v="147"/>
        <n v="263"/>
        <n v="242"/>
      </sharedItems>
    </cacheField>
    <cacheField name="Occupancy Rate." numFmtId="0">
      <sharedItems containsSemiMixedTypes="0" containsString="0" containsNumber="1" minValue="0" maxValue="137.864077669903" count="487">
        <n v="85.245901639344297"/>
        <n v="65.690376569037696"/>
        <n v="48.412698412698397"/>
        <n v="100"/>
        <n v="61.4213197969543"/>
        <n v="82.517482517482506"/>
        <n v="58.4158415841584"/>
        <n v="76.954732510288096"/>
        <n v="34.615384615384599"/>
        <n v="68.248175182481802"/>
        <n v="33.6244541484716"/>
        <n v="69.732937685460001"/>
        <n v="27.702702702702702"/>
        <n v="93.377483443708599"/>
        <n v="44.813278008298802"/>
        <n v="64.206642066420699"/>
        <n v="74.519230769230802"/>
        <n v="39.719626168224302"/>
        <n v="27.8735632183908"/>
        <n v="89.820359281437106"/>
        <n v="44.673539518900398"/>
        <n v="39.4088669950739"/>
        <n v="51.552795031055901"/>
        <n v="43.881856540084399"/>
        <n v="29.3785310734463"/>
        <n v="40.5511811023622"/>
        <n v="44.486692015209101"/>
        <n v="57.028112449799202"/>
        <n v="64.548494983277607"/>
        <n v="58.032786885245898"/>
        <n v="33.757961783439498"/>
        <n v="64.341085271317795"/>
        <n v="99.494949494949495"/>
        <n v="65.373134328358205"/>
        <n v="56.060606060606098"/>
        <n v="94.285714285714306"/>
        <n v="93.706293706293707"/>
        <n v="67.901234567901199"/>
        <n v="18.478260869565201"/>
        <n v="38.8888888888889"/>
        <n v="60.634920634920597"/>
        <n v="55.8333333333333"/>
        <n v="67.763157894736906"/>
        <n v="79.746835443037995"/>
        <n v="32.280701754386001"/>
        <n v="38.356164383561598"/>
        <n v="24.545454545454501"/>
        <n v="103.787878787879"/>
        <n v="62.017804154302702"/>
        <n v="36.274509803921603"/>
        <n v="83.596214511040998"/>
        <n v="99.6108949416342"/>
        <n v="57.5342465753425"/>
        <n v="64.705882352941202"/>
        <n v="97.285067873303205"/>
        <n v="58.723404255319203"/>
        <n v="90.769230769230802"/>
        <n v="60.689655172413801"/>
        <n v="40.476190476190503"/>
        <n v="86.633663366336606"/>
        <n v="79.215686274509807"/>
        <n v="28.985507246376802"/>
        <n v="80.882352941176507"/>
        <n v="55.059523809523803"/>
        <n v="42.384105960264897"/>
        <n v="73.949579831932795"/>
        <n v="75.254237288135599"/>
        <n v="98.473282442748101"/>
        <n v="85.853658536585399"/>
        <n v="97.507788161993801"/>
        <n v="55.263157894736899"/>
        <n v="63.900414937759301"/>
        <n v="83.142857142857096"/>
        <n v="95.721925133689894"/>
        <n v="78.918918918918905"/>
        <n v="91.785714285714306"/>
        <n v="137.864077669903"/>
        <n v="76.489028213166094"/>
        <n v="46.2585034013605"/>
        <n v="59.124087591240901"/>
        <n v="58.088235294117702"/>
        <n v="66.275659824046897"/>
        <n v="57.317073170731703"/>
        <n v="85.2348993288591"/>
        <n v="62.727272727272698"/>
        <n v="73.148148148148195"/>
        <n v="36.518771331057998"/>
        <n v="74.251497005988"/>
        <n v="92.580645161290306"/>
        <n v="73.880597014925399"/>
        <n v="63.849765258216003"/>
        <n v="82.456140350877206"/>
        <n v="81.699346405228795"/>
        <n v="41.40625"/>
        <n v="33.760683760683797"/>
        <n v="87.412587412587399"/>
        <n v="50.847457627118601"/>
        <n v="89.0829694323144"/>
        <n v="72.580645161290306"/>
        <n v="50.173010380622799"/>
        <n v="78.212290502793294"/>
        <n v="57.723577235772403"/>
        <n v="89.344262295082004"/>
        <n v="74.301675977653602"/>
        <n v="83.653846153846203"/>
        <n v="69.322709163346602"/>
        <n v="28.7162162162162"/>
        <n v="72.151898734177195"/>
        <n v="93.779904306220104"/>
        <n v="70.149253731343293"/>
        <n v="50.270270270270302"/>
        <n v="88.1944444444444"/>
        <n v="71.428571428571402"/>
        <n v="27.441860465116299"/>
        <n v="21.580547112462"/>
        <n v="50.354609929078002"/>
        <n v="66.6666666666667"/>
        <n v="36.416184971098303"/>
        <n v="37.337662337662302"/>
        <n v="87.134502923976598"/>
        <n v="94.736842105263193"/>
        <n v="66.25"/>
        <n v="79.245283018867894"/>
        <n v="31.535269709543599"/>
        <n v="47.660818713450297"/>
        <n v="96.728971962616797"/>
        <n v="58.035714285714299"/>
        <n v="63.970588235294102"/>
        <n v="74.895397489539803"/>
        <n v="22.2591362126246"/>
        <n v="78.899082568807401"/>
        <n v="61.538461538461497"/>
        <n v="47.368421052631597"/>
        <n v="90.476190476190496"/>
        <n v="50.857142857142897"/>
        <n v="77.058823529411796"/>
        <n v="54"/>
        <n v="83.589743589743605"/>
        <n v="80.1762114537445"/>
        <n v="27.358490566037698"/>
        <n v="41.009463722397498"/>
        <n v="99.4791666666667"/>
        <n v="28.064516129032299"/>
        <n v="28.040540540540501"/>
        <n v="96.808510638297903"/>
        <n v="66.329966329966297"/>
        <n v="62.068965517241402"/>
        <n v="66.5625"/>
        <n v="52.558139534883701"/>
        <n v="30.508474576271201"/>
        <n v="80"/>
        <n v="50"/>
        <n v="72.052401746724897"/>
        <n v="70.866141732283495"/>
        <n v="95.426829268292707"/>
        <n v="51.639344262295097"/>
        <n v="79.640718562874198"/>
        <n v="57.8125"/>
        <n v="25.077399380805002"/>
        <n v="58.577405857740601"/>
        <n v="90.196078431372598"/>
        <n v="73.139158576051798"/>
        <n v="46.846846846846802"/>
        <n v="83.439490445859903"/>
        <n v="83.823529411764696"/>
        <n v="81.314878892733603"/>
        <n v="69.318181818181799"/>
        <n v="34.853420195439703"/>
        <n v="88.8888888888889"/>
        <n v="65.346534653465397"/>
        <n v="56.521739130434803"/>
        <n v="42.948717948717999"/>
        <n v="28.173374613003102"/>
        <n v="51.449275362318801"/>
        <n v="38.425925925925903"/>
        <n v="36.2068965517241"/>
        <n v="45.890410958904098"/>
        <n v="55.384615384615401"/>
        <n v="53.870967741935502"/>
        <n v="47.204968944099399"/>
        <n v="92.491467576791806"/>
        <n v="45.493562231759697"/>
        <n v="39.080459770114899"/>
        <n v="98.136645962732899"/>
        <n v="46.060606060606098"/>
        <n v="23.6220472440945"/>
        <n v="83.505154639175302"/>
        <n v="67.015706806282694"/>
        <n v="86.1111111111111"/>
        <n v="98.984771573604107"/>
        <n v="73.221757322175705"/>
        <n v="36.956521739130402"/>
        <n v="49.514563106796103"/>
        <n v="57.971014492753604"/>
        <n v="38.489208633093497"/>
        <n v="33.3333333333333"/>
        <n v="89.602446483180401"/>
        <n v="34.4"/>
        <n v="44.4444444444444"/>
        <n v="66.169154228855703"/>
        <n v="36.040609137055803"/>
        <n v="78.453038674033195"/>
        <n v="79.338842975206603"/>
        <n v="66.019417475728204"/>
        <n v="38.495575221238902"/>
        <n v="67.692307692307693"/>
        <n v="71.475409836065595"/>
        <n v="61.383285302593698"/>
        <n v="75.298804780876495"/>
        <n v="50.931677018633501"/>
        <n v="91.304347826086996"/>
        <n v="84.150943396226396"/>
        <n v="91.129032258064498"/>
        <n v="34.4660194174757"/>
        <n v="77.830188679245296"/>
        <n v="71.604938271604894"/>
        <n v="49.626865671641802"/>
        <n v="26.710097719869701"/>
        <n v="82.7777777777778"/>
        <n v="55.3719008264463"/>
        <n v="59.919028340080999"/>
        <n v="24.418604651162799"/>
        <n v="40.8888888888889"/>
        <n v="98.360655737704903"/>
        <n v="43.933054393305397"/>
        <n v="86.241610738255005"/>
        <n v="74.206349206349202"/>
        <n v="35.514018691588802"/>
        <n v="60"/>
        <n v="27.3224043715847"/>
        <n v="62.5"/>
        <n v="78.301886792452805"/>
        <n v="47.179487179487197"/>
        <n v="42.629482071713198"/>
        <n v="36.363636363636402"/>
        <n v="42.647058823529399"/>
        <n v="59.272727272727302"/>
        <n v="52.147239263803698"/>
        <n v="93"/>
        <n v="74.436090225563902"/>
        <n v="35.4838709677419"/>
        <n v="61.151079136690697"/>
        <n v="78.102189781021906"/>
        <n v="52.513966480446904"/>
        <n v="96.167247386759598"/>
        <n v="83.3333333333333"/>
        <n v="52"/>
        <n v="75.086505190311399"/>
        <n v="23.030303030302999"/>
        <n v="71.568627450980401"/>
        <n v="36.231884057971001"/>
        <n v="65.299684542586803"/>
        <n v="96.048632218845"/>
        <n v="44.868035190615799"/>
        <n v="41.040462427745702"/>
        <n v="44.525547445255498"/>
        <n v="81.595092024539895"/>
        <n v="27.352941176470601"/>
        <n v="41.984732824427503"/>
        <n v="65.9722222222222"/>
        <n v="64.571428571428598"/>
        <n v="79.754601226993898"/>
        <n v="43.1952662721894"/>
        <n v="82.208588957055198"/>
        <n v="46.405228758169898"/>
        <n v="79.874213836478006"/>
        <n v="45.2173913043478"/>
        <n v="74.576271186440707"/>
        <n v="70.224719101123597"/>
        <n v="89.675516224188797"/>
        <n v="66.355140186915904"/>
        <n v="38.7931034482759"/>
        <n v="75.886524822694994"/>
        <n v="41.843971631205697"/>
        <n v="40"/>
        <n v="66.964285714285694"/>
        <n v="67.984189723320199"/>
        <n v="97.3333333333333"/>
        <n v="46.706586826347298"/>
        <n v="75.949367088607602"/>
        <n v="75.925925925925895"/>
        <n v="87.5"/>
        <n v="71.6738197424893"/>
        <n v="30.952380952380999"/>
        <n v="26.6968325791855"/>
        <n v="55.820895522388099"/>
        <n v="61.971830985915503"/>
        <n v="25.161290322580601"/>
        <n v="46.913580246913597"/>
        <n v="40.298507462686601"/>
        <n v="57.961783439490503"/>
        <n v="79.1666666666667"/>
        <n v="67.320261437908499"/>
        <n v="81.350482315112501"/>
        <n v="50.5703422053232"/>
        <n v="39.259259259259302"/>
        <n v="81.403508771929793"/>
        <n v="37.272727272727302"/>
        <n v="59.487179487179503"/>
        <n v="93.908629441624399"/>
        <n v="41.095890410958901"/>
        <n v="32"/>
        <n v="27.1794871794872"/>
        <n v="51.2"/>
        <n v="51.308900523560197"/>
        <n v="73.282442748091597"/>
        <n v="83.928571428571402"/>
        <n v="19.923371647509601"/>
        <n v="25.6666666666667"/>
        <n v="27.9883381924198"/>
        <n v="21.671826625386998"/>
        <n v="83.536585365853696"/>
        <n v="78.913738019169301"/>
        <n v="87.443946188340803"/>
        <n v="28.7735849056604"/>
        <n v="74.551971326164903"/>
        <n v="91.4826498422713"/>
        <n v="78.061224489795904"/>
        <n v="74.827586206896598"/>
        <n v="57.627118644067799"/>
        <n v="53.358208955223901"/>
        <n v="96.396396396396398"/>
        <n v="69.677419354838705"/>
        <n v="84.328358208955194"/>
        <n v="78.571428571428598"/>
        <n v="75.5555555555556"/>
        <n v="50.181818181818201"/>
        <n v="90.291262135922295"/>
        <n v="86.904761904761898"/>
        <n v="66.782006920415199"/>
        <n v="35"/>
        <n v="99.3333333333333"/>
        <n v="57.894736842105303"/>
        <n v="25"/>
        <n v="28.755364806867"/>
        <n v="94.193548387096797"/>
        <n v="20.289855072463801"/>
        <n v="77.922077922077904"/>
        <n v="21.610169491525401"/>
        <n v="74.528301886792505"/>
        <n v="82.914572864321599"/>
        <n v="47.413793103448299"/>
        <n v="74.766355140186903"/>
        <n v="79.668049792531093"/>
        <n v="55.319148936170201"/>
        <n v="24.2138364779874"/>
        <n v="42.931937172774902"/>
        <n v="56.872037914692001"/>
        <n v="27.4509803921569"/>
        <n v="35.064935064935099"/>
        <n v="71.144278606965202"/>
        <n v="38.390092879256997"/>
        <n v="76.315789473684205"/>
        <n v="58.785942492012801"/>
        <n v="65.948275862068996"/>
        <n v="45.8333333333333"/>
        <n v="63.235294117647101"/>
        <n v="25.974025974025999"/>
        <n v="76.573426573426602"/>
        <n v="46.129032258064498"/>
        <n v="59.615384615384599"/>
        <n v="35.087719298245602"/>
        <n v="81.456953642384093"/>
        <n v="56.372549019607902"/>
        <n v="74.820143884892104"/>
        <n v="60.769230769230802"/>
        <n v="61.946902654867301"/>
        <n v="45"/>
        <n v="93.195266272189301"/>
        <n v="69.672131147540995"/>
        <n v="82.558139534883693"/>
        <n v="70.8333333333333"/>
        <n v="70.028818443803999"/>
        <n v="95.801526717557294"/>
        <n v="67.821782178217802"/>
        <n v="90"/>
        <n v="80.219780219780205"/>
        <n v="78.767123287671197"/>
        <n v="43.4375"/>
        <n v="45.3125"/>
        <n v="70.048309178744006"/>
        <n v="89.940828402366904"/>
        <n v="97.014925373134304"/>
        <n v="99.354838709677395"/>
        <n v="29.255319148936199"/>
        <n v="73.214285714285694"/>
        <n v="27.1293375394322"/>
        <n v="96.449704142011797"/>
        <n v="86.379928315412201"/>
        <n v="30.341880341880302"/>
        <n v="87.969924812030101"/>
        <n v="39.915966386554601"/>
        <n v="60.093896713615003"/>
        <n v="63.405797101449302"/>
        <n v="84"/>
        <n v="61.764705882352899"/>
        <n v="63.953488372092998"/>
        <n v="48.837209302325597"/>
        <n v="84.385382059800705"/>
        <n v="71.129707112970706"/>
        <n v="72"/>
        <n v="99.655172413793096"/>
        <n v="61.450381679389302"/>
        <n v="91.402714932126699"/>
        <n v="33.584905660377402"/>
        <n v="43.979057591622997"/>
        <n v="92.857142857142904"/>
        <n v="71.476510067114106"/>
        <n v="80.258899676375407"/>
        <n v="78.980891719745202"/>
        <n v="97.260273972602803"/>
        <n v="46.920821114369502"/>
        <n v="36.538461538461497"/>
        <n v="31.788079470198699"/>
        <n v="43.354430379746802"/>
        <n v="85.9375"/>
        <n v="68.316831683168303"/>
        <n v="61.481481481481502"/>
        <n v="94.535519125683095"/>
        <n v="38.834951456310698"/>
        <n v="48.175182481751797"/>
        <n v="50.375939849624103"/>
        <n v="39.560439560439598"/>
        <n v="65.734265734265705"/>
        <n v="29.245283018867902"/>
        <n v="67.619047619047606"/>
        <n v="71.153846153846203"/>
        <n v="53.183520599250897"/>
        <n v="75.842696629213506"/>
        <n v="44.230769230769198"/>
        <n v="82.03125"/>
        <n v="91.851851851851904"/>
        <n v="37.016574585635396"/>
        <n v="84.081632653061206"/>
        <n v="76.595744680851098"/>
        <n v="55.952380952380999"/>
        <n v="53.822629969418998"/>
        <n v="54.012345679012299"/>
        <n v="87.583892617449706"/>
        <n v="34.210526315789501"/>
        <n v="46.504559270516701"/>
        <n v="98.717948717948701"/>
        <n v="39.375"/>
        <n v="50.769230769230802"/>
        <n v="48.125"/>
        <n v="54.958677685950398"/>
        <n v="39.130434782608702"/>
        <n v="71.544715447154502"/>
        <n v="76.878612716763001"/>
        <n v="73.776223776223802"/>
        <n v="92.7083333333333"/>
        <n v="91.515151515151501"/>
        <n v="18.550724637681199"/>
        <n v="67.173252279635307"/>
        <n v="48.727272727272698"/>
        <n v="58.431372549019599"/>
        <n v="59.069767441860499"/>
        <n v="92.4471299093656"/>
        <n v="89.473684210526301"/>
        <n v="93.562231759656697"/>
        <n v="52.398523985239898"/>
        <n v="84.023668639053298"/>
        <n v="28.181818181818201"/>
        <n v="86.524822695035496"/>
        <n v="87.544483985765098"/>
        <n v="80.5555555555556"/>
        <n v="33.043478260869598"/>
        <n v="74.074074074074105"/>
        <n v="39.711191335740097"/>
        <n v="61.379310344827601"/>
        <n v="15.2905198776758"/>
        <n v="90.960451977401107"/>
        <n v="22.190201729106601"/>
        <n v="52.127659574468098"/>
        <n v="83.492063492063494"/>
        <n v="70.707070707070699"/>
        <n v="51.709401709401703"/>
        <n v="35.195530726256997"/>
        <n v="40.804597701149397"/>
        <n v="20.5211726384365"/>
        <n v="94.174757281553397"/>
        <n v="20.625"/>
        <n v="34.980988593155899"/>
        <n v="83.161512027491398"/>
        <n v="65.989847715736005"/>
        <n v="80.606060606060595"/>
        <n v="19.117647058823501"/>
      </sharedItems>
    </cacheField>
    <cacheField name="Status" numFmtId="0">
      <sharedItems count="3">
        <s v="On-Time"/>
        <s v="Delayed"/>
        <s v="Cancelled"/>
      </sharedItems>
    </cacheField>
    <cacheField name="Year-MONTH" numFmtId="0">
      <sharedItems count="36">
        <s v="2022-08"/>
        <s v="2022-07"/>
        <s v="2023-07"/>
        <s v="2024-01"/>
        <s v="2024-08"/>
        <s v="2023-10"/>
        <s v="2024-05"/>
        <s v="2022-05"/>
        <s v="2023-11"/>
        <s v="2024-11"/>
        <s v="2023-05"/>
        <s v="2024-02"/>
        <s v="2022-01"/>
        <s v="2022-09"/>
        <s v="2022-04"/>
        <s v="2022-12"/>
        <s v="2024-09"/>
        <s v="2023-09"/>
        <s v="2023-06"/>
        <s v="2024-06"/>
        <s v="2022-11"/>
        <s v="2022-02"/>
        <s v="2024-12"/>
        <s v="2023-12"/>
        <s v="2023-03"/>
        <s v="2022-03"/>
        <s v="2023-01"/>
        <s v="2023-08"/>
        <s v="2023-02"/>
        <s v="2024-03"/>
        <s v="2022-10"/>
        <s v="2024-04"/>
        <s v="2023-04"/>
        <s v="2024-07"/>
        <s v="2022-06"/>
        <s v="2024-10"/>
      </sharedItems>
    </cacheField>
    <cacheField name="Delay Minutes" numFmtId="0">
      <sharedItems containsSemiMixedTypes="0" containsString="0" containsNumber="1" containsInteger="1" minValue="0" maxValue="180" count="90">
        <n v="0"/>
        <n v="56"/>
        <n v="123"/>
        <n v="179"/>
        <n v="91"/>
        <n v="93"/>
        <n v="75"/>
        <n v="88"/>
        <n v="156"/>
        <n v="67"/>
        <n v="119"/>
        <n v="117"/>
        <n v="42"/>
        <n v="150"/>
        <n v="148"/>
        <n v="71"/>
        <n v="47"/>
        <n v="28"/>
        <n v="159"/>
        <n v="138"/>
        <n v="85"/>
        <n v="129"/>
        <n v="72"/>
        <n v="135"/>
        <n v="175"/>
        <n v="15"/>
        <n v="40"/>
        <n v="23"/>
        <n v="116"/>
        <n v="92"/>
        <n v="136"/>
        <n v="157"/>
        <n v="158"/>
        <n v="160"/>
        <n v="89"/>
        <n v="149"/>
        <n v="112"/>
        <n v="104"/>
        <n v="144"/>
        <n v="161"/>
        <n v="178"/>
        <n v="35"/>
        <n v="103"/>
        <n v="108"/>
        <n v="163"/>
        <n v="147"/>
        <n v="96"/>
        <n v="24"/>
        <n v="118"/>
        <n v="180"/>
        <n v="50"/>
        <n v="63"/>
        <n v="142"/>
        <n v="90"/>
        <n v="141"/>
        <n v="48"/>
        <n v="38"/>
        <n v="41"/>
        <n v="37"/>
        <n v="76"/>
        <n v="18"/>
        <n v="106"/>
        <n v="22"/>
        <n v="20"/>
        <n v="78"/>
        <n v="81"/>
        <n v="34"/>
        <n v="107"/>
        <n v="137"/>
        <n v="61"/>
        <n v="57"/>
        <n v="131"/>
        <n v="44"/>
        <n v="170"/>
        <n v="64"/>
        <n v="55"/>
        <n v="97"/>
        <n v="155"/>
        <n v="49"/>
        <n v="52"/>
        <n v="36"/>
        <n v="79"/>
        <n v="105"/>
        <n v="164"/>
        <n v="39"/>
        <n v="73"/>
        <n v="121"/>
        <n v="151"/>
        <n v="53"/>
        <n v="7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500">
  <r>
    <x v="0"/>
    <x v="0"/>
    <x v="0"/>
    <x v="0"/>
    <x v="0"/>
    <x v="0"/>
    <x v="0"/>
    <x v="0"/>
    <x v="0"/>
    <x v="0"/>
    <x v="0"/>
    <x v="0"/>
    <x v="0"/>
    <x v="0"/>
    <x v="0"/>
    <x v="0"/>
    <x v="0"/>
    <x v="0"/>
    <x v="0"/>
    <x v="0"/>
  </r>
  <r>
    <x v="1"/>
    <x v="1"/>
    <x v="1"/>
    <x v="1"/>
    <x v="1"/>
    <x v="1"/>
    <x v="1"/>
    <x v="1"/>
    <x v="1"/>
    <x v="1"/>
    <x v="1"/>
    <x v="1"/>
    <x v="1"/>
    <x v="0"/>
    <x v="1"/>
    <x v="1"/>
    <x v="1"/>
    <x v="0"/>
    <x v="1"/>
    <x v="0"/>
  </r>
  <r>
    <x v="2"/>
    <x v="2"/>
    <x v="0"/>
    <x v="2"/>
    <x v="2"/>
    <x v="2"/>
    <x v="2"/>
    <x v="2"/>
    <x v="2"/>
    <x v="2"/>
    <x v="2"/>
    <x v="2"/>
    <x v="2"/>
    <x v="1"/>
    <x v="2"/>
    <x v="2"/>
    <x v="2"/>
    <x v="0"/>
    <x v="2"/>
    <x v="0"/>
  </r>
  <r>
    <x v="3"/>
    <x v="3"/>
    <x v="2"/>
    <x v="3"/>
    <x v="3"/>
    <x v="3"/>
    <x v="3"/>
    <x v="3"/>
    <x v="3"/>
    <x v="3"/>
    <x v="3"/>
    <x v="3"/>
    <x v="3"/>
    <x v="1"/>
    <x v="3"/>
    <x v="3"/>
    <x v="3"/>
    <x v="0"/>
    <x v="3"/>
    <x v="0"/>
  </r>
  <r>
    <x v="4"/>
    <x v="4"/>
    <x v="1"/>
    <x v="4"/>
    <x v="4"/>
    <x v="4"/>
    <x v="4"/>
    <x v="4"/>
    <x v="4"/>
    <x v="4"/>
    <x v="4"/>
    <x v="4"/>
    <x v="4"/>
    <x v="2"/>
    <x v="4"/>
    <x v="4"/>
    <x v="4"/>
    <x v="0"/>
    <x v="3"/>
    <x v="0"/>
  </r>
  <r>
    <x v="5"/>
    <x v="5"/>
    <x v="3"/>
    <x v="5"/>
    <x v="5"/>
    <x v="5"/>
    <x v="5"/>
    <x v="5"/>
    <x v="5"/>
    <x v="5"/>
    <x v="5"/>
    <x v="5"/>
    <x v="5"/>
    <x v="0"/>
    <x v="5"/>
    <x v="5"/>
    <x v="5"/>
    <x v="1"/>
    <x v="3"/>
    <x v="1"/>
  </r>
  <r>
    <x v="6"/>
    <x v="6"/>
    <x v="4"/>
    <x v="0"/>
    <x v="0"/>
    <x v="6"/>
    <x v="6"/>
    <x v="6"/>
    <x v="6"/>
    <x v="6"/>
    <x v="6"/>
    <x v="6"/>
    <x v="6"/>
    <x v="1"/>
    <x v="6"/>
    <x v="5"/>
    <x v="6"/>
    <x v="0"/>
    <x v="4"/>
    <x v="0"/>
  </r>
  <r>
    <x v="7"/>
    <x v="7"/>
    <x v="1"/>
    <x v="6"/>
    <x v="6"/>
    <x v="5"/>
    <x v="7"/>
    <x v="5"/>
    <x v="7"/>
    <x v="7"/>
    <x v="7"/>
    <x v="7"/>
    <x v="7"/>
    <x v="0"/>
    <x v="7"/>
    <x v="6"/>
    <x v="7"/>
    <x v="0"/>
    <x v="5"/>
    <x v="0"/>
  </r>
  <r>
    <x v="8"/>
    <x v="8"/>
    <x v="4"/>
    <x v="5"/>
    <x v="5"/>
    <x v="0"/>
    <x v="8"/>
    <x v="0"/>
    <x v="8"/>
    <x v="8"/>
    <x v="8"/>
    <x v="8"/>
    <x v="8"/>
    <x v="2"/>
    <x v="8"/>
    <x v="7"/>
    <x v="8"/>
    <x v="1"/>
    <x v="6"/>
    <x v="2"/>
  </r>
  <r>
    <x v="9"/>
    <x v="9"/>
    <x v="4"/>
    <x v="7"/>
    <x v="7"/>
    <x v="7"/>
    <x v="9"/>
    <x v="7"/>
    <x v="9"/>
    <x v="9"/>
    <x v="9"/>
    <x v="9"/>
    <x v="9"/>
    <x v="2"/>
    <x v="9"/>
    <x v="6"/>
    <x v="9"/>
    <x v="1"/>
    <x v="7"/>
    <x v="3"/>
  </r>
  <r>
    <x v="10"/>
    <x v="10"/>
    <x v="5"/>
    <x v="8"/>
    <x v="8"/>
    <x v="2"/>
    <x v="10"/>
    <x v="2"/>
    <x v="10"/>
    <x v="10"/>
    <x v="10"/>
    <x v="10"/>
    <x v="9"/>
    <x v="2"/>
    <x v="10"/>
    <x v="8"/>
    <x v="10"/>
    <x v="1"/>
    <x v="8"/>
    <x v="4"/>
  </r>
  <r>
    <x v="11"/>
    <x v="11"/>
    <x v="1"/>
    <x v="9"/>
    <x v="9"/>
    <x v="5"/>
    <x v="11"/>
    <x v="5"/>
    <x v="11"/>
    <x v="11"/>
    <x v="11"/>
    <x v="11"/>
    <x v="10"/>
    <x v="2"/>
    <x v="11"/>
    <x v="9"/>
    <x v="11"/>
    <x v="1"/>
    <x v="9"/>
    <x v="5"/>
  </r>
  <r>
    <x v="12"/>
    <x v="12"/>
    <x v="0"/>
    <x v="1"/>
    <x v="1"/>
    <x v="8"/>
    <x v="12"/>
    <x v="8"/>
    <x v="12"/>
    <x v="12"/>
    <x v="12"/>
    <x v="12"/>
    <x v="9"/>
    <x v="0"/>
    <x v="12"/>
    <x v="10"/>
    <x v="12"/>
    <x v="0"/>
    <x v="10"/>
    <x v="0"/>
  </r>
  <r>
    <x v="13"/>
    <x v="13"/>
    <x v="3"/>
    <x v="0"/>
    <x v="0"/>
    <x v="1"/>
    <x v="13"/>
    <x v="1"/>
    <x v="13"/>
    <x v="13"/>
    <x v="13"/>
    <x v="13"/>
    <x v="11"/>
    <x v="0"/>
    <x v="13"/>
    <x v="11"/>
    <x v="13"/>
    <x v="0"/>
    <x v="4"/>
    <x v="0"/>
  </r>
  <r>
    <x v="14"/>
    <x v="14"/>
    <x v="6"/>
    <x v="10"/>
    <x v="10"/>
    <x v="2"/>
    <x v="14"/>
    <x v="2"/>
    <x v="14"/>
    <x v="14"/>
    <x v="14"/>
    <x v="14"/>
    <x v="12"/>
    <x v="0"/>
    <x v="14"/>
    <x v="12"/>
    <x v="14"/>
    <x v="0"/>
    <x v="11"/>
    <x v="0"/>
  </r>
  <r>
    <x v="15"/>
    <x v="15"/>
    <x v="5"/>
    <x v="11"/>
    <x v="11"/>
    <x v="3"/>
    <x v="15"/>
    <x v="3"/>
    <x v="12"/>
    <x v="15"/>
    <x v="15"/>
    <x v="15"/>
    <x v="13"/>
    <x v="1"/>
    <x v="15"/>
    <x v="13"/>
    <x v="15"/>
    <x v="0"/>
    <x v="12"/>
    <x v="0"/>
  </r>
  <r>
    <x v="16"/>
    <x v="16"/>
    <x v="6"/>
    <x v="1"/>
    <x v="1"/>
    <x v="9"/>
    <x v="16"/>
    <x v="9"/>
    <x v="15"/>
    <x v="16"/>
    <x v="16"/>
    <x v="16"/>
    <x v="14"/>
    <x v="1"/>
    <x v="16"/>
    <x v="14"/>
    <x v="16"/>
    <x v="0"/>
    <x v="13"/>
    <x v="0"/>
  </r>
  <r>
    <x v="17"/>
    <x v="17"/>
    <x v="5"/>
    <x v="11"/>
    <x v="11"/>
    <x v="10"/>
    <x v="17"/>
    <x v="10"/>
    <x v="16"/>
    <x v="17"/>
    <x v="17"/>
    <x v="17"/>
    <x v="15"/>
    <x v="0"/>
    <x v="17"/>
    <x v="15"/>
    <x v="17"/>
    <x v="0"/>
    <x v="14"/>
    <x v="0"/>
  </r>
  <r>
    <x v="18"/>
    <x v="18"/>
    <x v="6"/>
    <x v="1"/>
    <x v="1"/>
    <x v="6"/>
    <x v="18"/>
    <x v="11"/>
    <x v="17"/>
    <x v="18"/>
    <x v="18"/>
    <x v="18"/>
    <x v="16"/>
    <x v="2"/>
    <x v="18"/>
    <x v="16"/>
    <x v="18"/>
    <x v="1"/>
    <x v="2"/>
    <x v="6"/>
  </r>
  <r>
    <x v="19"/>
    <x v="19"/>
    <x v="4"/>
    <x v="6"/>
    <x v="6"/>
    <x v="9"/>
    <x v="19"/>
    <x v="9"/>
    <x v="18"/>
    <x v="19"/>
    <x v="19"/>
    <x v="19"/>
    <x v="14"/>
    <x v="1"/>
    <x v="19"/>
    <x v="17"/>
    <x v="19"/>
    <x v="1"/>
    <x v="15"/>
    <x v="7"/>
  </r>
  <r>
    <x v="20"/>
    <x v="20"/>
    <x v="6"/>
    <x v="9"/>
    <x v="9"/>
    <x v="0"/>
    <x v="20"/>
    <x v="0"/>
    <x v="19"/>
    <x v="20"/>
    <x v="20"/>
    <x v="20"/>
    <x v="10"/>
    <x v="2"/>
    <x v="20"/>
    <x v="18"/>
    <x v="20"/>
    <x v="0"/>
    <x v="6"/>
    <x v="0"/>
  </r>
  <r>
    <x v="21"/>
    <x v="21"/>
    <x v="3"/>
    <x v="11"/>
    <x v="11"/>
    <x v="1"/>
    <x v="21"/>
    <x v="1"/>
    <x v="20"/>
    <x v="21"/>
    <x v="21"/>
    <x v="21"/>
    <x v="13"/>
    <x v="2"/>
    <x v="21"/>
    <x v="19"/>
    <x v="21"/>
    <x v="2"/>
    <x v="16"/>
    <x v="0"/>
  </r>
  <r>
    <x v="22"/>
    <x v="22"/>
    <x v="0"/>
    <x v="3"/>
    <x v="3"/>
    <x v="6"/>
    <x v="22"/>
    <x v="11"/>
    <x v="21"/>
    <x v="22"/>
    <x v="22"/>
    <x v="22"/>
    <x v="15"/>
    <x v="1"/>
    <x v="22"/>
    <x v="20"/>
    <x v="22"/>
    <x v="0"/>
    <x v="10"/>
    <x v="0"/>
  </r>
  <r>
    <x v="23"/>
    <x v="23"/>
    <x v="6"/>
    <x v="12"/>
    <x v="12"/>
    <x v="6"/>
    <x v="23"/>
    <x v="11"/>
    <x v="22"/>
    <x v="23"/>
    <x v="23"/>
    <x v="23"/>
    <x v="9"/>
    <x v="2"/>
    <x v="23"/>
    <x v="0"/>
    <x v="23"/>
    <x v="0"/>
    <x v="17"/>
    <x v="0"/>
  </r>
  <r>
    <x v="24"/>
    <x v="24"/>
    <x v="2"/>
    <x v="4"/>
    <x v="4"/>
    <x v="3"/>
    <x v="24"/>
    <x v="3"/>
    <x v="23"/>
    <x v="24"/>
    <x v="24"/>
    <x v="24"/>
    <x v="10"/>
    <x v="0"/>
    <x v="24"/>
    <x v="21"/>
    <x v="24"/>
    <x v="1"/>
    <x v="13"/>
    <x v="8"/>
  </r>
  <r>
    <x v="25"/>
    <x v="25"/>
    <x v="5"/>
    <x v="9"/>
    <x v="9"/>
    <x v="11"/>
    <x v="25"/>
    <x v="12"/>
    <x v="24"/>
    <x v="25"/>
    <x v="25"/>
    <x v="25"/>
    <x v="9"/>
    <x v="1"/>
    <x v="25"/>
    <x v="22"/>
    <x v="25"/>
    <x v="1"/>
    <x v="17"/>
    <x v="9"/>
  </r>
  <r>
    <x v="26"/>
    <x v="26"/>
    <x v="6"/>
    <x v="0"/>
    <x v="0"/>
    <x v="4"/>
    <x v="26"/>
    <x v="4"/>
    <x v="25"/>
    <x v="26"/>
    <x v="26"/>
    <x v="26"/>
    <x v="13"/>
    <x v="2"/>
    <x v="26"/>
    <x v="23"/>
    <x v="26"/>
    <x v="0"/>
    <x v="18"/>
    <x v="0"/>
  </r>
  <r>
    <x v="27"/>
    <x v="27"/>
    <x v="4"/>
    <x v="13"/>
    <x v="13"/>
    <x v="12"/>
    <x v="27"/>
    <x v="13"/>
    <x v="24"/>
    <x v="27"/>
    <x v="27"/>
    <x v="27"/>
    <x v="9"/>
    <x v="1"/>
    <x v="27"/>
    <x v="24"/>
    <x v="27"/>
    <x v="0"/>
    <x v="19"/>
    <x v="0"/>
  </r>
  <r>
    <x v="28"/>
    <x v="28"/>
    <x v="0"/>
    <x v="8"/>
    <x v="8"/>
    <x v="5"/>
    <x v="28"/>
    <x v="5"/>
    <x v="26"/>
    <x v="28"/>
    <x v="28"/>
    <x v="28"/>
    <x v="14"/>
    <x v="1"/>
    <x v="28"/>
    <x v="25"/>
    <x v="28"/>
    <x v="1"/>
    <x v="13"/>
    <x v="10"/>
  </r>
  <r>
    <x v="29"/>
    <x v="29"/>
    <x v="1"/>
    <x v="2"/>
    <x v="2"/>
    <x v="13"/>
    <x v="29"/>
    <x v="14"/>
    <x v="27"/>
    <x v="29"/>
    <x v="29"/>
    <x v="29"/>
    <x v="17"/>
    <x v="1"/>
    <x v="29"/>
    <x v="26"/>
    <x v="29"/>
    <x v="0"/>
    <x v="20"/>
    <x v="0"/>
  </r>
  <r>
    <x v="30"/>
    <x v="30"/>
    <x v="4"/>
    <x v="11"/>
    <x v="11"/>
    <x v="9"/>
    <x v="30"/>
    <x v="9"/>
    <x v="0"/>
    <x v="30"/>
    <x v="30"/>
    <x v="30"/>
    <x v="9"/>
    <x v="2"/>
    <x v="30"/>
    <x v="27"/>
    <x v="30"/>
    <x v="1"/>
    <x v="0"/>
    <x v="11"/>
  </r>
  <r>
    <x v="31"/>
    <x v="31"/>
    <x v="7"/>
    <x v="4"/>
    <x v="4"/>
    <x v="11"/>
    <x v="31"/>
    <x v="12"/>
    <x v="28"/>
    <x v="31"/>
    <x v="31"/>
    <x v="31"/>
    <x v="18"/>
    <x v="2"/>
    <x v="31"/>
    <x v="20"/>
    <x v="31"/>
    <x v="0"/>
    <x v="8"/>
    <x v="0"/>
  </r>
  <r>
    <x v="32"/>
    <x v="32"/>
    <x v="0"/>
    <x v="14"/>
    <x v="14"/>
    <x v="2"/>
    <x v="32"/>
    <x v="2"/>
    <x v="23"/>
    <x v="32"/>
    <x v="32"/>
    <x v="32"/>
    <x v="19"/>
    <x v="2"/>
    <x v="32"/>
    <x v="28"/>
    <x v="32"/>
    <x v="0"/>
    <x v="18"/>
    <x v="0"/>
  </r>
  <r>
    <x v="33"/>
    <x v="33"/>
    <x v="4"/>
    <x v="15"/>
    <x v="15"/>
    <x v="1"/>
    <x v="33"/>
    <x v="1"/>
    <x v="29"/>
    <x v="33"/>
    <x v="33"/>
    <x v="33"/>
    <x v="20"/>
    <x v="0"/>
    <x v="33"/>
    <x v="29"/>
    <x v="33"/>
    <x v="0"/>
    <x v="14"/>
    <x v="0"/>
  </r>
  <r>
    <x v="34"/>
    <x v="34"/>
    <x v="7"/>
    <x v="10"/>
    <x v="10"/>
    <x v="11"/>
    <x v="34"/>
    <x v="12"/>
    <x v="30"/>
    <x v="34"/>
    <x v="34"/>
    <x v="34"/>
    <x v="21"/>
    <x v="0"/>
    <x v="34"/>
    <x v="30"/>
    <x v="34"/>
    <x v="0"/>
    <x v="13"/>
    <x v="0"/>
  </r>
  <r>
    <x v="35"/>
    <x v="35"/>
    <x v="3"/>
    <x v="3"/>
    <x v="3"/>
    <x v="6"/>
    <x v="22"/>
    <x v="6"/>
    <x v="31"/>
    <x v="18"/>
    <x v="35"/>
    <x v="35"/>
    <x v="22"/>
    <x v="2"/>
    <x v="35"/>
    <x v="31"/>
    <x v="35"/>
    <x v="0"/>
    <x v="11"/>
    <x v="0"/>
  </r>
  <r>
    <x v="36"/>
    <x v="36"/>
    <x v="6"/>
    <x v="16"/>
    <x v="16"/>
    <x v="7"/>
    <x v="35"/>
    <x v="7"/>
    <x v="4"/>
    <x v="35"/>
    <x v="36"/>
    <x v="36"/>
    <x v="23"/>
    <x v="0"/>
    <x v="5"/>
    <x v="32"/>
    <x v="36"/>
    <x v="0"/>
    <x v="5"/>
    <x v="0"/>
  </r>
  <r>
    <x v="37"/>
    <x v="37"/>
    <x v="2"/>
    <x v="4"/>
    <x v="4"/>
    <x v="3"/>
    <x v="24"/>
    <x v="3"/>
    <x v="32"/>
    <x v="36"/>
    <x v="14"/>
    <x v="37"/>
    <x v="24"/>
    <x v="2"/>
    <x v="36"/>
    <x v="33"/>
    <x v="37"/>
    <x v="0"/>
    <x v="9"/>
    <x v="0"/>
  </r>
  <r>
    <x v="38"/>
    <x v="38"/>
    <x v="6"/>
    <x v="17"/>
    <x v="17"/>
    <x v="8"/>
    <x v="36"/>
    <x v="8"/>
    <x v="18"/>
    <x v="37"/>
    <x v="37"/>
    <x v="38"/>
    <x v="25"/>
    <x v="0"/>
    <x v="37"/>
    <x v="34"/>
    <x v="38"/>
    <x v="1"/>
    <x v="7"/>
    <x v="12"/>
  </r>
  <r>
    <x v="39"/>
    <x v="39"/>
    <x v="1"/>
    <x v="2"/>
    <x v="2"/>
    <x v="1"/>
    <x v="37"/>
    <x v="1"/>
    <x v="17"/>
    <x v="38"/>
    <x v="38"/>
    <x v="39"/>
    <x v="26"/>
    <x v="2"/>
    <x v="38"/>
    <x v="35"/>
    <x v="39"/>
    <x v="1"/>
    <x v="6"/>
    <x v="13"/>
  </r>
  <r>
    <x v="40"/>
    <x v="40"/>
    <x v="6"/>
    <x v="3"/>
    <x v="3"/>
    <x v="9"/>
    <x v="38"/>
    <x v="9"/>
    <x v="33"/>
    <x v="39"/>
    <x v="39"/>
    <x v="40"/>
    <x v="27"/>
    <x v="2"/>
    <x v="39"/>
    <x v="36"/>
    <x v="40"/>
    <x v="1"/>
    <x v="5"/>
    <x v="14"/>
  </r>
  <r>
    <x v="41"/>
    <x v="41"/>
    <x v="1"/>
    <x v="0"/>
    <x v="0"/>
    <x v="7"/>
    <x v="39"/>
    <x v="7"/>
    <x v="34"/>
    <x v="40"/>
    <x v="40"/>
    <x v="41"/>
    <x v="28"/>
    <x v="0"/>
    <x v="3"/>
    <x v="37"/>
    <x v="41"/>
    <x v="0"/>
    <x v="16"/>
    <x v="0"/>
  </r>
  <r>
    <x v="42"/>
    <x v="42"/>
    <x v="3"/>
    <x v="18"/>
    <x v="18"/>
    <x v="6"/>
    <x v="40"/>
    <x v="11"/>
    <x v="33"/>
    <x v="41"/>
    <x v="15"/>
    <x v="42"/>
    <x v="29"/>
    <x v="3"/>
    <x v="40"/>
    <x v="22"/>
    <x v="42"/>
    <x v="0"/>
    <x v="11"/>
    <x v="0"/>
  </r>
  <r>
    <x v="43"/>
    <x v="43"/>
    <x v="4"/>
    <x v="6"/>
    <x v="6"/>
    <x v="12"/>
    <x v="41"/>
    <x v="13"/>
    <x v="23"/>
    <x v="42"/>
    <x v="41"/>
    <x v="43"/>
    <x v="30"/>
    <x v="1"/>
    <x v="23"/>
    <x v="38"/>
    <x v="43"/>
    <x v="1"/>
    <x v="21"/>
    <x v="15"/>
  </r>
  <r>
    <x v="44"/>
    <x v="44"/>
    <x v="1"/>
    <x v="0"/>
    <x v="0"/>
    <x v="2"/>
    <x v="42"/>
    <x v="2"/>
    <x v="35"/>
    <x v="43"/>
    <x v="42"/>
    <x v="44"/>
    <x v="31"/>
    <x v="1"/>
    <x v="41"/>
    <x v="39"/>
    <x v="44"/>
    <x v="1"/>
    <x v="16"/>
    <x v="16"/>
  </r>
  <r>
    <x v="45"/>
    <x v="45"/>
    <x v="0"/>
    <x v="7"/>
    <x v="7"/>
    <x v="8"/>
    <x v="43"/>
    <x v="8"/>
    <x v="36"/>
    <x v="44"/>
    <x v="43"/>
    <x v="45"/>
    <x v="32"/>
    <x v="1"/>
    <x v="42"/>
    <x v="40"/>
    <x v="45"/>
    <x v="0"/>
    <x v="22"/>
    <x v="0"/>
  </r>
  <r>
    <x v="46"/>
    <x v="46"/>
    <x v="1"/>
    <x v="16"/>
    <x v="16"/>
    <x v="14"/>
    <x v="44"/>
    <x v="15"/>
    <x v="37"/>
    <x v="45"/>
    <x v="44"/>
    <x v="46"/>
    <x v="33"/>
    <x v="2"/>
    <x v="43"/>
    <x v="41"/>
    <x v="46"/>
    <x v="1"/>
    <x v="8"/>
    <x v="17"/>
  </r>
  <r>
    <x v="47"/>
    <x v="47"/>
    <x v="1"/>
    <x v="4"/>
    <x v="4"/>
    <x v="4"/>
    <x v="4"/>
    <x v="4"/>
    <x v="38"/>
    <x v="46"/>
    <x v="45"/>
    <x v="47"/>
    <x v="34"/>
    <x v="3"/>
    <x v="34"/>
    <x v="42"/>
    <x v="47"/>
    <x v="1"/>
    <x v="23"/>
    <x v="18"/>
  </r>
  <r>
    <x v="48"/>
    <x v="48"/>
    <x v="6"/>
    <x v="0"/>
    <x v="0"/>
    <x v="5"/>
    <x v="45"/>
    <x v="5"/>
    <x v="11"/>
    <x v="47"/>
    <x v="46"/>
    <x v="48"/>
    <x v="35"/>
    <x v="2"/>
    <x v="11"/>
    <x v="43"/>
    <x v="48"/>
    <x v="0"/>
    <x v="24"/>
    <x v="0"/>
  </r>
  <r>
    <x v="49"/>
    <x v="49"/>
    <x v="4"/>
    <x v="18"/>
    <x v="18"/>
    <x v="6"/>
    <x v="40"/>
    <x v="11"/>
    <x v="39"/>
    <x v="48"/>
    <x v="47"/>
    <x v="49"/>
    <x v="36"/>
    <x v="0"/>
    <x v="44"/>
    <x v="44"/>
    <x v="49"/>
    <x v="1"/>
    <x v="11"/>
    <x v="18"/>
  </r>
  <r>
    <x v="50"/>
    <x v="50"/>
    <x v="2"/>
    <x v="13"/>
    <x v="13"/>
    <x v="10"/>
    <x v="46"/>
    <x v="10"/>
    <x v="32"/>
    <x v="49"/>
    <x v="21"/>
    <x v="50"/>
    <x v="37"/>
    <x v="2"/>
    <x v="45"/>
    <x v="45"/>
    <x v="50"/>
    <x v="1"/>
    <x v="25"/>
    <x v="12"/>
  </r>
  <r>
    <x v="51"/>
    <x v="51"/>
    <x v="2"/>
    <x v="16"/>
    <x v="16"/>
    <x v="15"/>
    <x v="47"/>
    <x v="16"/>
    <x v="15"/>
    <x v="50"/>
    <x v="48"/>
    <x v="51"/>
    <x v="38"/>
    <x v="1"/>
    <x v="46"/>
    <x v="46"/>
    <x v="51"/>
    <x v="1"/>
    <x v="19"/>
    <x v="19"/>
  </r>
  <r>
    <x v="52"/>
    <x v="52"/>
    <x v="4"/>
    <x v="4"/>
    <x v="19"/>
    <x v="3"/>
    <x v="24"/>
    <x v="3"/>
    <x v="40"/>
    <x v="51"/>
    <x v="49"/>
    <x v="52"/>
    <x v="39"/>
    <x v="2"/>
    <x v="47"/>
    <x v="47"/>
    <x v="52"/>
    <x v="0"/>
    <x v="4"/>
    <x v="0"/>
  </r>
  <r>
    <x v="53"/>
    <x v="35"/>
    <x v="2"/>
    <x v="15"/>
    <x v="15"/>
    <x v="9"/>
    <x v="48"/>
    <x v="9"/>
    <x v="40"/>
    <x v="52"/>
    <x v="50"/>
    <x v="53"/>
    <x v="40"/>
    <x v="1"/>
    <x v="48"/>
    <x v="4"/>
    <x v="53"/>
    <x v="1"/>
    <x v="11"/>
    <x v="20"/>
  </r>
  <r>
    <x v="54"/>
    <x v="53"/>
    <x v="1"/>
    <x v="4"/>
    <x v="4"/>
    <x v="3"/>
    <x v="24"/>
    <x v="3"/>
    <x v="41"/>
    <x v="53"/>
    <x v="51"/>
    <x v="54"/>
    <x v="41"/>
    <x v="0"/>
    <x v="49"/>
    <x v="48"/>
    <x v="54"/>
    <x v="1"/>
    <x v="12"/>
    <x v="21"/>
  </r>
  <r>
    <x v="55"/>
    <x v="54"/>
    <x v="5"/>
    <x v="8"/>
    <x v="8"/>
    <x v="0"/>
    <x v="49"/>
    <x v="0"/>
    <x v="42"/>
    <x v="54"/>
    <x v="52"/>
    <x v="55"/>
    <x v="42"/>
    <x v="0"/>
    <x v="50"/>
    <x v="49"/>
    <x v="55"/>
    <x v="0"/>
    <x v="21"/>
    <x v="0"/>
  </r>
  <r>
    <x v="56"/>
    <x v="55"/>
    <x v="2"/>
    <x v="16"/>
    <x v="16"/>
    <x v="3"/>
    <x v="50"/>
    <x v="3"/>
    <x v="43"/>
    <x v="55"/>
    <x v="53"/>
    <x v="56"/>
    <x v="43"/>
    <x v="3"/>
    <x v="51"/>
    <x v="5"/>
    <x v="56"/>
    <x v="2"/>
    <x v="8"/>
    <x v="0"/>
  </r>
  <r>
    <x v="57"/>
    <x v="56"/>
    <x v="1"/>
    <x v="18"/>
    <x v="18"/>
    <x v="9"/>
    <x v="51"/>
    <x v="9"/>
    <x v="44"/>
    <x v="56"/>
    <x v="54"/>
    <x v="57"/>
    <x v="44"/>
    <x v="1"/>
    <x v="52"/>
    <x v="50"/>
    <x v="57"/>
    <x v="0"/>
    <x v="26"/>
    <x v="0"/>
  </r>
  <r>
    <x v="58"/>
    <x v="45"/>
    <x v="3"/>
    <x v="0"/>
    <x v="0"/>
    <x v="4"/>
    <x v="26"/>
    <x v="4"/>
    <x v="26"/>
    <x v="57"/>
    <x v="55"/>
    <x v="58"/>
    <x v="45"/>
    <x v="1"/>
    <x v="2"/>
    <x v="34"/>
    <x v="58"/>
    <x v="0"/>
    <x v="22"/>
    <x v="0"/>
  </r>
  <r>
    <x v="59"/>
    <x v="57"/>
    <x v="6"/>
    <x v="16"/>
    <x v="16"/>
    <x v="14"/>
    <x v="44"/>
    <x v="15"/>
    <x v="11"/>
    <x v="58"/>
    <x v="56"/>
    <x v="59"/>
    <x v="46"/>
    <x v="2"/>
    <x v="6"/>
    <x v="51"/>
    <x v="59"/>
    <x v="0"/>
    <x v="4"/>
    <x v="0"/>
  </r>
  <r>
    <x v="60"/>
    <x v="58"/>
    <x v="3"/>
    <x v="9"/>
    <x v="9"/>
    <x v="8"/>
    <x v="52"/>
    <x v="8"/>
    <x v="45"/>
    <x v="59"/>
    <x v="57"/>
    <x v="60"/>
    <x v="47"/>
    <x v="1"/>
    <x v="53"/>
    <x v="52"/>
    <x v="60"/>
    <x v="1"/>
    <x v="14"/>
    <x v="22"/>
  </r>
  <r>
    <x v="61"/>
    <x v="59"/>
    <x v="4"/>
    <x v="16"/>
    <x v="16"/>
    <x v="7"/>
    <x v="35"/>
    <x v="7"/>
    <x v="31"/>
    <x v="60"/>
    <x v="52"/>
    <x v="61"/>
    <x v="48"/>
    <x v="0"/>
    <x v="54"/>
    <x v="53"/>
    <x v="61"/>
    <x v="2"/>
    <x v="22"/>
    <x v="0"/>
  </r>
  <r>
    <x v="62"/>
    <x v="60"/>
    <x v="1"/>
    <x v="0"/>
    <x v="0"/>
    <x v="6"/>
    <x v="6"/>
    <x v="11"/>
    <x v="46"/>
    <x v="61"/>
    <x v="58"/>
    <x v="62"/>
    <x v="49"/>
    <x v="2"/>
    <x v="55"/>
    <x v="54"/>
    <x v="62"/>
    <x v="1"/>
    <x v="24"/>
    <x v="23"/>
  </r>
  <r>
    <x v="63"/>
    <x v="61"/>
    <x v="0"/>
    <x v="1"/>
    <x v="1"/>
    <x v="14"/>
    <x v="53"/>
    <x v="15"/>
    <x v="47"/>
    <x v="62"/>
    <x v="5"/>
    <x v="63"/>
    <x v="50"/>
    <x v="2"/>
    <x v="56"/>
    <x v="55"/>
    <x v="63"/>
    <x v="1"/>
    <x v="27"/>
    <x v="24"/>
  </r>
  <r>
    <x v="64"/>
    <x v="62"/>
    <x v="4"/>
    <x v="14"/>
    <x v="14"/>
    <x v="6"/>
    <x v="54"/>
    <x v="6"/>
    <x v="0"/>
    <x v="63"/>
    <x v="59"/>
    <x v="64"/>
    <x v="51"/>
    <x v="2"/>
    <x v="57"/>
    <x v="56"/>
    <x v="64"/>
    <x v="0"/>
    <x v="28"/>
    <x v="0"/>
  </r>
  <r>
    <x v="65"/>
    <x v="63"/>
    <x v="6"/>
    <x v="14"/>
    <x v="14"/>
    <x v="7"/>
    <x v="55"/>
    <x v="7"/>
    <x v="47"/>
    <x v="64"/>
    <x v="60"/>
    <x v="34"/>
    <x v="52"/>
    <x v="0"/>
    <x v="58"/>
    <x v="57"/>
    <x v="65"/>
    <x v="0"/>
    <x v="27"/>
    <x v="0"/>
  </r>
  <r>
    <x v="66"/>
    <x v="64"/>
    <x v="4"/>
    <x v="12"/>
    <x v="12"/>
    <x v="3"/>
    <x v="56"/>
    <x v="3"/>
    <x v="48"/>
    <x v="46"/>
    <x v="61"/>
    <x v="65"/>
    <x v="53"/>
    <x v="2"/>
    <x v="59"/>
    <x v="58"/>
    <x v="66"/>
    <x v="1"/>
    <x v="25"/>
    <x v="0"/>
  </r>
  <r>
    <x v="67"/>
    <x v="65"/>
    <x v="3"/>
    <x v="6"/>
    <x v="6"/>
    <x v="1"/>
    <x v="57"/>
    <x v="1"/>
    <x v="7"/>
    <x v="65"/>
    <x v="44"/>
    <x v="66"/>
    <x v="54"/>
    <x v="1"/>
    <x v="60"/>
    <x v="59"/>
    <x v="67"/>
    <x v="0"/>
    <x v="25"/>
    <x v="0"/>
  </r>
  <r>
    <x v="68"/>
    <x v="66"/>
    <x v="6"/>
    <x v="5"/>
    <x v="5"/>
    <x v="2"/>
    <x v="58"/>
    <x v="2"/>
    <x v="2"/>
    <x v="66"/>
    <x v="62"/>
    <x v="67"/>
    <x v="55"/>
    <x v="1"/>
    <x v="61"/>
    <x v="57"/>
    <x v="68"/>
    <x v="0"/>
    <x v="1"/>
    <x v="0"/>
  </r>
  <r>
    <x v="69"/>
    <x v="67"/>
    <x v="0"/>
    <x v="16"/>
    <x v="16"/>
    <x v="6"/>
    <x v="59"/>
    <x v="11"/>
    <x v="2"/>
    <x v="67"/>
    <x v="63"/>
    <x v="68"/>
    <x v="56"/>
    <x v="1"/>
    <x v="62"/>
    <x v="60"/>
    <x v="69"/>
    <x v="1"/>
    <x v="29"/>
    <x v="25"/>
  </r>
  <r>
    <x v="70"/>
    <x v="6"/>
    <x v="4"/>
    <x v="11"/>
    <x v="11"/>
    <x v="0"/>
    <x v="60"/>
    <x v="0"/>
    <x v="9"/>
    <x v="68"/>
    <x v="23"/>
    <x v="69"/>
    <x v="57"/>
    <x v="2"/>
    <x v="40"/>
    <x v="35"/>
    <x v="70"/>
    <x v="0"/>
    <x v="4"/>
    <x v="0"/>
  </r>
  <r>
    <x v="71"/>
    <x v="68"/>
    <x v="6"/>
    <x v="6"/>
    <x v="6"/>
    <x v="16"/>
    <x v="61"/>
    <x v="17"/>
    <x v="38"/>
    <x v="69"/>
    <x v="64"/>
    <x v="70"/>
    <x v="58"/>
    <x v="2"/>
    <x v="14"/>
    <x v="61"/>
    <x v="71"/>
    <x v="0"/>
    <x v="27"/>
    <x v="0"/>
  </r>
  <r>
    <x v="72"/>
    <x v="69"/>
    <x v="6"/>
    <x v="14"/>
    <x v="14"/>
    <x v="17"/>
    <x v="62"/>
    <x v="18"/>
    <x v="49"/>
    <x v="70"/>
    <x v="65"/>
    <x v="71"/>
    <x v="59"/>
    <x v="1"/>
    <x v="63"/>
    <x v="62"/>
    <x v="72"/>
    <x v="0"/>
    <x v="0"/>
    <x v="0"/>
  </r>
  <r>
    <x v="73"/>
    <x v="70"/>
    <x v="4"/>
    <x v="18"/>
    <x v="18"/>
    <x v="1"/>
    <x v="63"/>
    <x v="1"/>
    <x v="50"/>
    <x v="71"/>
    <x v="21"/>
    <x v="72"/>
    <x v="9"/>
    <x v="1"/>
    <x v="48"/>
    <x v="63"/>
    <x v="73"/>
    <x v="0"/>
    <x v="30"/>
    <x v="0"/>
  </r>
  <r>
    <x v="74"/>
    <x v="71"/>
    <x v="7"/>
    <x v="8"/>
    <x v="8"/>
    <x v="8"/>
    <x v="64"/>
    <x v="8"/>
    <x v="51"/>
    <x v="72"/>
    <x v="66"/>
    <x v="73"/>
    <x v="60"/>
    <x v="1"/>
    <x v="64"/>
    <x v="64"/>
    <x v="74"/>
    <x v="0"/>
    <x v="12"/>
    <x v="0"/>
  </r>
  <r>
    <x v="75"/>
    <x v="36"/>
    <x v="1"/>
    <x v="1"/>
    <x v="1"/>
    <x v="8"/>
    <x v="12"/>
    <x v="8"/>
    <x v="42"/>
    <x v="73"/>
    <x v="67"/>
    <x v="74"/>
    <x v="61"/>
    <x v="1"/>
    <x v="65"/>
    <x v="65"/>
    <x v="75"/>
    <x v="0"/>
    <x v="5"/>
    <x v="0"/>
  </r>
  <r>
    <x v="76"/>
    <x v="72"/>
    <x v="6"/>
    <x v="11"/>
    <x v="11"/>
    <x v="17"/>
    <x v="65"/>
    <x v="18"/>
    <x v="9"/>
    <x v="74"/>
    <x v="54"/>
    <x v="75"/>
    <x v="62"/>
    <x v="1"/>
    <x v="66"/>
    <x v="24"/>
    <x v="76"/>
    <x v="0"/>
    <x v="20"/>
    <x v="0"/>
  </r>
  <r>
    <x v="77"/>
    <x v="29"/>
    <x v="5"/>
    <x v="6"/>
    <x v="6"/>
    <x v="3"/>
    <x v="66"/>
    <x v="3"/>
    <x v="37"/>
    <x v="75"/>
    <x v="68"/>
    <x v="76"/>
    <x v="63"/>
    <x v="0"/>
    <x v="67"/>
    <x v="66"/>
    <x v="77"/>
    <x v="2"/>
    <x v="20"/>
    <x v="0"/>
  </r>
  <r>
    <x v="78"/>
    <x v="44"/>
    <x v="0"/>
    <x v="3"/>
    <x v="3"/>
    <x v="6"/>
    <x v="22"/>
    <x v="11"/>
    <x v="6"/>
    <x v="76"/>
    <x v="69"/>
    <x v="77"/>
    <x v="64"/>
    <x v="2"/>
    <x v="68"/>
    <x v="67"/>
    <x v="78"/>
    <x v="1"/>
    <x v="16"/>
    <x v="26"/>
  </r>
  <r>
    <x v="79"/>
    <x v="73"/>
    <x v="3"/>
    <x v="8"/>
    <x v="8"/>
    <x v="12"/>
    <x v="67"/>
    <x v="13"/>
    <x v="26"/>
    <x v="77"/>
    <x v="6"/>
    <x v="78"/>
    <x v="65"/>
    <x v="1"/>
    <x v="69"/>
    <x v="68"/>
    <x v="79"/>
    <x v="0"/>
    <x v="19"/>
    <x v="0"/>
  </r>
  <r>
    <x v="80"/>
    <x v="74"/>
    <x v="3"/>
    <x v="2"/>
    <x v="2"/>
    <x v="6"/>
    <x v="68"/>
    <x v="11"/>
    <x v="13"/>
    <x v="78"/>
    <x v="70"/>
    <x v="79"/>
    <x v="66"/>
    <x v="0"/>
    <x v="70"/>
    <x v="69"/>
    <x v="80"/>
    <x v="0"/>
    <x v="26"/>
    <x v="0"/>
  </r>
  <r>
    <x v="81"/>
    <x v="75"/>
    <x v="6"/>
    <x v="0"/>
    <x v="0"/>
    <x v="12"/>
    <x v="69"/>
    <x v="13"/>
    <x v="52"/>
    <x v="79"/>
    <x v="71"/>
    <x v="80"/>
    <x v="67"/>
    <x v="1"/>
    <x v="71"/>
    <x v="70"/>
    <x v="81"/>
    <x v="2"/>
    <x v="18"/>
    <x v="0"/>
  </r>
  <r>
    <x v="82"/>
    <x v="76"/>
    <x v="4"/>
    <x v="0"/>
    <x v="0"/>
    <x v="7"/>
    <x v="39"/>
    <x v="7"/>
    <x v="19"/>
    <x v="80"/>
    <x v="72"/>
    <x v="81"/>
    <x v="68"/>
    <x v="3"/>
    <x v="72"/>
    <x v="11"/>
    <x v="82"/>
    <x v="0"/>
    <x v="17"/>
    <x v="0"/>
  </r>
  <r>
    <x v="83"/>
    <x v="77"/>
    <x v="0"/>
    <x v="7"/>
    <x v="7"/>
    <x v="3"/>
    <x v="70"/>
    <x v="3"/>
    <x v="48"/>
    <x v="14"/>
    <x v="73"/>
    <x v="82"/>
    <x v="69"/>
    <x v="1"/>
    <x v="73"/>
    <x v="71"/>
    <x v="83"/>
    <x v="0"/>
    <x v="27"/>
    <x v="0"/>
  </r>
  <r>
    <x v="84"/>
    <x v="78"/>
    <x v="1"/>
    <x v="18"/>
    <x v="18"/>
    <x v="11"/>
    <x v="71"/>
    <x v="12"/>
    <x v="4"/>
    <x v="81"/>
    <x v="74"/>
    <x v="16"/>
    <x v="11"/>
    <x v="0"/>
    <x v="74"/>
    <x v="72"/>
    <x v="84"/>
    <x v="1"/>
    <x v="23"/>
    <x v="27"/>
  </r>
  <r>
    <x v="85"/>
    <x v="5"/>
    <x v="3"/>
    <x v="4"/>
    <x v="4"/>
    <x v="14"/>
    <x v="72"/>
    <x v="15"/>
    <x v="37"/>
    <x v="82"/>
    <x v="75"/>
    <x v="83"/>
    <x v="70"/>
    <x v="0"/>
    <x v="75"/>
    <x v="73"/>
    <x v="85"/>
    <x v="0"/>
    <x v="3"/>
    <x v="0"/>
  </r>
  <r>
    <x v="86"/>
    <x v="79"/>
    <x v="3"/>
    <x v="0"/>
    <x v="0"/>
    <x v="9"/>
    <x v="73"/>
    <x v="9"/>
    <x v="43"/>
    <x v="83"/>
    <x v="76"/>
    <x v="84"/>
    <x v="71"/>
    <x v="2"/>
    <x v="76"/>
    <x v="74"/>
    <x v="86"/>
    <x v="1"/>
    <x v="2"/>
    <x v="28"/>
  </r>
  <r>
    <x v="87"/>
    <x v="80"/>
    <x v="5"/>
    <x v="7"/>
    <x v="7"/>
    <x v="12"/>
    <x v="74"/>
    <x v="13"/>
    <x v="53"/>
    <x v="84"/>
    <x v="77"/>
    <x v="85"/>
    <x v="72"/>
    <x v="0"/>
    <x v="19"/>
    <x v="75"/>
    <x v="87"/>
    <x v="0"/>
    <x v="3"/>
    <x v="0"/>
  </r>
  <r>
    <x v="88"/>
    <x v="81"/>
    <x v="5"/>
    <x v="1"/>
    <x v="1"/>
    <x v="9"/>
    <x v="16"/>
    <x v="9"/>
    <x v="54"/>
    <x v="85"/>
    <x v="78"/>
    <x v="86"/>
    <x v="73"/>
    <x v="0"/>
    <x v="77"/>
    <x v="76"/>
    <x v="88"/>
    <x v="1"/>
    <x v="3"/>
    <x v="29"/>
  </r>
  <r>
    <x v="89"/>
    <x v="82"/>
    <x v="5"/>
    <x v="9"/>
    <x v="9"/>
    <x v="4"/>
    <x v="75"/>
    <x v="4"/>
    <x v="26"/>
    <x v="85"/>
    <x v="79"/>
    <x v="87"/>
    <x v="74"/>
    <x v="0"/>
    <x v="78"/>
    <x v="77"/>
    <x v="89"/>
    <x v="0"/>
    <x v="31"/>
    <x v="0"/>
  </r>
  <r>
    <x v="90"/>
    <x v="83"/>
    <x v="3"/>
    <x v="17"/>
    <x v="17"/>
    <x v="16"/>
    <x v="76"/>
    <x v="17"/>
    <x v="55"/>
    <x v="86"/>
    <x v="80"/>
    <x v="88"/>
    <x v="75"/>
    <x v="2"/>
    <x v="79"/>
    <x v="67"/>
    <x v="90"/>
    <x v="2"/>
    <x v="6"/>
    <x v="0"/>
  </r>
  <r>
    <x v="91"/>
    <x v="84"/>
    <x v="5"/>
    <x v="5"/>
    <x v="5"/>
    <x v="6"/>
    <x v="77"/>
    <x v="6"/>
    <x v="56"/>
    <x v="87"/>
    <x v="81"/>
    <x v="89"/>
    <x v="76"/>
    <x v="2"/>
    <x v="80"/>
    <x v="78"/>
    <x v="91"/>
    <x v="0"/>
    <x v="3"/>
    <x v="0"/>
  </r>
  <r>
    <x v="92"/>
    <x v="85"/>
    <x v="0"/>
    <x v="11"/>
    <x v="11"/>
    <x v="18"/>
    <x v="78"/>
    <x v="19"/>
    <x v="0"/>
    <x v="88"/>
    <x v="82"/>
    <x v="90"/>
    <x v="77"/>
    <x v="0"/>
    <x v="81"/>
    <x v="79"/>
    <x v="92"/>
    <x v="0"/>
    <x v="24"/>
    <x v="0"/>
  </r>
  <r>
    <x v="93"/>
    <x v="86"/>
    <x v="2"/>
    <x v="9"/>
    <x v="9"/>
    <x v="12"/>
    <x v="79"/>
    <x v="13"/>
    <x v="57"/>
    <x v="56"/>
    <x v="83"/>
    <x v="91"/>
    <x v="78"/>
    <x v="2"/>
    <x v="82"/>
    <x v="27"/>
    <x v="93"/>
    <x v="0"/>
    <x v="32"/>
    <x v="0"/>
  </r>
  <r>
    <x v="94"/>
    <x v="87"/>
    <x v="1"/>
    <x v="4"/>
    <x v="19"/>
    <x v="14"/>
    <x v="72"/>
    <x v="15"/>
    <x v="38"/>
    <x v="89"/>
    <x v="84"/>
    <x v="92"/>
    <x v="79"/>
    <x v="1"/>
    <x v="83"/>
    <x v="69"/>
    <x v="94"/>
    <x v="1"/>
    <x v="3"/>
    <x v="30"/>
  </r>
  <r>
    <x v="95"/>
    <x v="88"/>
    <x v="2"/>
    <x v="10"/>
    <x v="10"/>
    <x v="8"/>
    <x v="80"/>
    <x v="8"/>
    <x v="58"/>
    <x v="90"/>
    <x v="85"/>
    <x v="93"/>
    <x v="80"/>
    <x v="2"/>
    <x v="84"/>
    <x v="80"/>
    <x v="95"/>
    <x v="1"/>
    <x v="33"/>
    <x v="14"/>
  </r>
  <r>
    <x v="96"/>
    <x v="89"/>
    <x v="6"/>
    <x v="15"/>
    <x v="15"/>
    <x v="6"/>
    <x v="81"/>
    <x v="11"/>
    <x v="55"/>
    <x v="91"/>
    <x v="86"/>
    <x v="94"/>
    <x v="81"/>
    <x v="1"/>
    <x v="85"/>
    <x v="81"/>
    <x v="96"/>
    <x v="0"/>
    <x v="17"/>
    <x v="0"/>
  </r>
  <r>
    <x v="97"/>
    <x v="90"/>
    <x v="5"/>
    <x v="9"/>
    <x v="9"/>
    <x v="11"/>
    <x v="25"/>
    <x v="12"/>
    <x v="59"/>
    <x v="92"/>
    <x v="87"/>
    <x v="95"/>
    <x v="82"/>
    <x v="1"/>
    <x v="10"/>
    <x v="82"/>
    <x v="97"/>
    <x v="0"/>
    <x v="30"/>
    <x v="0"/>
  </r>
  <r>
    <x v="98"/>
    <x v="91"/>
    <x v="1"/>
    <x v="17"/>
    <x v="17"/>
    <x v="7"/>
    <x v="82"/>
    <x v="7"/>
    <x v="60"/>
    <x v="93"/>
    <x v="88"/>
    <x v="96"/>
    <x v="83"/>
    <x v="0"/>
    <x v="86"/>
    <x v="7"/>
    <x v="98"/>
    <x v="0"/>
    <x v="0"/>
    <x v="0"/>
  </r>
  <r>
    <x v="99"/>
    <x v="92"/>
    <x v="2"/>
    <x v="9"/>
    <x v="9"/>
    <x v="9"/>
    <x v="83"/>
    <x v="9"/>
    <x v="12"/>
    <x v="94"/>
    <x v="89"/>
    <x v="97"/>
    <x v="84"/>
    <x v="0"/>
    <x v="87"/>
    <x v="83"/>
    <x v="99"/>
    <x v="1"/>
    <x v="18"/>
    <x v="31"/>
  </r>
  <r>
    <x v="100"/>
    <x v="93"/>
    <x v="2"/>
    <x v="14"/>
    <x v="14"/>
    <x v="2"/>
    <x v="32"/>
    <x v="2"/>
    <x v="28"/>
    <x v="95"/>
    <x v="90"/>
    <x v="98"/>
    <x v="85"/>
    <x v="0"/>
    <x v="88"/>
    <x v="84"/>
    <x v="100"/>
    <x v="0"/>
    <x v="7"/>
    <x v="0"/>
  </r>
  <r>
    <x v="101"/>
    <x v="11"/>
    <x v="1"/>
    <x v="9"/>
    <x v="9"/>
    <x v="9"/>
    <x v="83"/>
    <x v="9"/>
    <x v="61"/>
    <x v="96"/>
    <x v="91"/>
    <x v="99"/>
    <x v="86"/>
    <x v="1"/>
    <x v="72"/>
    <x v="24"/>
    <x v="101"/>
    <x v="1"/>
    <x v="9"/>
    <x v="32"/>
  </r>
  <r>
    <x v="102"/>
    <x v="94"/>
    <x v="7"/>
    <x v="15"/>
    <x v="15"/>
    <x v="13"/>
    <x v="84"/>
    <x v="14"/>
    <x v="44"/>
    <x v="97"/>
    <x v="88"/>
    <x v="100"/>
    <x v="87"/>
    <x v="2"/>
    <x v="89"/>
    <x v="85"/>
    <x v="102"/>
    <x v="0"/>
    <x v="21"/>
    <x v="0"/>
  </r>
  <r>
    <x v="103"/>
    <x v="95"/>
    <x v="0"/>
    <x v="4"/>
    <x v="4"/>
    <x v="1"/>
    <x v="85"/>
    <x v="1"/>
    <x v="18"/>
    <x v="98"/>
    <x v="92"/>
    <x v="101"/>
    <x v="88"/>
    <x v="1"/>
    <x v="88"/>
    <x v="86"/>
    <x v="103"/>
    <x v="1"/>
    <x v="30"/>
    <x v="33"/>
  </r>
  <r>
    <x v="104"/>
    <x v="96"/>
    <x v="0"/>
    <x v="9"/>
    <x v="9"/>
    <x v="13"/>
    <x v="86"/>
    <x v="14"/>
    <x v="1"/>
    <x v="99"/>
    <x v="93"/>
    <x v="102"/>
    <x v="12"/>
    <x v="0"/>
    <x v="16"/>
    <x v="13"/>
    <x v="104"/>
    <x v="0"/>
    <x v="34"/>
    <x v="0"/>
  </r>
  <r>
    <x v="105"/>
    <x v="97"/>
    <x v="7"/>
    <x v="18"/>
    <x v="18"/>
    <x v="1"/>
    <x v="63"/>
    <x v="1"/>
    <x v="62"/>
    <x v="100"/>
    <x v="94"/>
    <x v="103"/>
    <x v="89"/>
    <x v="0"/>
    <x v="90"/>
    <x v="13"/>
    <x v="105"/>
    <x v="0"/>
    <x v="31"/>
    <x v="0"/>
  </r>
  <r>
    <x v="106"/>
    <x v="98"/>
    <x v="0"/>
    <x v="1"/>
    <x v="1"/>
    <x v="10"/>
    <x v="87"/>
    <x v="10"/>
    <x v="1"/>
    <x v="101"/>
    <x v="95"/>
    <x v="104"/>
    <x v="90"/>
    <x v="2"/>
    <x v="12"/>
    <x v="15"/>
    <x v="106"/>
    <x v="1"/>
    <x v="17"/>
    <x v="34"/>
  </r>
  <r>
    <x v="107"/>
    <x v="99"/>
    <x v="5"/>
    <x v="15"/>
    <x v="15"/>
    <x v="9"/>
    <x v="48"/>
    <x v="9"/>
    <x v="41"/>
    <x v="102"/>
    <x v="75"/>
    <x v="105"/>
    <x v="91"/>
    <x v="0"/>
    <x v="91"/>
    <x v="87"/>
    <x v="107"/>
    <x v="0"/>
    <x v="8"/>
    <x v="0"/>
  </r>
  <r>
    <x v="108"/>
    <x v="100"/>
    <x v="5"/>
    <x v="7"/>
    <x v="7"/>
    <x v="4"/>
    <x v="88"/>
    <x v="4"/>
    <x v="27"/>
    <x v="103"/>
    <x v="30"/>
    <x v="106"/>
    <x v="92"/>
    <x v="0"/>
    <x v="92"/>
    <x v="88"/>
    <x v="108"/>
    <x v="0"/>
    <x v="23"/>
    <x v="0"/>
  </r>
  <r>
    <x v="109"/>
    <x v="101"/>
    <x v="7"/>
    <x v="14"/>
    <x v="14"/>
    <x v="10"/>
    <x v="89"/>
    <x v="10"/>
    <x v="54"/>
    <x v="46"/>
    <x v="96"/>
    <x v="107"/>
    <x v="93"/>
    <x v="0"/>
    <x v="33"/>
    <x v="9"/>
    <x v="109"/>
    <x v="0"/>
    <x v="6"/>
    <x v="0"/>
  </r>
  <r>
    <x v="110"/>
    <x v="102"/>
    <x v="1"/>
    <x v="17"/>
    <x v="17"/>
    <x v="8"/>
    <x v="36"/>
    <x v="8"/>
    <x v="63"/>
    <x v="104"/>
    <x v="97"/>
    <x v="108"/>
    <x v="94"/>
    <x v="2"/>
    <x v="64"/>
    <x v="89"/>
    <x v="110"/>
    <x v="0"/>
    <x v="0"/>
    <x v="0"/>
  </r>
  <r>
    <x v="111"/>
    <x v="103"/>
    <x v="1"/>
    <x v="5"/>
    <x v="5"/>
    <x v="5"/>
    <x v="5"/>
    <x v="5"/>
    <x v="50"/>
    <x v="105"/>
    <x v="40"/>
    <x v="109"/>
    <x v="95"/>
    <x v="2"/>
    <x v="93"/>
    <x v="90"/>
    <x v="111"/>
    <x v="0"/>
    <x v="0"/>
    <x v="0"/>
  </r>
  <r>
    <x v="112"/>
    <x v="104"/>
    <x v="3"/>
    <x v="6"/>
    <x v="6"/>
    <x v="2"/>
    <x v="90"/>
    <x v="2"/>
    <x v="51"/>
    <x v="106"/>
    <x v="98"/>
    <x v="110"/>
    <x v="96"/>
    <x v="0"/>
    <x v="94"/>
    <x v="18"/>
    <x v="112"/>
    <x v="0"/>
    <x v="34"/>
    <x v="0"/>
  </r>
  <r>
    <x v="113"/>
    <x v="105"/>
    <x v="6"/>
    <x v="16"/>
    <x v="16"/>
    <x v="11"/>
    <x v="91"/>
    <x v="12"/>
    <x v="53"/>
    <x v="107"/>
    <x v="99"/>
    <x v="111"/>
    <x v="97"/>
    <x v="1"/>
    <x v="95"/>
    <x v="91"/>
    <x v="113"/>
    <x v="0"/>
    <x v="7"/>
    <x v="0"/>
  </r>
  <r>
    <x v="114"/>
    <x v="106"/>
    <x v="5"/>
    <x v="4"/>
    <x v="4"/>
    <x v="1"/>
    <x v="85"/>
    <x v="1"/>
    <x v="64"/>
    <x v="108"/>
    <x v="100"/>
    <x v="112"/>
    <x v="98"/>
    <x v="0"/>
    <x v="96"/>
    <x v="92"/>
    <x v="114"/>
    <x v="0"/>
    <x v="27"/>
    <x v="0"/>
  </r>
  <r>
    <x v="115"/>
    <x v="107"/>
    <x v="2"/>
    <x v="3"/>
    <x v="3"/>
    <x v="7"/>
    <x v="92"/>
    <x v="7"/>
    <x v="65"/>
    <x v="109"/>
    <x v="81"/>
    <x v="113"/>
    <x v="99"/>
    <x v="1"/>
    <x v="97"/>
    <x v="24"/>
    <x v="115"/>
    <x v="0"/>
    <x v="26"/>
    <x v="0"/>
  </r>
  <r>
    <x v="116"/>
    <x v="108"/>
    <x v="0"/>
    <x v="1"/>
    <x v="1"/>
    <x v="7"/>
    <x v="93"/>
    <x v="7"/>
    <x v="66"/>
    <x v="74"/>
    <x v="33"/>
    <x v="114"/>
    <x v="100"/>
    <x v="1"/>
    <x v="55"/>
    <x v="67"/>
    <x v="116"/>
    <x v="1"/>
    <x v="15"/>
    <x v="17"/>
  </r>
  <r>
    <x v="117"/>
    <x v="109"/>
    <x v="5"/>
    <x v="12"/>
    <x v="12"/>
    <x v="16"/>
    <x v="94"/>
    <x v="17"/>
    <x v="67"/>
    <x v="110"/>
    <x v="101"/>
    <x v="115"/>
    <x v="101"/>
    <x v="0"/>
    <x v="98"/>
    <x v="93"/>
    <x v="117"/>
    <x v="0"/>
    <x v="8"/>
    <x v="0"/>
  </r>
  <r>
    <x v="118"/>
    <x v="110"/>
    <x v="2"/>
    <x v="8"/>
    <x v="8"/>
    <x v="10"/>
    <x v="95"/>
    <x v="10"/>
    <x v="68"/>
    <x v="111"/>
    <x v="102"/>
    <x v="116"/>
    <x v="102"/>
    <x v="1"/>
    <x v="99"/>
    <x v="94"/>
    <x v="118"/>
    <x v="1"/>
    <x v="30"/>
    <x v="35"/>
  </r>
  <r>
    <x v="119"/>
    <x v="1"/>
    <x v="4"/>
    <x v="10"/>
    <x v="10"/>
    <x v="18"/>
    <x v="96"/>
    <x v="19"/>
    <x v="54"/>
    <x v="112"/>
    <x v="102"/>
    <x v="117"/>
    <x v="103"/>
    <x v="1"/>
    <x v="80"/>
    <x v="95"/>
    <x v="119"/>
    <x v="0"/>
    <x v="1"/>
    <x v="0"/>
  </r>
  <r>
    <x v="120"/>
    <x v="111"/>
    <x v="3"/>
    <x v="4"/>
    <x v="4"/>
    <x v="14"/>
    <x v="72"/>
    <x v="15"/>
    <x v="24"/>
    <x v="113"/>
    <x v="103"/>
    <x v="118"/>
    <x v="104"/>
    <x v="0"/>
    <x v="100"/>
    <x v="93"/>
    <x v="120"/>
    <x v="0"/>
    <x v="30"/>
    <x v="0"/>
  </r>
  <r>
    <x v="121"/>
    <x v="112"/>
    <x v="3"/>
    <x v="3"/>
    <x v="3"/>
    <x v="17"/>
    <x v="97"/>
    <x v="18"/>
    <x v="41"/>
    <x v="114"/>
    <x v="104"/>
    <x v="119"/>
    <x v="105"/>
    <x v="0"/>
    <x v="101"/>
    <x v="96"/>
    <x v="121"/>
    <x v="0"/>
    <x v="20"/>
    <x v="0"/>
  </r>
  <r>
    <x v="122"/>
    <x v="113"/>
    <x v="1"/>
    <x v="13"/>
    <x v="13"/>
    <x v="0"/>
    <x v="98"/>
    <x v="0"/>
    <x v="31"/>
    <x v="115"/>
    <x v="105"/>
    <x v="120"/>
    <x v="106"/>
    <x v="0"/>
    <x v="102"/>
    <x v="47"/>
    <x v="122"/>
    <x v="1"/>
    <x v="33"/>
    <x v="36"/>
  </r>
  <r>
    <x v="123"/>
    <x v="114"/>
    <x v="4"/>
    <x v="2"/>
    <x v="2"/>
    <x v="0"/>
    <x v="99"/>
    <x v="0"/>
    <x v="69"/>
    <x v="116"/>
    <x v="106"/>
    <x v="121"/>
    <x v="107"/>
    <x v="1"/>
    <x v="14"/>
    <x v="97"/>
    <x v="123"/>
    <x v="1"/>
    <x v="35"/>
    <x v="0"/>
  </r>
  <r>
    <x v="124"/>
    <x v="34"/>
    <x v="7"/>
    <x v="4"/>
    <x v="4"/>
    <x v="13"/>
    <x v="100"/>
    <x v="14"/>
    <x v="70"/>
    <x v="45"/>
    <x v="107"/>
    <x v="122"/>
    <x v="13"/>
    <x v="2"/>
    <x v="80"/>
    <x v="98"/>
    <x v="124"/>
    <x v="1"/>
    <x v="13"/>
    <x v="37"/>
  </r>
  <r>
    <x v="125"/>
    <x v="115"/>
    <x v="4"/>
    <x v="11"/>
    <x v="11"/>
    <x v="10"/>
    <x v="17"/>
    <x v="10"/>
    <x v="9"/>
    <x v="117"/>
    <x v="40"/>
    <x v="123"/>
    <x v="108"/>
    <x v="1"/>
    <x v="30"/>
    <x v="27"/>
    <x v="30"/>
    <x v="0"/>
    <x v="21"/>
    <x v="0"/>
  </r>
  <r>
    <x v="126"/>
    <x v="116"/>
    <x v="2"/>
    <x v="9"/>
    <x v="9"/>
    <x v="17"/>
    <x v="101"/>
    <x v="18"/>
    <x v="26"/>
    <x v="8"/>
    <x v="108"/>
    <x v="124"/>
    <x v="109"/>
    <x v="1"/>
    <x v="17"/>
    <x v="99"/>
    <x v="125"/>
    <x v="0"/>
    <x v="1"/>
    <x v="0"/>
  </r>
  <r>
    <x v="127"/>
    <x v="117"/>
    <x v="0"/>
    <x v="0"/>
    <x v="0"/>
    <x v="13"/>
    <x v="102"/>
    <x v="14"/>
    <x v="8"/>
    <x v="118"/>
    <x v="109"/>
    <x v="125"/>
    <x v="110"/>
    <x v="2"/>
    <x v="103"/>
    <x v="100"/>
    <x v="126"/>
    <x v="0"/>
    <x v="34"/>
    <x v="0"/>
  </r>
  <r>
    <x v="128"/>
    <x v="118"/>
    <x v="5"/>
    <x v="14"/>
    <x v="14"/>
    <x v="9"/>
    <x v="103"/>
    <x v="9"/>
    <x v="1"/>
    <x v="119"/>
    <x v="110"/>
    <x v="126"/>
    <x v="111"/>
    <x v="0"/>
    <x v="70"/>
    <x v="101"/>
    <x v="127"/>
    <x v="0"/>
    <x v="33"/>
    <x v="0"/>
  </r>
  <r>
    <x v="129"/>
    <x v="119"/>
    <x v="1"/>
    <x v="4"/>
    <x v="19"/>
    <x v="10"/>
    <x v="104"/>
    <x v="10"/>
    <x v="11"/>
    <x v="120"/>
    <x v="111"/>
    <x v="127"/>
    <x v="112"/>
    <x v="0"/>
    <x v="1"/>
    <x v="63"/>
    <x v="128"/>
    <x v="1"/>
    <x v="23"/>
    <x v="38"/>
  </r>
  <r>
    <x v="130"/>
    <x v="120"/>
    <x v="4"/>
    <x v="6"/>
    <x v="6"/>
    <x v="4"/>
    <x v="105"/>
    <x v="4"/>
    <x v="7"/>
    <x v="121"/>
    <x v="112"/>
    <x v="128"/>
    <x v="113"/>
    <x v="1"/>
    <x v="104"/>
    <x v="37"/>
    <x v="129"/>
    <x v="0"/>
    <x v="21"/>
    <x v="0"/>
  </r>
  <r>
    <x v="131"/>
    <x v="121"/>
    <x v="2"/>
    <x v="9"/>
    <x v="9"/>
    <x v="4"/>
    <x v="75"/>
    <x v="4"/>
    <x v="23"/>
    <x v="122"/>
    <x v="113"/>
    <x v="129"/>
    <x v="114"/>
    <x v="0"/>
    <x v="105"/>
    <x v="102"/>
    <x v="130"/>
    <x v="0"/>
    <x v="0"/>
    <x v="0"/>
  </r>
  <r>
    <x v="132"/>
    <x v="122"/>
    <x v="5"/>
    <x v="16"/>
    <x v="16"/>
    <x v="4"/>
    <x v="106"/>
    <x v="4"/>
    <x v="19"/>
    <x v="123"/>
    <x v="104"/>
    <x v="130"/>
    <x v="115"/>
    <x v="1"/>
    <x v="106"/>
    <x v="103"/>
    <x v="131"/>
    <x v="0"/>
    <x v="30"/>
    <x v="0"/>
  </r>
  <r>
    <x v="133"/>
    <x v="123"/>
    <x v="7"/>
    <x v="11"/>
    <x v="11"/>
    <x v="0"/>
    <x v="60"/>
    <x v="0"/>
    <x v="43"/>
    <x v="124"/>
    <x v="114"/>
    <x v="131"/>
    <x v="116"/>
    <x v="2"/>
    <x v="107"/>
    <x v="104"/>
    <x v="132"/>
    <x v="0"/>
    <x v="4"/>
    <x v="0"/>
  </r>
  <r>
    <x v="134"/>
    <x v="124"/>
    <x v="6"/>
    <x v="7"/>
    <x v="7"/>
    <x v="14"/>
    <x v="107"/>
    <x v="15"/>
    <x v="10"/>
    <x v="125"/>
    <x v="115"/>
    <x v="132"/>
    <x v="117"/>
    <x v="0"/>
    <x v="108"/>
    <x v="105"/>
    <x v="133"/>
    <x v="0"/>
    <x v="29"/>
    <x v="0"/>
  </r>
  <r>
    <x v="135"/>
    <x v="125"/>
    <x v="5"/>
    <x v="17"/>
    <x v="17"/>
    <x v="17"/>
    <x v="108"/>
    <x v="18"/>
    <x v="71"/>
    <x v="126"/>
    <x v="116"/>
    <x v="133"/>
    <x v="118"/>
    <x v="0"/>
    <x v="109"/>
    <x v="106"/>
    <x v="134"/>
    <x v="0"/>
    <x v="6"/>
    <x v="0"/>
  </r>
  <r>
    <x v="136"/>
    <x v="126"/>
    <x v="3"/>
    <x v="16"/>
    <x v="16"/>
    <x v="18"/>
    <x v="109"/>
    <x v="19"/>
    <x v="17"/>
    <x v="127"/>
    <x v="117"/>
    <x v="134"/>
    <x v="119"/>
    <x v="1"/>
    <x v="110"/>
    <x v="107"/>
    <x v="135"/>
    <x v="2"/>
    <x v="6"/>
    <x v="0"/>
  </r>
  <r>
    <x v="137"/>
    <x v="127"/>
    <x v="5"/>
    <x v="7"/>
    <x v="7"/>
    <x v="18"/>
    <x v="110"/>
    <x v="19"/>
    <x v="65"/>
    <x v="128"/>
    <x v="118"/>
    <x v="135"/>
    <x v="120"/>
    <x v="0"/>
    <x v="111"/>
    <x v="108"/>
    <x v="136"/>
    <x v="0"/>
    <x v="14"/>
    <x v="0"/>
  </r>
  <r>
    <x v="138"/>
    <x v="128"/>
    <x v="1"/>
    <x v="5"/>
    <x v="5"/>
    <x v="5"/>
    <x v="5"/>
    <x v="5"/>
    <x v="63"/>
    <x v="129"/>
    <x v="119"/>
    <x v="136"/>
    <x v="121"/>
    <x v="1"/>
    <x v="112"/>
    <x v="98"/>
    <x v="137"/>
    <x v="1"/>
    <x v="7"/>
    <x v="39"/>
  </r>
  <r>
    <x v="139"/>
    <x v="111"/>
    <x v="2"/>
    <x v="7"/>
    <x v="7"/>
    <x v="14"/>
    <x v="107"/>
    <x v="15"/>
    <x v="56"/>
    <x v="130"/>
    <x v="57"/>
    <x v="137"/>
    <x v="122"/>
    <x v="2"/>
    <x v="113"/>
    <x v="109"/>
    <x v="138"/>
    <x v="0"/>
    <x v="30"/>
    <x v="0"/>
  </r>
  <r>
    <x v="140"/>
    <x v="129"/>
    <x v="7"/>
    <x v="0"/>
    <x v="0"/>
    <x v="7"/>
    <x v="39"/>
    <x v="7"/>
    <x v="5"/>
    <x v="131"/>
    <x v="120"/>
    <x v="138"/>
    <x v="123"/>
    <x v="2"/>
    <x v="114"/>
    <x v="101"/>
    <x v="139"/>
    <x v="0"/>
    <x v="0"/>
    <x v="0"/>
  </r>
  <r>
    <x v="141"/>
    <x v="130"/>
    <x v="5"/>
    <x v="12"/>
    <x v="12"/>
    <x v="5"/>
    <x v="111"/>
    <x v="5"/>
    <x v="72"/>
    <x v="132"/>
    <x v="121"/>
    <x v="139"/>
    <x v="124"/>
    <x v="1"/>
    <x v="45"/>
    <x v="18"/>
    <x v="140"/>
    <x v="1"/>
    <x v="19"/>
    <x v="40"/>
  </r>
  <r>
    <x v="142"/>
    <x v="131"/>
    <x v="2"/>
    <x v="10"/>
    <x v="10"/>
    <x v="0"/>
    <x v="112"/>
    <x v="0"/>
    <x v="14"/>
    <x v="133"/>
    <x v="122"/>
    <x v="140"/>
    <x v="125"/>
    <x v="2"/>
    <x v="115"/>
    <x v="36"/>
    <x v="141"/>
    <x v="0"/>
    <x v="15"/>
    <x v="0"/>
  </r>
  <r>
    <x v="143"/>
    <x v="132"/>
    <x v="3"/>
    <x v="3"/>
    <x v="3"/>
    <x v="6"/>
    <x v="22"/>
    <x v="11"/>
    <x v="34"/>
    <x v="134"/>
    <x v="123"/>
    <x v="141"/>
    <x v="126"/>
    <x v="1"/>
    <x v="77"/>
    <x v="101"/>
    <x v="142"/>
    <x v="0"/>
    <x v="4"/>
    <x v="0"/>
  </r>
  <r>
    <x v="144"/>
    <x v="40"/>
    <x v="5"/>
    <x v="16"/>
    <x v="16"/>
    <x v="7"/>
    <x v="35"/>
    <x v="7"/>
    <x v="32"/>
    <x v="135"/>
    <x v="124"/>
    <x v="142"/>
    <x v="127"/>
    <x v="2"/>
    <x v="12"/>
    <x v="20"/>
    <x v="143"/>
    <x v="0"/>
    <x v="5"/>
    <x v="0"/>
  </r>
  <r>
    <x v="145"/>
    <x v="133"/>
    <x v="5"/>
    <x v="10"/>
    <x v="10"/>
    <x v="15"/>
    <x v="113"/>
    <x v="16"/>
    <x v="19"/>
    <x v="136"/>
    <x v="125"/>
    <x v="143"/>
    <x v="128"/>
    <x v="2"/>
    <x v="116"/>
    <x v="109"/>
    <x v="144"/>
    <x v="1"/>
    <x v="14"/>
    <x v="41"/>
  </r>
  <r>
    <x v="146"/>
    <x v="134"/>
    <x v="1"/>
    <x v="13"/>
    <x v="13"/>
    <x v="3"/>
    <x v="114"/>
    <x v="3"/>
    <x v="73"/>
    <x v="20"/>
    <x v="126"/>
    <x v="144"/>
    <x v="129"/>
    <x v="0"/>
    <x v="5"/>
    <x v="79"/>
    <x v="95"/>
    <x v="2"/>
    <x v="10"/>
    <x v="0"/>
  </r>
  <r>
    <x v="147"/>
    <x v="135"/>
    <x v="3"/>
    <x v="3"/>
    <x v="3"/>
    <x v="14"/>
    <x v="115"/>
    <x v="15"/>
    <x v="36"/>
    <x v="137"/>
    <x v="127"/>
    <x v="145"/>
    <x v="130"/>
    <x v="0"/>
    <x v="117"/>
    <x v="28"/>
    <x v="145"/>
    <x v="0"/>
    <x v="20"/>
    <x v="0"/>
  </r>
  <r>
    <x v="148"/>
    <x v="136"/>
    <x v="4"/>
    <x v="3"/>
    <x v="3"/>
    <x v="12"/>
    <x v="116"/>
    <x v="13"/>
    <x v="49"/>
    <x v="138"/>
    <x v="128"/>
    <x v="146"/>
    <x v="131"/>
    <x v="3"/>
    <x v="21"/>
    <x v="93"/>
    <x v="146"/>
    <x v="0"/>
    <x v="24"/>
    <x v="0"/>
  </r>
  <r>
    <x v="149"/>
    <x v="93"/>
    <x v="3"/>
    <x v="16"/>
    <x v="16"/>
    <x v="10"/>
    <x v="117"/>
    <x v="10"/>
    <x v="55"/>
    <x v="139"/>
    <x v="129"/>
    <x v="147"/>
    <x v="132"/>
    <x v="1"/>
    <x v="118"/>
    <x v="110"/>
    <x v="147"/>
    <x v="1"/>
    <x v="7"/>
    <x v="42"/>
  </r>
  <r>
    <x v="150"/>
    <x v="137"/>
    <x v="3"/>
    <x v="5"/>
    <x v="5"/>
    <x v="1"/>
    <x v="118"/>
    <x v="1"/>
    <x v="74"/>
    <x v="140"/>
    <x v="130"/>
    <x v="148"/>
    <x v="124"/>
    <x v="1"/>
    <x v="95"/>
    <x v="111"/>
    <x v="148"/>
    <x v="0"/>
    <x v="29"/>
    <x v="0"/>
  </r>
  <r>
    <x v="151"/>
    <x v="138"/>
    <x v="7"/>
    <x v="7"/>
    <x v="7"/>
    <x v="2"/>
    <x v="119"/>
    <x v="2"/>
    <x v="0"/>
    <x v="141"/>
    <x v="34"/>
    <x v="149"/>
    <x v="133"/>
    <x v="2"/>
    <x v="59"/>
    <x v="7"/>
    <x v="149"/>
    <x v="0"/>
    <x v="14"/>
    <x v="0"/>
  </r>
  <r>
    <x v="152"/>
    <x v="139"/>
    <x v="6"/>
    <x v="6"/>
    <x v="6"/>
    <x v="11"/>
    <x v="120"/>
    <x v="12"/>
    <x v="35"/>
    <x v="142"/>
    <x v="8"/>
    <x v="150"/>
    <x v="134"/>
    <x v="2"/>
    <x v="119"/>
    <x v="75"/>
    <x v="150"/>
    <x v="0"/>
    <x v="9"/>
    <x v="0"/>
  </r>
  <r>
    <x v="153"/>
    <x v="138"/>
    <x v="7"/>
    <x v="6"/>
    <x v="6"/>
    <x v="9"/>
    <x v="19"/>
    <x v="9"/>
    <x v="45"/>
    <x v="143"/>
    <x v="17"/>
    <x v="151"/>
    <x v="135"/>
    <x v="1"/>
    <x v="84"/>
    <x v="112"/>
    <x v="151"/>
    <x v="1"/>
    <x v="14"/>
    <x v="43"/>
  </r>
  <r>
    <x v="154"/>
    <x v="140"/>
    <x v="4"/>
    <x v="11"/>
    <x v="11"/>
    <x v="8"/>
    <x v="121"/>
    <x v="8"/>
    <x v="29"/>
    <x v="144"/>
    <x v="131"/>
    <x v="25"/>
    <x v="136"/>
    <x v="1"/>
    <x v="10"/>
    <x v="54"/>
    <x v="152"/>
    <x v="1"/>
    <x v="14"/>
    <x v="0"/>
  </r>
  <r>
    <x v="155"/>
    <x v="141"/>
    <x v="3"/>
    <x v="14"/>
    <x v="14"/>
    <x v="10"/>
    <x v="89"/>
    <x v="10"/>
    <x v="23"/>
    <x v="145"/>
    <x v="38"/>
    <x v="152"/>
    <x v="14"/>
    <x v="2"/>
    <x v="25"/>
    <x v="113"/>
    <x v="153"/>
    <x v="0"/>
    <x v="13"/>
    <x v="0"/>
  </r>
  <r>
    <x v="156"/>
    <x v="65"/>
    <x v="0"/>
    <x v="11"/>
    <x v="11"/>
    <x v="17"/>
    <x v="65"/>
    <x v="18"/>
    <x v="47"/>
    <x v="146"/>
    <x v="132"/>
    <x v="153"/>
    <x v="137"/>
    <x v="0"/>
    <x v="120"/>
    <x v="60"/>
    <x v="154"/>
    <x v="0"/>
    <x v="25"/>
    <x v="0"/>
  </r>
  <r>
    <x v="157"/>
    <x v="142"/>
    <x v="3"/>
    <x v="7"/>
    <x v="7"/>
    <x v="11"/>
    <x v="122"/>
    <x v="12"/>
    <x v="75"/>
    <x v="147"/>
    <x v="133"/>
    <x v="154"/>
    <x v="138"/>
    <x v="0"/>
    <x v="89"/>
    <x v="93"/>
    <x v="155"/>
    <x v="0"/>
    <x v="5"/>
    <x v="0"/>
  </r>
  <r>
    <x v="158"/>
    <x v="143"/>
    <x v="2"/>
    <x v="12"/>
    <x v="12"/>
    <x v="16"/>
    <x v="94"/>
    <x v="17"/>
    <x v="21"/>
    <x v="148"/>
    <x v="134"/>
    <x v="155"/>
    <x v="139"/>
    <x v="1"/>
    <x v="19"/>
    <x v="86"/>
    <x v="156"/>
    <x v="1"/>
    <x v="21"/>
    <x v="44"/>
  </r>
  <r>
    <x v="159"/>
    <x v="144"/>
    <x v="0"/>
    <x v="4"/>
    <x v="19"/>
    <x v="7"/>
    <x v="123"/>
    <x v="7"/>
    <x v="10"/>
    <x v="149"/>
    <x v="135"/>
    <x v="156"/>
    <x v="140"/>
    <x v="0"/>
    <x v="82"/>
    <x v="30"/>
    <x v="157"/>
    <x v="0"/>
    <x v="32"/>
    <x v="0"/>
  </r>
  <r>
    <x v="160"/>
    <x v="145"/>
    <x v="4"/>
    <x v="9"/>
    <x v="9"/>
    <x v="2"/>
    <x v="124"/>
    <x v="2"/>
    <x v="76"/>
    <x v="150"/>
    <x v="67"/>
    <x v="157"/>
    <x v="141"/>
    <x v="1"/>
    <x v="121"/>
    <x v="68"/>
    <x v="158"/>
    <x v="1"/>
    <x v="5"/>
    <x v="45"/>
  </r>
  <r>
    <x v="161"/>
    <x v="146"/>
    <x v="2"/>
    <x v="6"/>
    <x v="6"/>
    <x v="1"/>
    <x v="57"/>
    <x v="1"/>
    <x v="77"/>
    <x v="151"/>
    <x v="58"/>
    <x v="158"/>
    <x v="142"/>
    <x v="1"/>
    <x v="1"/>
    <x v="84"/>
    <x v="159"/>
    <x v="1"/>
    <x v="24"/>
    <x v="3"/>
  </r>
  <r>
    <x v="162"/>
    <x v="147"/>
    <x v="6"/>
    <x v="18"/>
    <x v="18"/>
    <x v="3"/>
    <x v="125"/>
    <x v="3"/>
    <x v="44"/>
    <x v="152"/>
    <x v="14"/>
    <x v="159"/>
    <x v="143"/>
    <x v="0"/>
    <x v="81"/>
    <x v="49"/>
    <x v="160"/>
    <x v="1"/>
    <x v="18"/>
    <x v="46"/>
  </r>
  <r>
    <x v="163"/>
    <x v="148"/>
    <x v="2"/>
    <x v="13"/>
    <x v="13"/>
    <x v="3"/>
    <x v="114"/>
    <x v="3"/>
    <x v="45"/>
    <x v="153"/>
    <x v="136"/>
    <x v="160"/>
    <x v="144"/>
    <x v="1"/>
    <x v="122"/>
    <x v="70"/>
    <x v="161"/>
    <x v="2"/>
    <x v="16"/>
    <x v="0"/>
  </r>
  <r>
    <x v="164"/>
    <x v="149"/>
    <x v="7"/>
    <x v="11"/>
    <x v="11"/>
    <x v="14"/>
    <x v="126"/>
    <x v="15"/>
    <x v="72"/>
    <x v="154"/>
    <x v="137"/>
    <x v="161"/>
    <x v="145"/>
    <x v="0"/>
    <x v="123"/>
    <x v="0"/>
    <x v="162"/>
    <x v="0"/>
    <x v="30"/>
    <x v="0"/>
  </r>
  <r>
    <x v="165"/>
    <x v="150"/>
    <x v="7"/>
    <x v="9"/>
    <x v="9"/>
    <x v="16"/>
    <x v="127"/>
    <x v="17"/>
    <x v="69"/>
    <x v="155"/>
    <x v="138"/>
    <x v="162"/>
    <x v="146"/>
    <x v="0"/>
    <x v="30"/>
    <x v="107"/>
    <x v="163"/>
    <x v="0"/>
    <x v="2"/>
    <x v="0"/>
  </r>
  <r>
    <x v="166"/>
    <x v="151"/>
    <x v="4"/>
    <x v="12"/>
    <x v="12"/>
    <x v="9"/>
    <x v="128"/>
    <x v="9"/>
    <x v="14"/>
    <x v="28"/>
    <x v="139"/>
    <x v="163"/>
    <x v="147"/>
    <x v="3"/>
    <x v="55"/>
    <x v="114"/>
    <x v="164"/>
    <x v="0"/>
    <x v="1"/>
    <x v="0"/>
  </r>
  <r>
    <x v="167"/>
    <x v="152"/>
    <x v="7"/>
    <x v="12"/>
    <x v="12"/>
    <x v="11"/>
    <x v="129"/>
    <x v="12"/>
    <x v="78"/>
    <x v="156"/>
    <x v="140"/>
    <x v="18"/>
    <x v="148"/>
    <x v="0"/>
    <x v="87"/>
    <x v="9"/>
    <x v="165"/>
    <x v="1"/>
    <x v="28"/>
    <x v="47"/>
  </r>
  <r>
    <x v="168"/>
    <x v="153"/>
    <x v="4"/>
    <x v="2"/>
    <x v="2"/>
    <x v="4"/>
    <x v="130"/>
    <x v="4"/>
    <x v="64"/>
    <x v="157"/>
    <x v="141"/>
    <x v="164"/>
    <x v="149"/>
    <x v="2"/>
    <x v="124"/>
    <x v="115"/>
    <x v="166"/>
    <x v="0"/>
    <x v="15"/>
    <x v="0"/>
  </r>
  <r>
    <x v="169"/>
    <x v="154"/>
    <x v="7"/>
    <x v="16"/>
    <x v="16"/>
    <x v="6"/>
    <x v="59"/>
    <x v="6"/>
    <x v="79"/>
    <x v="158"/>
    <x v="142"/>
    <x v="165"/>
    <x v="150"/>
    <x v="2"/>
    <x v="125"/>
    <x v="74"/>
    <x v="167"/>
    <x v="0"/>
    <x v="8"/>
    <x v="0"/>
  </r>
  <r>
    <x v="170"/>
    <x v="155"/>
    <x v="7"/>
    <x v="2"/>
    <x v="2"/>
    <x v="12"/>
    <x v="131"/>
    <x v="13"/>
    <x v="16"/>
    <x v="159"/>
    <x v="143"/>
    <x v="166"/>
    <x v="151"/>
    <x v="2"/>
    <x v="93"/>
    <x v="56"/>
    <x v="168"/>
    <x v="1"/>
    <x v="33"/>
    <x v="48"/>
  </r>
  <r>
    <x v="171"/>
    <x v="156"/>
    <x v="2"/>
    <x v="4"/>
    <x v="4"/>
    <x v="10"/>
    <x v="104"/>
    <x v="10"/>
    <x v="80"/>
    <x v="160"/>
    <x v="144"/>
    <x v="167"/>
    <x v="152"/>
    <x v="2"/>
    <x v="126"/>
    <x v="116"/>
    <x v="169"/>
    <x v="0"/>
    <x v="6"/>
    <x v="0"/>
  </r>
  <r>
    <x v="172"/>
    <x v="157"/>
    <x v="7"/>
    <x v="12"/>
    <x v="12"/>
    <x v="11"/>
    <x v="129"/>
    <x v="12"/>
    <x v="36"/>
    <x v="161"/>
    <x v="22"/>
    <x v="168"/>
    <x v="153"/>
    <x v="2"/>
    <x v="127"/>
    <x v="100"/>
    <x v="170"/>
    <x v="0"/>
    <x v="33"/>
    <x v="0"/>
  </r>
  <r>
    <x v="173"/>
    <x v="158"/>
    <x v="4"/>
    <x v="10"/>
    <x v="10"/>
    <x v="11"/>
    <x v="34"/>
    <x v="12"/>
    <x v="72"/>
    <x v="162"/>
    <x v="145"/>
    <x v="169"/>
    <x v="154"/>
    <x v="2"/>
    <x v="128"/>
    <x v="37"/>
    <x v="171"/>
    <x v="0"/>
    <x v="20"/>
    <x v="0"/>
  </r>
  <r>
    <x v="174"/>
    <x v="159"/>
    <x v="2"/>
    <x v="17"/>
    <x v="17"/>
    <x v="6"/>
    <x v="132"/>
    <x v="6"/>
    <x v="81"/>
    <x v="163"/>
    <x v="146"/>
    <x v="170"/>
    <x v="155"/>
    <x v="0"/>
    <x v="121"/>
    <x v="117"/>
    <x v="172"/>
    <x v="0"/>
    <x v="33"/>
    <x v="0"/>
  </r>
  <r>
    <x v="175"/>
    <x v="160"/>
    <x v="2"/>
    <x v="4"/>
    <x v="4"/>
    <x v="8"/>
    <x v="133"/>
    <x v="8"/>
    <x v="24"/>
    <x v="164"/>
    <x v="35"/>
    <x v="171"/>
    <x v="156"/>
    <x v="0"/>
    <x v="129"/>
    <x v="92"/>
    <x v="173"/>
    <x v="0"/>
    <x v="22"/>
    <x v="0"/>
  </r>
  <r>
    <x v="176"/>
    <x v="161"/>
    <x v="6"/>
    <x v="14"/>
    <x v="14"/>
    <x v="0"/>
    <x v="134"/>
    <x v="0"/>
    <x v="82"/>
    <x v="165"/>
    <x v="8"/>
    <x v="172"/>
    <x v="157"/>
    <x v="2"/>
    <x v="38"/>
    <x v="20"/>
    <x v="174"/>
    <x v="0"/>
    <x v="22"/>
    <x v="0"/>
  </r>
  <r>
    <x v="177"/>
    <x v="162"/>
    <x v="0"/>
    <x v="13"/>
    <x v="13"/>
    <x v="2"/>
    <x v="135"/>
    <x v="2"/>
    <x v="32"/>
    <x v="166"/>
    <x v="147"/>
    <x v="173"/>
    <x v="158"/>
    <x v="2"/>
    <x v="130"/>
    <x v="118"/>
    <x v="175"/>
    <x v="0"/>
    <x v="33"/>
    <x v="0"/>
  </r>
  <r>
    <x v="178"/>
    <x v="140"/>
    <x v="4"/>
    <x v="5"/>
    <x v="5"/>
    <x v="6"/>
    <x v="77"/>
    <x v="11"/>
    <x v="74"/>
    <x v="167"/>
    <x v="21"/>
    <x v="174"/>
    <x v="159"/>
    <x v="1"/>
    <x v="42"/>
    <x v="37"/>
    <x v="176"/>
    <x v="1"/>
    <x v="14"/>
    <x v="49"/>
  </r>
  <r>
    <x v="179"/>
    <x v="163"/>
    <x v="2"/>
    <x v="7"/>
    <x v="7"/>
    <x v="7"/>
    <x v="9"/>
    <x v="7"/>
    <x v="64"/>
    <x v="168"/>
    <x v="148"/>
    <x v="13"/>
    <x v="160"/>
    <x v="1"/>
    <x v="51"/>
    <x v="119"/>
    <x v="177"/>
    <x v="2"/>
    <x v="6"/>
    <x v="0"/>
  </r>
  <r>
    <x v="180"/>
    <x v="164"/>
    <x v="3"/>
    <x v="1"/>
    <x v="1"/>
    <x v="12"/>
    <x v="136"/>
    <x v="13"/>
    <x v="54"/>
    <x v="169"/>
    <x v="149"/>
    <x v="175"/>
    <x v="161"/>
    <x v="1"/>
    <x v="77"/>
    <x v="120"/>
    <x v="178"/>
    <x v="0"/>
    <x v="29"/>
    <x v="0"/>
  </r>
  <r>
    <x v="181"/>
    <x v="165"/>
    <x v="3"/>
    <x v="0"/>
    <x v="0"/>
    <x v="13"/>
    <x v="102"/>
    <x v="14"/>
    <x v="83"/>
    <x v="170"/>
    <x v="150"/>
    <x v="176"/>
    <x v="162"/>
    <x v="3"/>
    <x v="22"/>
    <x v="97"/>
    <x v="179"/>
    <x v="0"/>
    <x v="23"/>
    <x v="0"/>
  </r>
  <r>
    <x v="182"/>
    <x v="166"/>
    <x v="6"/>
    <x v="3"/>
    <x v="3"/>
    <x v="4"/>
    <x v="137"/>
    <x v="4"/>
    <x v="61"/>
    <x v="152"/>
    <x v="151"/>
    <x v="177"/>
    <x v="163"/>
    <x v="2"/>
    <x v="76"/>
    <x v="121"/>
    <x v="180"/>
    <x v="1"/>
    <x v="25"/>
    <x v="50"/>
  </r>
  <r>
    <x v="183"/>
    <x v="167"/>
    <x v="7"/>
    <x v="1"/>
    <x v="1"/>
    <x v="8"/>
    <x v="12"/>
    <x v="8"/>
    <x v="2"/>
    <x v="80"/>
    <x v="152"/>
    <x v="178"/>
    <x v="164"/>
    <x v="0"/>
    <x v="131"/>
    <x v="96"/>
    <x v="181"/>
    <x v="0"/>
    <x v="35"/>
    <x v="0"/>
  </r>
  <r>
    <x v="184"/>
    <x v="168"/>
    <x v="0"/>
    <x v="13"/>
    <x v="13"/>
    <x v="8"/>
    <x v="138"/>
    <x v="8"/>
    <x v="50"/>
    <x v="171"/>
    <x v="153"/>
    <x v="179"/>
    <x v="165"/>
    <x v="2"/>
    <x v="18"/>
    <x v="67"/>
    <x v="182"/>
    <x v="2"/>
    <x v="2"/>
    <x v="0"/>
  </r>
  <r>
    <x v="185"/>
    <x v="169"/>
    <x v="2"/>
    <x v="17"/>
    <x v="17"/>
    <x v="2"/>
    <x v="139"/>
    <x v="2"/>
    <x v="73"/>
    <x v="172"/>
    <x v="154"/>
    <x v="180"/>
    <x v="166"/>
    <x v="1"/>
    <x v="22"/>
    <x v="122"/>
    <x v="183"/>
    <x v="0"/>
    <x v="11"/>
    <x v="0"/>
  </r>
  <r>
    <x v="186"/>
    <x v="170"/>
    <x v="6"/>
    <x v="11"/>
    <x v="11"/>
    <x v="6"/>
    <x v="140"/>
    <x v="6"/>
    <x v="33"/>
    <x v="117"/>
    <x v="38"/>
    <x v="181"/>
    <x v="167"/>
    <x v="2"/>
    <x v="132"/>
    <x v="97"/>
    <x v="184"/>
    <x v="0"/>
    <x v="30"/>
    <x v="0"/>
  </r>
  <r>
    <x v="187"/>
    <x v="171"/>
    <x v="6"/>
    <x v="5"/>
    <x v="5"/>
    <x v="6"/>
    <x v="77"/>
    <x v="11"/>
    <x v="29"/>
    <x v="173"/>
    <x v="155"/>
    <x v="182"/>
    <x v="168"/>
    <x v="0"/>
    <x v="25"/>
    <x v="81"/>
    <x v="185"/>
    <x v="1"/>
    <x v="34"/>
    <x v="51"/>
  </r>
  <r>
    <x v="188"/>
    <x v="172"/>
    <x v="6"/>
    <x v="18"/>
    <x v="18"/>
    <x v="18"/>
    <x v="141"/>
    <x v="19"/>
    <x v="45"/>
    <x v="174"/>
    <x v="13"/>
    <x v="183"/>
    <x v="169"/>
    <x v="2"/>
    <x v="20"/>
    <x v="123"/>
    <x v="186"/>
    <x v="0"/>
    <x v="24"/>
    <x v="0"/>
  </r>
  <r>
    <x v="189"/>
    <x v="173"/>
    <x v="1"/>
    <x v="7"/>
    <x v="7"/>
    <x v="0"/>
    <x v="142"/>
    <x v="0"/>
    <x v="71"/>
    <x v="175"/>
    <x v="156"/>
    <x v="184"/>
    <x v="170"/>
    <x v="0"/>
    <x v="133"/>
    <x v="56"/>
    <x v="187"/>
    <x v="0"/>
    <x v="10"/>
    <x v="0"/>
  </r>
  <r>
    <x v="190"/>
    <x v="174"/>
    <x v="6"/>
    <x v="16"/>
    <x v="16"/>
    <x v="16"/>
    <x v="143"/>
    <x v="17"/>
    <x v="41"/>
    <x v="176"/>
    <x v="157"/>
    <x v="185"/>
    <x v="171"/>
    <x v="1"/>
    <x v="134"/>
    <x v="14"/>
    <x v="188"/>
    <x v="0"/>
    <x v="9"/>
    <x v="0"/>
  </r>
  <r>
    <x v="191"/>
    <x v="175"/>
    <x v="3"/>
    <x v="15"/>
    <x v="15"/>
    <x v="11"/>
    <x v="144"/>
    <x v="12"/>
    <x v="67"/>
    <x v="79"/>
    <x v="143"/>
    <x v="186"/>
    <x v="172"/>
    <x v="2"/>
    <x v="4"/>
    <x v="124"/>
    <x v="189"/>
    <x v="1"/>
    <x v="24"/>
    <x v="52"/>
  </r>
  <r>
    <x v="192"/>
    <x v="176"/>
    <x v="7"/>
    <x v="6"/>
    <x v="6"/>
    <x v="9"/>
    <x v="19"/>
    <x v="9"/>
    <x v="66"/>
    <x v="177"/>
    <x v="48"/>
    <x v="187"/>
    <x v="173"/>
    <x v="0"/>
    <x v="1"/>
    <x v="51"/>
    <x v="190"/>
    <x v="0"/>
    <x v="8"/>
    <x v="0"/>
  </r>
  <r>
    <x v="193"/>
    <x v="177"/>
    <x v="0"/>
    <x v="4"/>
    <x v="4"/>
    <x v="4"/>
    <x v="4"/>
    <x v="4"/>
    <x v="22"/>
    <x v="178"/>
    <x v="158"/>
    <x v="188"/>
    <x v="174"/>
    <x v="0"/>
    <x v="129"/>
    <x v="34"/>
    <x v="191"/>
    <x v="0"/>
    <x v="7"/>
    <x v="0"/>
  </r>
  <r>
    <x v="194"/>
    <x v="178"/>
    <x v="2"/>
    <x v="11"/>
    <x v="11"/>
    <x v="9"/>
    <x v="30"/>
    <x v="9"/>
    <x v="30"/>
    <x v="179"/>
    <x v="159"/>
    <x v="189"/>
    <x v="15"/>
    <x v="1"/>
    <x v="66"/>
    <x v="34"/>
    <x v="192"/>
    <x v="0"/>
    <x v="33"/>
    <x v="0"/>
  </r>
  <r>
    <x v="195"/>
    <x v="179"/>
    <x v="7"/>
    <x v="15"/>
    <x v="15"/>
    <x v="1"/>
    <x v="33"/>
    <x v="1"/>
    <x v="82"/>
    <x v="180"/>
    <x v="29"/>
    <x v="190"/>
    <x v="175"/>
    <x v="0"/>
    <x v="129"/>
    <x v="19"/>
    <x v="193"/>
    <x v="0"/>
    <x v="2"/>
    <x v="0"/>
  </r>
  <r>
    <x v="196"/>
    <x v="180"/>
    <x v="7"/>
    <x v="5"/>
    <x v="5"/>
    <x v="3"/>
    <x v="145"/>
    <x v="3"/>
    <x v="63"/>
    <x v="181"/>
    <x v="112"/>
    <x v="191"/>
    <x v="176"/>
    <x v="2"/>
    <x v="135"/>
    <x v="74"/>
    <x v="194"/>
    <x v="0"/>
    <x v="22"/>
    <x v="0"/>
  </r>
  <r>
    <x v="197"/>
    <x v="181"/>
    <x v="0"/>
    <x v="4"/>
    <x v="4"/>
    <x v="10"/>
    <x v="104"/>
    <x v="10"/>
    <x v="64"/>
    <x v="182"/>
    <x v="160"/>
    <x v="192"/>
    <x v="177"/>
    <x v="2"/>
    <x v="136"/>
    <x v="89"/>
    <x v="195"/>
    <x v="0"/>
    <x v="34"/>
    <x v="0"/>
  </r>
  <r>
    <x v="198"/>
    <x v="182"/>
    <x v="2"/>
    <x v="4"/>
    <x v="19"/>
    <x v="16"/>
    <x v="146"/>
    <x v="17"/>
    <x v="84"/>
    <x v="183"/>
    <x v="61"/>
    <x v="193"/>
    <x v="178"/>
    <x v="0"/>
    <x v="137"/>
    <x v="125"/>
    <x v="196"/>
    <x v="0"/>
    <x v="19"/>
    <x v="0"/>
  </r>
  <r>
    <x v="199"/>
    <x v="183"/>
    <x v="7"/>
    <x v="13"/>
    <x v="13"/>
    <x v="8"/>
    <x v="138"/>
    <x v="8"/>
    <x v="80"/>
    <x v="184"/>
    <x v="29"/>
    <x v="194"/>
    <x v="179"/>
    <x v="2"/>
    <x v="138"/>
    <x v="126"/>
    <x v="197"/>
    <x v="1"/>
    <x v="34"/>
    <x v="28"/>
  </r>
  <r>
    <x v="200"/>
    <x v="184"/>
    <x v="7"/>
    <x v="2"/>
    <x v="2"/>
    <x v="8"/>
    <x v="147"/>
    <x v="8"/>
    <x v="60"/>
    <x v="185"/>
    <x v="71"/>
    <x v="195"/>
    <x v="180"/>
    <x v="0"/>
    <x v="139"/>
    <x v="81"/>
    <x v="198"/>
    <x v="0"/>
    <x v="34"/>
    <x v="0"/>
  </r>
  <r>
    <x v="201"/>
    <x v="165"/>
    <x v="0"/>
    <x v="14"/>
    <x v="14"/>
    <x v="2"/>
    <x v="32"/>
    <x v="2"/>
    <x v="61"/>
    <x v="124"/>
    <x v="161"/>
    <x v="196"/>
    <x v="181"/>
    <x v="0"/>
    <x v="140"/>
    <x v="86"/>
    <x v="199"/>
    <x v="0"/>
    <x v="23"/>
    <x v="0"/>
  </r>
  <r>
    <x v="202"/>
    <x v="185"/>
    <x v="6"/>
    <x v="6"/>
    <x v="6"/>
    <x v="0"/>
    <x v="148"/>
    <x v="0"/>
    <x v="28"/>
    <x v="186"/>
    <x v="162"/>
    <x v="197"/>
    <x v="182"/>
    <x v="0"/>
    <x v="4"/>
    <x v="92"/>
    <x v="200"/>
    <x v="1"/>
    <x v="2"/>
    <x v="53"/>
  </r>
  <r>
    <x v="203"/>
    <x v="22"/>
    <x v="5"/>
    <x v="4"/>
    <x v="4"/>
    <x v="11"/>
    <x v="31"/>
    <x v="12"/>
    <x v="8"/>
    <x v="187"/>
    <x v="163"/>
    <x v="198"/>
    <x v="183"/>
    <x v="1"/>
    <x v="141"/>
    <x v="24"/>
    <x v="201"/>
    <x v="0"/>
    <x v="10"/>
    <x v="0"/>
  </r>
  <r>
    <x v="204"/>
    <x v="186"/>
    <x v="7"/>
    <x v="16"/>
    <x v="16"/>
    <x v="18"/>
    <x v="109"/>
    <x v="19"/>
    <x v="53"/>
    <x v="188"/>
    <x v="164"/>
    <x v="199"/>
    <x v="184"/>
    <x v="1"/>
    <x v="142"/>
    <x v="127"/>
    <x v="202"/>
    <x v="0"/>
    <x v="12"/>
    <x v="0"/>
  </r>
  <r>
    <x v="205"/>
    <x v="187"/>
    <x v="0"/>
    <x v="4"/>
    <x v="4"/>
    <x v="5"/>
    <x v="149"/>
    <x v="5"/>
    <x v="74"/>
    <x v="49"/>
    <x v="165"/>
    <x v="200"/>
    <x v="185"/>
    <x v="1"/>
    <x v="66"/>
    <x v="128"/>
    <x v="203"/>
    <x v="0"/>
    <x v="1"/>
    <x v="0"/>
  </r>
  <r>
    <x v="206"/>
    <x v="96"/>
    <x v="1"/>
    <x v="4"/>
    <x v="19"/>
    <x v="9"/>
    <x v="150"/>
    <x v="9"/>
    <x v="10"/>
    <x v="189"/>
    <x v="166"/>
    <x v="124"/>
    <x v="186"/>
    <x v="1"/>
    <x v="143"/>
    <x v="101"/>
    <x v="204"/>
    <x v="0"/>
    <x v="34"/>
    <x v="0"/>
  </r>
  <r>
    <x v="207"/>
    <x v="188"/>
    <x v="7"/>
    <x v="17"/>
    <x v="17"/>
    <x v="11"/>
    <x v="151"/>
    <x v="12"/>
    <x v="35"/>
    <x v="190"/>
    <x v="167"/>
    <x v="201"/>
    <x v="187"/>
    <x v="0"/>
    <x v="8"/>
    <x v="57"/>
    <x v="205"/>
    <x v="0"/>
    <x v="19"/>
    <x v="0"/>
  </r>
  <r>
    <x v="208"/>
    <x v="189"/>
    <x v="6"/>
    <x v="14"/>
    <x v="14"/>
    <x v="17"/>
    <x v="62"/>
    <x v="18"/>
    <x v="45"/>
    <x v="191"/>
    <x v="97"/>
    <x v="29"/>
    <x v="188"/>
    <x v="1"/>
    <x v="29"/>
    <x v="85"/>
    <x v="206"/>
    <x v="0"/>
    <x v="28"/>
    <x v="0"/>
  </r>
  <r>
    <x v="209"/>
    <x v="190"/>
    <x v="3"/>
    <x v="8"/>
    <x v="8"/>
    <x v="18"/>
    <x v="152"/>
    <x v="19"/>
    <x v="69"/>
    <x v="192"/>
    <x v="168"/>
    <x v="202"/>
    <x v="189"/>
    <x v="1"/>
    <x v="144"/>
    <x v="110"/>
    <x v="207"/>
    <x v="0"/>
    <x v="6"/>
    <x v="0"/>
  </r>
  <r>
    <x v="210"/>
    <x v="191"/>
    <x v="1"/>
    <x v="12"/>
    <x v="12"/>
    <x v="10"/>
    <x v="153"/>
    <x v="10"/>
    <x v="70"/>
    <x v="193"/>
    <x v="33"/>
    <x v="203"/>
    <x v="190"/>
    <x v="2"/>
    <x v="90"/>
    <x v="38"/>
    <x v="208"/>
    <x v="0"/>
    <x v="35"/>
    <x v="0"/>
  </r>
  <r>
    <x v="211"/>
    <x v="192"/>
    <x v="6"/>
    <x v="18"/>
    <x v="18"/>
    <x v="7"/>
    <x v="154"/>
    <x v="7"/>
    <x v="45"/>
    <x v="5"/>
    <x v="169"/>
    <x v="204"/>
    <x v="191"/>
    <x v="1"/>
    <x v="22"/>
    <x v="10"/>
    <x v="209"/>
    <x v="1"/>
    <x v="21"/>
    <x v="2"/>
  </r>
  <r>
    <x v="212"/>
    <x v="193"/>
    <x v="5"/>
    <x v="16"/>
    <x v="16"/>
    <x v="9"/>
    <x v="155"/>
    <x v="9"/>
    <x v="51"/>
    <x v="194"/>
    <x v="170"/>
    <x v="205"/>
    <x v="192"/>
    <x v="3"/>
    <x v="145"/>
    <x v="38"/>
    <x v="210"/>
    <x v="0"/>
    <x v="11"/>
    <x v="0"/>
  </r>
  <r>
    <x v="213"/>
    <x v="194"/>
    <x v="5"/>
    <x v="14"/>
    <x v="14"/>
    <x v="3"/>
    <x v="156"/>
    <x v="3"/>
    <x v="32"/>
    <x v="195"/>
    <x v="171"/>
    <x v="206"/>
    <x v="193"/>
    <x v="0"/>
    <x v="146"/>
    <x v="129"/>
    <x v="211"/>
    <x v="0"/>
    <x v="3"/>
    <x v="0"/>
  </r>
  <r>
    <x v="214"/>
    <x v="195"/>
    <x v="4"/>
    <x v="14"/>
    <x v="14"/>
    <x v="12"/>
    <x v="157"/>
    <x v="13"/>
    <x v="62"/>
    <x v="196"/>
    <x v="172"/>
    <x v="207"/>
    <x v="194"/>
    <x v="0"/>
    <x v="147"/>
    <x v="70"/>
    <x v="212"/>
    <x v="0"/>
    <x v="8"/>
    <x v="0"/>
  </r>
  <r>
    <x v="215"/>
    <x v="196"/>
    <x v="2"/>
    <x v="7"/>
    <x v="7"/>
    <x v="7"/>
    <x v="9"/>
    <x v="7"/>
    <x v="4"/>
    <x v="197"/>
    <x v="173"/>
    <x v="208"/>
    <x v="195"/>
    <x v="1"/>
    <x v="148"/>
    <x v="92"/>
    <x v="213"/>
    <x v="0"/>
    <x v="33"/>
    <x v="0"/>
  </r>
  <r>
    <x v="216"/>
    <x v="95"/>
    <x v="2"/>
    <x v="8"/>
    <x v="8"/>
    <x v="18"/>
    <x v="152"/>
    <x v="19"/>
    <x v="66"/>
    <x v="198"/>
    <x v="174"/>
    <x v="209"/>
    <x v="196"/>
    <x v="2"/>
    <x v="102"/>
    <x v="54"/>
    <x v="214"/>
    <x v="0"/>
    <x v="30"/>
    <x v="0"/>
  </r>
  <r>
    <x v="217"/>
    <x v="23"/>
    <x v="0"/>
    <x v="14"/>
    <x v="14"/>
    <x v="12"/>
    <x v="157"/>
    <x v="13"/>
    <x v="85"/>
    <x v="142"/>
    <x v="71"/>
    <x v="210"/>
    <x v="197"/>
    <x v="0"/>
    <x v="36"/>
    <x v="130"/>
    <x v="215"/>
    <x v="0"/>
    <x v="17"/>
    <x v="0"/>
  </r>
  <r>
    <x v="218"/>
    <x v="158"/>
    <x v="2"/>
    <x v="13"/>
    <x v="13"/>
    <x v="10"/>
    <x v="46"/>
    <x v="10"/>
    <x v="66"/>
    <x v="108"/>
    <x v="175"/>
    <x v="211"/>
    <x v="198"/>
    <x v="0"/>
    <x v="149"/>
    <x v="86"/>
    <x v="216"/>
    <x v="0"/>
    <x v="20"/>
    <x v="0"/>
  </r>
  <r>
    <x v="219"/>
    <x v="197"/>
    <x v="6"/>
    <x v="4"/>
    <x v="19"/>
    <x v="10"/>
    <x v="104"/>
    <x v="10"/>
    <x v="63"/>
    <x v="199"/>
    <x v="176"/>
    <x v="212"/>
    <x v="199"/>
    <x v="0"/>
    <x v="125"/>
    <x v="10"/>
    <x v="217"/>
    <x v="0"/>
    <x v="28"/>
    <x v="0"/>
  </r>
  <r>
    <x v="220"/>
    <x v="198"/>
    <x v="2"/>
    <x v="12"/>
    <x v="12"/>
    <x v="13"/>
    <x v="158"/>
    <x v="14"/>
    <x v="17"/>
    <x v="200"/>
    <x v="177"/>
    <x v="213"/>
    <x v="200"/>
    <x v="0"/>
    <x v="134"/>
    <x v="131"/>
    <x v="218"/>
    <x v="0"/>
    <x v="26"/>
    <x v="0"/>
  </r>
  <r>
    <x v="221"/>
    <x v="103"/>
    <x v="2"/>
    <x v="5"/>
    <x v="5"/>
    <x v="7"/>
    <x v="159"/>
    <x v="7"/>
    <x v="69"/>
    <x v="201"/>
    <x v="178"/>
    <x v="214"/>
    <x v="201"/>
    <x v="0"/>
    <x v="150"/>
    <x v="37"/>
    <x v="219"/>
    <x v="0"/>
    <x v="0"/>
    <x v="0"/>
  </r>
  <r>
    <x v="222"/>
    <x v="199"/>
    <x v="7"/>
    <x v="14"/>
    <x v="14"/>
    <x v="13"/>
    <x v="160"/>
    <x v="14"/>
    <x v="86"/>
    <x v="202"/>
    <x v="36"/>
    <x v="215"/>
    <x v="202"/>
    <x v="2"/>
    <x v="151"/>
    <x v="132"/>
    <x v="220"/>
    <x v="0"/>
    <x v="10"/>
    <x v="0"/>
  </r>
  <r>
    <x v="223"/>
    <x v="200"/>
    <x v="3"/>
    <x v="13"/>
    <x v="13"/>
    <x v="17"/>
    <x v="161"/>
    <x v="18"/>
    <x v="49"/>
    <x v="203"/>
    <x v="122"/>
    <x v="216"/>
    <x v="203"/>
    <x v="1"/>
    <x v="152"/>
    <x v="133"/>
    <x v="221"/>
    <x v="1"/>
    <x v="16"/>
    <x v="0"/>
  </r>
  <r>
    <x v="224"/>
    <x v="41"/>
    <x v="3"/>
    <x v="18"/>
    <x v="18"/>
    <x v="10"/>
    <x v="162"/>
    <x v="10"/>
    <x v="67"/>
    <x v="204"/>
    <x v="169"/>
    <x v="217"/>
    <x v="204"/>
    <x v="3"/>
    <x v="153"/>
    <x v="39"/>
    <x v="222"/>
    <x v="0"/>
    <x v="16"/>
    <x v="0"/>
  </r>
  <r>
    <x v="225"/>
    <x v="201"/>
    <x v="1"/>
    <x v="8"/>
    <x v="8"/>
    <x v="4"/>
    <x v="163"/>
    <x v="4"/>
    <x v="57"/>
    <x v="24"/>
    <x v="179"/>
    <x v="218"/>
    <x v="205"/>
    <x v="1"/>
    <x v="89"/>
    <x v="134"/>
    <x v="223"/>
    <x v="1"/>
    <x v="25"/>
    <x v="54"/>
  </r>
  <r>
    <x v="226"/>
    <x v="202"/>
    <x v="5"/>
    <x v="4"/>
    <x v="19"/>
    <x v="16"/>
    <x v="146"/>
    <x v="17"/>
    <x v="44"/>
    <x v="45"/>
    <x v="180"/>
    <x v="219"/>
    <x v="206"/>
    <x v="1"/>
    <x v="1"/>
    <x v="118"/>
    <x v="224"/>
    <x v="2"/>
    <x v="9"/>
    <x v="0"/>
  </r>
  <r>
    <x v="227"/>
    <x v="203"/>
    <x v="1"/>
    <x v="8"/>
    <x v="8"/>
    <x v="4"/>
    <x v="163"/>
    <x v="4"/>
    <x v="52"/>
    <x v="205"/>
    <x v="181"/>
    <x v="220"/>
    <x v="207"/>
    <x v="2"/>
    <x v="73"/>
    <x v="65"/>
    <x v="225"/>
    <x v="0"/>
    <x v="1"/>
    <x v="0"/>
  </r>
  <r>
    <x v="228"/>
    <x v="204"/>
    <x v="4"/>
    <x v="2"/>
    <x v="2"/>
    <x v="15"/>
    <x v="164"/>
    <x v="16"/>
    <x v="87"/>
    <x v="206"/>
    <x v="19"/>
    <x v="221"/>
    <x v="208"/>
    <x v="1"/>
    <x v="154"/>
    <x v="6"/>
    <x v="226"/>
    <x v="0"/>
    <x v="23"/>
    <x v="0"/>
  </r>
  <r>
    <x v="229"/>
    <x v="205"/>
    <x v="7"/>
    <x v="4"/>
    <x v="19"/>
    <x v="3"/>
    <x v="24"/>
    <x v="3"/>
    <x v="84"/>
    <x v="129"/>
    <x v="182"/>
    <x v="222"/>
    <x v="209"/>
    <x v="1"/>
    <x v="62"/>
    <x v="87"/>
    <x v="227"/>
    <x v="1"/>
    <x v="27"/>
    <x v="55"/>
  </r>
  <r>
    <x v="230"/>
    <x v="206"/>
    <x v="3"/>
    <x v="12"/>
    <x v="12"/>
    <x v="0"/>
    <x v="165"/>
    <x v="0"/>
    <x v="30"/>
    <x v="178"/>
    <x v="51"/>
    <x v="64"/>
    <x v="210"/>
    <x v="1"/>
    <x v="8"/>
    <x v="135"/>
    <x v="228"/>
    <x v="0"/>
    <x v="10"/>
    <x v="0"/>
  </r>
  <r>
    <x v="231"/>
    <x v="104"/>
    <x v="5"/>
    <x v="7"/>
    <x v="7"/>
    <x v="1"/>
    <x v="166"/>
    <x v="1"/>
    <x v="16"/>
    <x v="207"/>
    <x v="120"/>
    <x v="223"/>
    <x v="211"/>
    <x v="1"/>
    <x v="155"/>
    <x v="136"/>
    <x v="229"/>
    <x v="1"/>
    <x v="34"/>
    <x v="56"/>
  </r>
  <r>
    <x v="232"/>
    <x v="207"/>
    <x v="2"/>
    <x v="4"/>
    <x v="4"/>
    <x v="6"/>
    <x v="167"/>
    <x v="6"/>
    <x v="42"/>
    <x v="208"/>
    <x v="183"/>
    <x v="224"/>
    <x v="212"/>
    <x v="1"/>
    <x v="156"/>
    <x v="124"/>
    <x v="230"/>
    <x v="0"/>
    <x v="33"/>
    <x v="0"/>
  </r>
  <r>
    <x v="233"/>
    <x v="208"/>
    <x v="6"/>
    <x v="12"/>
    <x v="12"/>
    <x v="4"/>
    <x v="168"/>
    <x v="4"/>
    <x v="88"/>
    <x v="209"/>
    <x v="153"/>
    <x v="158"/>
    <x v="213"/>
    <x v="2"/>
    <x v="102"/>
    <x v="137"/>
    <x v="231"/>
    <x v="0"/>
    <x v="13"/>
    <x v="0"/>
  </r>
  <r>
    <x v="234"/>
    <x v="209"/>
    <x v="1"/>
    <x v="9"/>
    <x v="9"/>
    <x v="14"/>
    <x v="169"/>
    <x v="15"/>
    <x v="89"/>
    <x v="210"/>
    <x v="184"/>
    <x v="225"/>
    <x v="214"/>
    <x v="2"/>
    <x v="112"/>
    <x v="39"/>
    <x v="232"/>
    <x v="0"/>
    <x v="6"/>
    <x v="0"/>
  </r>
  <r>
    <x v="235"/>
    <x v="210"/>
    <x v="1"/>
    <x v="17"/>
    <x v="17"/>
    <x v="6"/>
    <x v="132"/>
    <x v="11"/>
    <x v="72"/>
    <x v="211"/>
    <x v="185"/>
    <x v="226"/>
    <x v="215"/>
    <x v="2"/>
    <x v="90"/>
    <x v="74"/>
    <x v="233"/>
    <x v="0"/>
    <x v="17"/>
    <x v="0"/>
  </r>
  <r>
    <x v="236"/>
    <x v="130"/>
    <x v="0"/>
    <x v="15"/>
    <x v="15"/>
    <x v="18"/>
    <x v="170"/>
    <x v="19"/>
    <x v="58"/>
    <x v="212"/>
    <x v="120"/>
    <x v="227"/>
    <x v="216"/>
    <x v="2"/>
    <x v="32"/>
    <x v="119"/>
    <x v="234"/>
    <x v="1"/>
    <x v="19"/>
    <x v="57"/>
  </r>
  <r>
    <x v="237"/>
    <x v="187"/>
    <x v="2"/>
    <x v="5"/>
    <x v="5"/>
    <x v="11"/>
    <x v="171"/>
    <x v="12"/>
    <x v="8"/>
    <x v="30"/>
    <x v="41"/>
    <x v="228"/>
    <x v="217"/>
    <x v="0"/>
    <x v="70"/>
    <x v="138"/>
    <x v="235"/>
    <x v="0"/>
    <x v="1"/>
    <x v="0"/>
  </r>
  <r>
    <x v="238"/>
    <x v="211"/>
    <x v="3"/>
    <x v="16"/>
    <x v="16"/>
    <x v="18"/>
    <x v="109"/>
    <x v="19"/>
    <x v="50"/>
    <x v="213"/>
    <x v="74"/>
    <x v="229"/>
    <x v="218"/>
    <x v="0"/>
    <x v="157"/>
    <x v="98"/>
    <x v="236"/>
    <x v="1"/>
    <x v="12"/>
    <x v="58"/>
  </r>
  <r>
    <x v="239"/>
    <x v="151"/>
    <x v="3"/>
    <x v="14"/>
    <x v="14"/>
    <x v="8"/>
    <x v="172"/>
    <x v="8"/>
    <x v="41"/>
    <x v="214"/>
    <x v="91"/>
    <x v="230"/>
    <x v="219"/>
    <x v="2"/>
    <x v="158"/>
    <x v="15"/>
    <x v="237"/>
    <x v="0"/>
    <x v="1"/>
    <x v="0"/>
  </r>
  <r>
    <x v="240"/>
    <x v="212"/>
    <x v="7"/>
    <x v="15"/>
    <x v="15"/>
    <x v="14"/>
    <x v="173"/>
    <x v="15"/>
    <x v="87"/>
    <x v="215"/>
    <x v="186"/>
    <x v="231"/>
    <x v="220"/>
    <x v="2"/>
    <x v="111"/>
    <x v="139"/>
    <x v="238"/>
    <x v="1"/>
    <x v="10"/>
    <x v="59"/>
  </r>
  <r>
    <x v="241"/>
    <x v="213"/>
    <x v="4"/>
    <x v="14"/>
    <x v="14"/>
    <x v="3"/>
    <x v="156"/>
    <x v="3"/>
    <x v="35"/>
    <x v="50"/>
    <x v="187"/>
    <x v="232"/>
    <x v="221"/>
    <x v="1"/>
    <x v="100"/>
    <x v="77"/>
    <x v="239"/>
    <x v="1"/>
    <x v="35"/>
    <x v="33"/>
  </r>
  <r>
    <x v="242"/>
    <x v="214"/>
    <x v="2"/>
    <x v="13"/>
    <x v="13"/>
    <x v="17"/>
    <x v="161"/>
    <x v="18"/>
    <x v="35"/>
    <x v="216"/>
    <x v="159"/>
    <x v="233"/>
    <x v="222"/>
    <x v="1"/>
    <x v="119"/>
    <x v="140"/>
    <x v="240"/>
    <x v="1"/>
    <x v="6"/>
    <x v="28"/>
  </r>
  <r>
    <x v="243"/>
    <x v="215"/>
    <x v="7"/>
    <x v="10"/>
    <x v="10"/>
    <x v="10"/>
    <x v="174"/>
    <x v="10"/>
    <x v="33"/>
    <x v="217"/>
    <x v="43"/>
    <x v="234"/>
    <x v="223"/>
    <x v="0"/>
    <x v="159"/>
    <x v="15"/>
    <x v="241"/>
    <x v="0"/>
    <x v="9"/>
    <x v="0"/>
  </r>
  <r>
    <x v="244"/>
    <x v="171"/>
    <x v="1"/>
    <x v="9"/>
    <x v="9"/>
    <x v="6"/>
    <x v="175"/>
    <x v="6"/>
    <x v="37"/>
    <x v="73"/>
    <x v="188"/>
    <x v="235"/>
    <x v="224"/>
    <x v="0"/>
    <x v="9"/>
    <x v="141"/>
    <x v="242"/>
    <x v="0"/>
    <x v="34"/>
    <x v="0"/>
  </r>
  <r>
    <x v="245"/>
    <x v="216"/>
    <x v="1"/>
    <x v="11"/>
    <x v="11"/>
    <x v="3"/>
    <x v="15"/>
    <x v="3"/>
    <x v="25"/>
    <x v="218"/>
    <x v="189"/>
    <x v="96"/>
    <x v="225"/>
    <x v="2"/>
    <x v="88"/>
    <x v="142"/>
    <x v="243"/>
    <x v="0"/>
    <x v="19"/>
    <x v="0"/>
  </r>
  <r>
    <x v="246"/>
    <x v="111"/>
    <x v="0"/>
    <x v="2"/>
    <x v="2"/>
    <x v="9"/>
    <x v="176"/>
    <x v="9"/>
    <x v="23"/>
    <x v="219"/>
    <x v="171"/>
    <x v="236"/>
    <x v="226"/>
    <x v="1"/>
    <x v="160"/>
    <x v="143"/>
    <x v="244"/>
    <x v="0"/>
    <x v="30"/>
    <x v="0"/>
  </r>
  <r>
    <x v="247"/>
    <x v="217"/>
    <x v="2"/>
    <x v="17"/>
    <x v="17"/>
    <x v="3"/>
    <x v="177"/>
    <x v="3"/>
    <x v="84"/>
    <x v="137"/>
    <x v="177"/>
    <x v="237"/>
    <x v="227"/>
    <x v="1"/>
    <x v="38"/>
    <x v="113"/>
    <x v="245"/>
    <x v="0"/>
    <x v="25"/>
    <x v="0"/>
  </r>
  <r>
    <x v="248"/>
    <x v="218"/>
    <x v="3"/>
    <x v="5"/>
    <x v="5"/>
    <x v="17"/>
    <x v="178"/>
    <x v="18"/>
    <x v="53"/>
    <x v="220"/>
    <x v="136"/>
    <x v="238"/>
    <x v="228"/>
    <x v="0"/>
    <x v="161"/>
    <x v="21"/>
    <x v="246"/>
    <x v="1"/>
    <x v="35"/>
    <x v="60"/>
  </r>
  <r>
    <x v="249"/>
    <x v="219"/>
    <x v="0"/>
    <x v="6"/>
    <x v="6"/>
    <x v="18"/>
    <x v="179"/>
    <x v="19"/>
    <x v="42"/>
    <x v="221"/>
    <x v="29"/>
    <x v="239"/>
    <x v="229"/>
    <x v="0"/>
    <x v="87"/>
    <x v="144"/>
    <x v="247"/>
    <x v="0"/>
    <x v="10"/>
    <x v="0"/>
  </r>
  <r>
    <x v="250"/>
    <x v="36"/>
    <x v="1"/>
    <x v="17"/>
    <x v="17"/>
    <x v="14"/>
    <x v="180"/>
    <x v="15"/>
    <x v="53"/>
    <x v="222"/>
    <x v="190"/>
    <x v="114"/>
    <x v="230"/>
    <x v="0"/>
    <x v="162"/>
    <x v="97"/>
    <x v="248"/>
    <x v="0"/>
    <x v="5"/>
    <x v="0"/>
  </r>
  <r>
    <x v="251"/>
    <x v="220"/>
    <x v="0"/>
    <x v="7"/>
    <x v="7"/>
    <x v="6"/>
    <x v="181"/>
    <x v="11"/>
    <x v="52"/>
    <x v="129"/>
    <x v="191"/>
    <x v="240"/>
    <x v="231"/>
    <x v="1"/>
    <x v="163"/>
    <x v="145"/>
    <x v="249"/>
    <x v="0"/>
    <x v="9"/>
    <x v="0"/>
  </r>
  <r>
    <x v="252"/>
    <x v="221"/>
    <x v="1"/>
    <x v="16"/>
    <x v="16"/>
    <x v="18"/>
    <x v="109"/>
    <x v="19"/>
    <x v="51"/>
    <x v="223"/>
    <x v="192"/>
    <x v="80"/>
    <x v="232"/>
    <x v="2"/>
    <x v="129"/>
    <x v="136"/>
    <x v="250"/>
    <x v="2"/>
    <x v="17"/>
    <x v="0"/>
  </r>
  <r>
    <x v="253"/>
    <x v="222"/>
    <x v="1"/>
    <x v="13"/>
    <x v="13"/>
    <x v="18"/>
    <x v="182"/>
    <x v="19"/>
    <x v="78"/>
    <x v="224"/>
    <x v="193"/>
    <x v="241"/>
    <x v="233"/>
    <x v="1"/>
    <x v="45"/>
    <x v="99"/>
    <x v="251"/>
    <x v="0"/>
    <x v="21"/>
    <x v="0"/>
  </r>
  <r>
    <x v="254"/>
    <x v="223"/>
    <x v="1"/>
    <x v="17"/>
    <x v="17"/>
    <x v="9"/>
    <x v="183"/>
    <x v="9"/>
    <x v="90"/>
    <x v="225"/>
    <x v="163"/>
    <x v="242"/>
    <x v="234"/>
    <x v="2"/>
    <x v="96"/>
    <x v="146"/>
    <x v="252"/>
    <x v="0"/>
    <x v="22"/>
    <x v="0"/>
  </r>
  <r>
    <x v="255"/>
    <x v="224"/>
    <x v="6"/>
    <x v="4"/>
    <x v="4"/>
    <x v="8"/>
    <x v="133"/>
    <x v="8"/>
    <x v="14"/>
    <x v="226"/>
    <x v="194"/>
    <x v="243"/>
    <x v="235"/>
    <x v="0"/>
    <x v="127"/>
    <x v="118"/>
    <x v="210"/>
    <x v="1"/>
    <x v="11"/>
    <x v="55"/>
  </r>
  <r>
    <x v="256"/>
    <x v="225"/>
    <x v="7"/>
    <x v="0"/>
    <x v="0"/>
    <x v="18"/>
    <x v="184"/>
    <x v="19"/>
    <x v="77"/>
    <x v="227"/>
    <x v="195"/>
    <x v="244"/>
    <x v="236"/>
    <x v="2"/>
    <x v="71"/>
    <x v="147"/>
    <x v="253"/>
    <x v="0"/>
    <x v="32"/>
    <x v="0"/>
  </r>
  <r>
    <x v="257"/>
    <x v="226"/>
    <x v="3"/>
    <x v="14"/>
    <x v="14"/>
    <x v="13"/>
    <x v="160"/>
    <x v="14"/>
    <x v="91"/>
    <x v="228"/>
    <x v="196"/>
    <x v="245"/>
    <x v="237"/>
    <x v="1"/>
    <x v="98"/>
    <x v="24"/>
    <x v="254"/>
    <x v="0"/>
    <x v="0"/>
    <x v="0"/>
  </r>
  <r>
    <x v="258"/>
    <x v="227"/>
    <x v="7"/>
    <x v="14"/>
    <x v="14"/>
    <x v="6"/>
    <x v="54"/>
    <x v="11"/>
    <x v="89"/>
    <x v="229"/>
    <x v="176"/>
    <x v="246"/>
    <x v="238"/>
    <x v="1"/>
    <x v="69"/>
    <x v="2"/>
    <x v="255"/>
    <x v="1"/>
    <x v="4"/>
    <x v="61"/>
  </r>
  <r>
    <x v="259"/>
    <x v="228"/>
    <x v="0"/>
    <x v="8"/>
    <x v="8"/>
    <x v="3"/>
    <x v="185"/>
    <x v="3"/>
    <x v="11"/>
    <x v="230"/>
    <x v="175"/>
    <x v="247"/>
    <x v="239"/>
    <x v="0"/>
    <x v="158"/>
    <x v="86"/>
    <x v="256"/>
    <x v="0"/>
    <x v="29"/>
    <x v="0"/>
  </r>
  <r>
    <x v="260"/>
    <x v="229"/>
    <x v="5"/>
    <x v="15"/>
    <x v="15"/>
    <x v="6"/>
    <x v="81"/>
    <x v="11"/>
    <x v="0"/>
    <x v="231"/>
    <x v="197"/>
    <x v="248"/>
    <x v="240"/>
    <x v="0"/>
    <x v="164"/>
    <x v="89"/>
    <x v="257"/>
    <x v="0"/>
    <x v="30"/>
    <x v="0"/>
  </r>
  <r>
    <x v="261"/>
    <x v="230"/>
    <x v="5"/>
    <x v="15"/>
    <x v="15"/>
    <x v="16"/>
    <x v="186"/>
    <x v="17"/>
    <x v="18"/>
    <x v="232"/>
    <x v="124"/>
    <x v="249"/>
    <x v="241"/>
    <x v="1"/>
    <x v="165"/>
    <x v="140"/>
    <x v="258"/>
    <x v="2"/>
    <x v="18"/>
    <x v="0"/>
  </r>
  <r>
    <x v="262"/>
    <x v="138"/>
    <x v="3"/>
    <x v="4"/>
    <x v="19"/>
    <x v="10"/>
    <x v="104"/>
    <x v="10"/>
    <x v="41"/>
    <x v="233"/>
    <x v="198"/>
    <x v="250"/>
    <x v="242"/>
    <x v="1"/>
    <x v="93"/>
    <x v="148"/>
    <x v="259"/>
    <x v="0"/>
    <x v="14"/>
    <x v="0"/>
  </r>
  <r>
    <x v="263"/>
    <x v="231"/>
    <x v="7"/>
    <x v="0"/>
    <x v="0"/>
    <x v="7"/>
    <x v="39"/>
    <x v="7"/>
    <x v="68"/>
    <x v="234"/>
    <x v="126"/>
    <x v="251"/>
    <x v="243"/>
    <x v="0"/>
    <x v="109"/>
    <x v="111"/>
    <x v="260"/>
    <x v="0"/>
    <x v="26"/>
    <x v="0"/>
  </r>
  <r>
    <x v="264"/>
    <x v="232"/>
    <x v="0"/>
    <x v="4"/>
    <x v="4"/>
    <x v="11"/>
    <x v="31"/>
    <x v="12"/>
    <x v="42"/>
    <x v="235"/>
    <x v="92"/>
    <x v="252"/>
    <x v="244"/>
    <x v="0"/>
    <x v="158"/>
    <x v="18"/>
    <x v="261"/>
    <x v="2"/>
    <x v="16"/>
    <x v="0"/>
  </r>
  <r>
    <x v="265"/>
    <x v="233"/>
    <x v="4"/>
    <x v="5"/>
    <x v="5"/>
    <x v="9"/>
    <x v="187"/>
    <x v="9"/>
    <x v="67"/>
    <x v="236"/>
    <x v="173"/>
    <x v="253"/>
    <x v="245"/>
    <x v="1"/>
    <x v="166"/>
    <x v="145"/>
    <x v="262"/>
    <x v="0"/>
    <x v="21"/>
    <x v="0"/>
  </r>
  <r>
    <x v="266"/>
    <x v="234"/>
    <x v="0"/>
    <x v="0"/>
    <x v="0"/>
    <x v="4"/>
    <x v="26"/>
    <x v="4"/>
    <x v="49"/>
    <x v="237"/>
    <x v="199"/>
    <x v="254"/>
    <x v="246"/>
    <x v="2"/>
    <x v="158"/>
    <x v="32"/>
    <x v="263"/>
    <x v="0"/>
    <x v="24"/>
    <x v="0"/>
  </r>
  <r>
    <x v="267"/>
    <x v="235"/>
    <x v="0"/>
    <x v="1"/>
    <x v="1"/>
    <x v="8"/>
    <x v="12"/>
    <x v="8"/>
    <x v="77"/>
    <x v="151"/>
    <x v="58"/>
    <x v="255"/>
    <x v="247"/>
    <x v="1"/>
    <x v="44"/>
    <x v="24"/>
    <x v="264"/>
    <x v="1"/>
    <x v="22"/>
    <x v="62"/>
  </r>
  <r>
    <x v="268"/>
    <x v="236"/>
    <x v="3"/>
    <x v="4"/>
    <x v="19"/>
    <x v="13"/>
    <x v="100"/>
    <x v="14"/>
    <x v="49"/>
    <x v="122"/>
    <x v="75"/>
    <x v="256"/>
    <x v="248"/>
    <x v="2"/>
    <x v="167"/>
    <x v="90"/>
    <x v="265"/>
    <x v="0"/>
    <x v="23"/>
    <x v="0"/>
  </r>
  <r>
    <x v="269"/>
    <x v="180"/>
    <x v="6"/>
    <x v="15"/>
    <x v="15"/>
    <x v="18"/>
    <x v="170"/>
    <x v="19"/>
    <x v="69"/>
    <x v="33"/>
    <x v="83"/>
    <x v="257"/>
    <x v="249"/>
    <x v="1"/>
    <x v="127"/>
    <x v="21"/>
    <x v="266"/>
    <x v="0"/>
    <x v="22"/>
    <x v="0"/>
  </r>
  <r>
    <x v="270"/>
    <x v="95"/>
    <x v="5"/>
    <x v="10"/>
    <x v="10"/>
    <x v="18"/>
    <x v="96"/>
    <x v="19"/>
    <x v="34"/>
    <x v="238"/>
    <x v="176"/>
    <x v="258"/>
    <x v="250"/>
    <x v="1"/>
    <x v="24"/>
    <x v="149"/>
    <x v="267"/>
    <x v="0"/>
    <x v="30"/>
    <x v="0"/>
  </r>
  <r>
    <x v="271"/>
    <x v="237"/>
    <x v="4"/>
    <x v="6"/>
    <x v="6"/>
    <x v="14"/>
    <x v="188"/>
    <x v="15"/>
    <x v="89"/>
    <x v="239"/>
    <x v="200"/>
    <x v="259"/>
    <x v="251"/>
    <x v="1"/>
    <x v="168"/>
    <x v="79"/>
    <x v="268"/>
    <x v="0"/>
    <x v="20"/>
    <x v="0"/>
  </r>
  <r>
    <x v="272"/>
    <x v="238"/>
    <x v="4"/>
    <x v="4"/>
    <x v="19"/>
    <x v="4"/>
    <x v="4"/>
    <x v="4"/>
    <x v="89"/>
    <x v="240"/>
    <x v="201"/>
    <x v="260"/>
    <x v="252"/>
    <x v="2"/>
    <x v="169"/>
    <x v="150"/>
    <x v="269"/>
    <x v="0"/>
    <x v="12"/>
    <x v="0"/>
  </r>
  <r>
    <x v="273"/>
    <x v="239"/>
    <x v="1"/>
    <x v="5"/>
    <x v="5"/>
    <x v="14"/>
    <x v="189"/>
    <x v="15"/>
    <x v="11"/>
    <x v="241"/>
    <x v="202"/>
    <x v="261"/>
    <x v="253"/>
    <x v="1"/>
    <x v="17"/>
    <x v="24"/>
    <x v="270"/>
    <x v="0"/>
    <x v="34"/>
    <x v="0"/>
  </r>
  <r>
    <x v="274"/>
    <x v="206"/>
    <x v="5"/>
    <x v="5"/>
    <x v="5"/>
    <x v="3"/>
    <x v="145"/>
    <x v="3"/>
    <x v="24"/>
    <x v="242"/>
    <x v="114"/>
    <x v="262"/>
    <x v="254"/>
    <x v="1"/>
    <x v="18"/>
    <x v="151"/>
    <x v="271"/>
    <x v="1"/>
    <x v="10"/>
    <x v="54"/>
  </r>
  <r>
    <x v="275"/>
    <x v="240"/>
    <x v="2"/>
    <x v="13"/>
    <x v="13"/>
    <x v="5"/>
    <x v="190"/>
    <x v="5"/>
    <x v="58"/>
    <x v="243"/>
    <x v="203"/>
    <x v="263"/>
    <x v="255"/>
    <x v="2"/>
    <x v="170"/>
    <x v="74"/>
    <x v="272"/>
    <x v="0"/>
    <x v="11"/>
    <x v="0"/>
  </r>
  <r>
    <x v="276"/>
    <x v="166"/>
    <x v="7"/>
    <x v="15"/>
    <x v="15"/>
    <x v="18"/>
    <x v="170"/>
    <x v="19"/>
    <x v="53"/>
    <x v="244"/>
    <x v="204"/>
    <x v="264"/>
    <x v="256"/>
    <x v="1"/>
    <x v="170"/>
    <x v="91"/>
    <x v="273"/>
    <x v="0"/>
    <x v="25"/>
    <x v="0"/>
  </r>
  <r>
    <x v="277"/>
    <x v="241"/>
    <x v="2"/>
    <x v="3"/>
    <x v="3"/>
    <x v="7"/>
    <x v="92"/>
    <x v="7"/>
    <x v="72"/>
    <x v="245"/>
    <x v="94"/>
    <x v="168"/>
    <x v="257"/>
    <x v="1"/>
    <x v="171"/>
    <x v="40"/>
    <x v="274"/>
    <x v="0"/>
    <x v="1"/>
    <x v="0"/>
  </r>
  <r>
    <x v="278"/>
    <x v="242"/>
    <x v="1"/>
    <x v="17"/>
    <x v="17"/>
    <x v="6"/>
    <x v="132"/>
    <x v="6"/>
    <x v="16"/>
    <x v="246"/>
    <x v="103"/>
    <x v="265"/>
    <x v="258"/>
    <x v="2"/>
    <x v="103"/>
    <x v="152"/>
    <x v="275"/>
    <x v="0"/>
    <x v="28"/>
    <x v="0"/>
  </r>
  <r>
    <x v="279"/>
    <x v="191"/>
    <x v="3"/>
    <x v="11"/>
    <x v="11"/>
    <x v="5"/>
    <x v="191"/>
    <x v="5"/>
    <x v="22"/>
    <x v="247"/>
    <x v="49"/>
    <x v="266"/>
    <x v="259"/>
    <x v="0"/>
    <x v="172"/>
    <x v="102"/>
    <x v="276"/>
    <x v="0"/>
    <x v="35"/>
    <x v="0"/>
  </r>
  <r>
    <x v="280"/>
    <x v="243"/>
    <x v="1"/>
    <x v="2"/>
    <x v="2"/>
    <x v="14"/>
    <x v="192"/>
    <x v="15"/>
    <x v="25"/>
    <x v="218"/>
    <x v="189"/>
    <x v="267"/>
    <x v="260"/>
    <x v="1"/>
    <x v="153"/>
    <x v="29"/>
    <x v="277"/>
    <x v="0"/>
    <x v="21"/>
    <x v="0"/>
  </r>
  <r>
    <x v="281"/>
    <x v="244"/>
    <x v="3"/>
    <x v="5"/>
    <x v="5"/>
    <x v="10"/>
    <x v="193"/>
    <x v="10"/>
    <x v="86"/>
    <x v="248"/>
    <x v="205"/>
    <x v="268"/>
    <x v="261"/>
    <x v="1"/>
    <x v="19"/>
    <x v="153"/>
    <x v="278"/>
    <x v="1"/>
    <x v="29"/>
    <x v="18"/>
  </r>
  <r>
    <x v="282"/>
    <x v="245"/>
    <x v="3"/>
    <x v="14"/>
    <x v="14"/>
    <x v="6"/>
    <x v="54"/>
    <x v="11"/>
    <x v="32"/>
    <x v="249"/>
    <x v="180"/>
    <x v="269"/>
    <x v="262"/>
    <x v="0"/>
    <x v="91"/>
    <x v="3"/>
    <x v="279"/>
    <x v="0"/>
    <x v="7"/>
    <x v="0"/>
  </r>
  <r>
    <x v="283"/>
    <x v="246"/>
    <x v="4"/>
    <x v="13"/>
    <x v="13"/>
    <x v="7"/>
    <x v="194"/>
    <x v="7"/>
    <x v="39"/>
    <x v="250"/>
    <x v="206"/>
    <x v="270"/>
    <x v="263"/>
    <x v="0"/>
    <x v="173"/>
    <x v="10"/>
    <x v="280"/>
    <x v="0"/>
    <x v="29"/>
    <x v="0"/>
  </r>
  <r>
    <x v="284"/>
    <x v="247"/>
    <x v="3"/>
    <x v="14"/>
    <x v="14"/>
    <x v="7"/>
    <x v="55"/>
    <x v="7"/>
    <x v="46"/>
    <x v="251"/>
    <x v="13"/>
    <x v="271"/>
    <x v="264"/>
    <x v="1"/>
    <x v="3"/>
    <x v="118"/>
    <x v="281"/>
    <x v="0"/>
    <x v="9"/>
    <x v="0"/>
  </r>
  <r>
    <x v="285"/>
    <x v="248"/>
    <x v="7"/>
    <x v="12"/>
    <x v="12"/>
    <x v="6"/>
    <x v="23"/>
    <x v="11"/>
    <x v="25"/>
    <x v="252"/>
    <x v="207"/>
    <x v="272"/>
    <x v="265"/>
    <x v="1"/>
    <x v="131"/>
    <x v="120"/>
    <x v="282"/>
    <x v="1"/>
    <x v="30"/>
    <x v="60"/>
  </r>
  <r>
    <x v="286"/>
    <x v="59"/>
    <x v="4"/>
    <x v="14"/>
    <x v="14"/>
    <x v="2"/>
    <x v="32"/>
    <x v="2"/>
    <x v="92"/>
    <x v="253"/>
    <x v="208"/>
    <x v="273"/>
    <x v="266"/>
    <x v="2"/>
    <x v="56"/>
    <x v="0"/>
    <x v="283"/>
    <x v="0"/>
    <x v="22"/>
    <x v="0"/>
  </r>
  <r>
    <x v="287"/>
    <x v="249"/>
    <x v="7"/>
    <x v="13"/>
    <x v="13"/>
    <x v="18"/>
    <x v="182"/>
    <x v="19"/>
    <x v="21"/>
    <x v="109"/>
    <x v="72"/>
    <x v="274"/>
    <x v="267"/>
    <x v="0"/>
    <x v="49"/>
    <x v="91"/>
    <x v="284"/>
    <x v="0"/>
    <x v="1"/>
    <x v="0"/>
  </r>
  <r>
    <x v="288"/>
    <x v="250"/>
    <x v="3"/>
    <x v="3"/>
    <x v="3"/>
    <x v="5"/>
    <x v="195"/>
    <x v="5"/>
    <x v="3"/>
    <x v="254"/>
    <x v="15"/>
    <x v="275"/>
    <x v="268"/>
    <x v="1"/>
    <x v="33"/>
    <x v="6"/>
    <x v="285"/>
    <x v="1"/>
    <x v="31"/>
    <x v="63"/>
  </r>
  <r>
    <x v="289"/>
    <x v="176"/>
    <x v="7"/>
    <x v="8"/>
    <x v="8"/>
    <x v="3"/>
    <x v="185"/>
    <x v="3"/>
    <x v="35"/>
    <x v="255"/>
    <x v="69"/>
    <x v="276"/>
    <x v="269"/>
    <x v="0"/>
    <x v="79"/>
    <x v="149"/>
    <x v="286"/>
    <x v="0"/>
    <x v="8"/>
    <x v="0"/>
  </r>
  <r>
    <x v="290"/>
    <x v="251"/>
    <x v="5"/>
    <x v="18"/>
    <x v="18"/>
    <x v="7"/>
    <x v="154"/>
    <x v="7"/>
    <x v="18"/>
    <x v="256"/>
    <x v="209"/>
    <x v="277"/>
    <x v="270"/>
    <x v="1"/>
    <x v="77"/>
    <x v="153"/>
    <x v="287"/>
    <x v="0"/>
    <x v="6"/>
    <x v="0"/>
  </r>
  <r>
    <x v="291"/>
    <x v="252"/>
    <x v="5"/>
    <x v="8"/>
    <x v="8"/>
    <x v="1"/>
    <x v="196"/>
    <x v="1"/>
    <x v="42"/>
    <x v="257"/>
    <x v="111"/>
    <x v="61"/>
    <x v="271"/>
    <x v="2"/>
    <x v="75"/>
    <x v="105"/>
    <x v="288"/>
    <x v="1"/>
    <x v="20"/>
    <x v="64"/>
  </r>
  <r>
    <x v="292"/>
    <x v="253"/>
    <x v="6"/>
    <x v="11"/>
    <x v="11"/>
    <x v="5"/>
    <x v="191"/>
    <x v="5"/>
    <x v="76"/>
    <x v="258"/>
    <x v="210"/>
    <x v="278"/>
    <x v="272"/>
    <x v="0"/>
    <x v="140"/>
    <x v="68"/>
    <x v="289"/>
    <x v="1"/>
    <x v="25"/>
    <x v="59"/>
  </r>
  <r>
    <x v="293"/>
    <x v="224"/>
    <x v="6"/>
    <x v="3"/>
    <x v="3"/>
    <x v="2"/>
    <x v="197"/>
    <x v="2"/>
    <x v="10"/>
    <x v="259"/>
    <x v="188"/>
    <x v="142"/>
    <x v="273"/>
    <x v="2"/>
    <x v="174"/>
    <x v="109"/>
    <x v="290"/>
    <x v="1"/>
    <x v="11"/>
    <x v="56"/>
  </r>
  <r>
    <x v="294"/>
    <x v="254"/>
    <x v="0"/>
    <x v="7"/>
    <x v="7"/>
    <x v="4"/>
    <x v="88"/>
    <x v="4"/>
    <x v="46"/>
    <x v="260"/>
    <x v="172"/>
    <x v="279"/>
    <x v="274"/>
    <x v="2"/>
    <x v="108"/>
    <x v="86"/>
    <x v="291"/>
    <x v="0"/>
    <x v="27"/>
    <x v="0"/>
  </r>
  <r>
    <x v="295"/>
    <x v="120"/>
    <x v="0"/>
    <x v="6"/>
    <x v="6"/>
    <x v="15"/>
    <x v="198"/>
    <x v="16"/>
    <x v="93"/>
    <x v="261"/>
    <x v="211"/>
    <x v="280"/>
    <x v="275"/>
    <x v="0"/>
    <x v="44"/>
    <x v="154"/>
    <x v="292"/>
    <x v="1"/>
    <x v="21"/>
    <x v="3"/>
  </r>
  <r>
    <x v="296"/>
    <x v="168"/>
    <x v="4"/>
    <x v="7"/>
    <x v="7"/>
    <x v="18"/>
    <x v="110"/>
    <x v="19"/>
    <x v="52"/>
    <x v="262"/>
    <x v="212"/>
    <x v="281"/>
    <x v="276"/>
    <x v="0"/>
    <x v="175"/>
    <x v="155"/>
    <x v="293"/>
    <x v="0"/>
    <x v="2"/>
    <x v="0"/>
  </r>
  <r>
    <x v="297"/>
    <x v="255"/>
    <x v="2"/>
    <x v="13"/>
    <x v="13"/>
    <x v="11"/>
    <x v="199"/>
    <x v="12"/>
    <x v="45"/>
    <x v="263"/>
    <x v="213"/>
    <x v="282"/>
    <x v="277"/>
    <x v="1"/>
    <x v="26"/>
    <x v="86"/>
    <x v="294"/>
    <x v="1"/>
    <x v="12"/>
    <x v="65"/>
  </r>
  <r>
    <x v="298"/>
    <x v="256"/>
    <x v="1"/>
    <x v="9"/>
    <x v="9"/>
    <x v="1"/>
    <x v="200"/>
    <x v="1"/>
    <x v="61"/>
    <x v="264"/>
    <x v="211"/>
    <x v="283"/>
    <x v="278"/>
    <x v="3"/>
    <x v="139"/>
    <x v="27"/>
    <x v="295"/>
    <x v="1"/>
    <x v="17"/>
    <x v="53"/>
  </r>
  <r>
    <x v="299"/>
    <x v="257"/>
    <x v="4"/>
    <x v="7"/>
    <x v="7"/>
    <x v="10"/>
    <x v="201"/>
    <x v="10"/>
    <x v="83"/>
    <x v="265"/>
    <x v="214"/>
    <x v="284"/>
    <x v="279"/>
    <x v="1"/>
    <x v="41"/>
    <x v="156"/>
    <x v="296"/>
    <x v="0"/>
    <x v="18"/>
    <x v="0"/>
  </r>
  <r>
    <x v="300"/>
    <x v="258"/>
    <x v="6"/>
    <x v="5"/>
    <x v="5"/>
    <x v="1"/>
    <x v="118"/>
    <x v="1"/>
    <x v="19"/>
    <x v="54"/>
    <x v="215"/>
    <x v="285"/>
    <x v="280"/>
    <x v="2"/>
    <x v="43"/>
    <x v="10"/>
    <x v="297"/>
    <x v="1"/>
    <x v="22"/>
    <x v="32"/>
  </r>
  <r>
    <x v="301"/>
    <x v="259"/>
    <x v="2"/>
    <x v="4"/>
    <x v="4"/>
    <x v="3"/>
    <x v="24"/>
    <x v="3"/>
    <x v="86"/>
    <x v="266"/>
    <x v="216"/>
    <x v="286"/>
    <x v="281"/>
    <x v="1"/>
    <x v="112"/>
    <x v="130"/>
    <x v="298"/>
    <x v="0"/>
    <x v="26"/>
    <x v="0"/>
  </r>
  <r>
    <x v="302"/>
    <x v="260"/>
    <x v="5"/>
    <x v="6"/>
    <x v="6"/>
    <x v="4"/>
    <x v="105"/>
    <x v="4"/>
    <x v="78"/>
    <x v="267"/>
    <x v="108"/>
    <x v="287"/>
    <x v="282"/>
    <x v="0"/>
    <x v="4"/>
    <x v="55"/>
    <x v="299"/>
    <x v="0"/>
    <x v="4"/>
    <x v="0"/>
  </r>
  <r>
    <x v="303"/>
    <x v="17"/>
    <x v="3"/>
    <x v="9"/>
    <x v="9"/>
    <x v="0"/>
    <x v="20"/>
    <x v="0"/>
    <x v="37"/>
    <x v="202"/>
    <x v="217"/>
    <x v="288"/>
    <x v="283"/>
    <x v="0"/>
    <x v="42"/>
    <x v="81"/>
    <x v="300"/>
    <x v="0"/>
    <x v="14"/>
    <x v="0"/>
  </r>
  <r>
    <x v="304"/>
    <x v="261"/>
    <x v="2"/>
    <x v="11"/>
    <x v="11"/>
    <x v="12"/>
    <x v="202"/>
    <x v="13"/>
    <x v="52"/>
    <x v="75"/>
    <x v="28"/>
    <x v="289"/>
    <x v="284"/>
    <x v="2"/>
    <x v="153"/>
    <x v="119"/>
    <x v="301"/>
    <x v="0"/>
    <x v="15"/>
    <x v="0"/>
  </r>
  <r>
    <x v="305"/>
    <x v="182"/>
    <x v="4"/>
    <x v="7"/>
    <x v="7"/>
    <x v="2"/>
    <x v="119"/>
    <x v="2"/>
    <x v="55"/>
    <x v="268"/>
    <x v="139"/>
    <x v="290"/>
    <x v="285"/>
    <x v="0"/>
    <x v="112"/>
    <x v="27"/>
    <x v="302"/>
    <x v="1"/>
    <x v="19"/>
    <x v="13"/>
  </r>
  <r>
    <x v="306"/>
    <x v="262"/>
    <x v="0"/>
    <x v="15"/>
    <x v="15"/>
    <x v="3"/>
    <x v="203"/>
    <x v="3"/>
    <x v="6"/>
    <x v="269"/>
    <x v="191"/>
    <x v="291"/>
    <x v="286"/>
    <x v="0"/>
    <x v="138"/>
    <x v="56"/>
    <x v="303"/>
    <x v="0"/>
    <x v="26"/>
    <x v="0"/>
  </r>
  <r>
    <x v="307"/>
    <x v="263"/>
    <x v="7"/>
    <x v="8"/>
    <x v="8"/>
    <x v="7"/>
    <x v="204"/>
    <x v="7"/>
    <x v="16"/>
    <x v="270"/>
    <x v="218"/>
    <x v="292"/>
    <x v="287"/>
    <x v="1"/>
    <x v="133"/>
    <x v="157"/>
    <x v="304"/>
    <x v="0"/>
    <x v="14"/>
    <x v="0"/>
  </r>
  <r>
    <x v="308"/>
    <x v="264"/>
    <x v="0"/>
    <x v="1"/>
    <x v="1"/>
    <x v="3"/>
    <x v="205"/>
    <x v="3"/>
    <x v="50"/>
    <x v="271"/>
    <x v="13"/>
    <x v="173"/>
    <x v="288"/>
    <x v="3"/>
    <x v="165"/>
    <x v="158"/>
    <x v="305"/>
    <x v="1"/>
    <x v="31"/>
    <x v="47"/>
  </r>
  <r>
    <x v="309"/>
    <x v="49"/>
    <x v="7"/>
    <x v="13"/>
    <x v="13"/>
    <x v="4"/>
    <x v="206"/>
    <x v="4"/>
    <x v="1"/>
    <x v="272"/>
    <x v="103"/>
    <x v="94"/>
    <x v="289"/>
    <x v="2"/>
    <x v="103"/>
    <x v="142"/>
    <x v="306"/>
    <x v="0"/>
    <x v="11"/>
    <x v="0"/>
  </r>
  <r>
    <x v="310"/>
    <x v="265"/>
    <x v="4"/>
    <x v="14"/>
    <x v="14"/>
    <x v="6"/>
    <x v="54"/>
    <x v="6"/>
    <x v="70"/>
    <x v="273"/>
    <x v="5"/>
    <x v="293"/>
    <x v="290"/>
    <x v="0"/>
    <x v="176"/>
    <x v="21"/>
    <x v="307"/>
    <x v="0"/>
    <x v="19"/>
    <x v="0"/>
  </r>
  <r>
    <x v="311"/>
    <x v="249"/>
    <x v="7"/>
    <x v="3"/>
    <x v="3"/>
    <x v="15"/>
    <x v="207"/>
    <x v="16"/>
    <x v="27"/>
    <x v="74"/>
    <x v="36"/>
    <x v="294"/>
    <x v="291"/>
    <x v="2"/>
    <x v="111"/>
    <x v="8"/>
    <x v="308"/>
    <x v="0"/>
    <x v="1"/>
    <x v="0"/>
  </r>
  <r>
    <x v="312"/>
    <x v="266"/>
    <x v="7"/>
    <x v="10"/>
    <x v="10"/>
    <x v="13"/>
    <x v="208"/>
    <x v="14"/>
    <x v="28"/>
    <x v="274"/>
    <x v="143"/>
    <x v="295"/>
    <x v="292"/>
    <x v="1"/>
    <x v="177"/>
    <x v="135"/>
    <x v="162"/>
    <x v="1"/>
    <x v="28"/>
    <x v="0"/>
  </r>
  <r>
    <x v="313"/>
    <x v="55"/>
    <x v="1"/>
    <x v="15"/>
    <x v="15"/>
    <x v="4"/>
    <x v="209"/>
    <x v="4"/>
    <x v="80"/>
    <x v="275"/>
    <x v="109"/>
    <x v="296"/>
    <x v="293"/>
    <x v="2"/>
    <x v="178"/>
    <x v="158"/>
    <x v="309"/>
    <x v="1"/>
    <x v="8"/>
    <x v="66"/>
  </r>
  <r>
    <x v="314"/>
    <x v="267"/>
    <x v="7"/>
    <x v="1"/>
    <x v="1"/>
    <x v="7"/>
    <x v="93"/>
    <x v="7"/>
    <x v="43"/>
    <x v="276"/>
    <x v="149"/>
    <x v="297"/>
    <x v="294"/>
    <x v="3"/>
    <x v="121"/>
    <x v="159"/>
    <x v="310"/>
    <x v="1"/>
    <x v="1"/>
    <x v="67"/>
  </r>
  <r>
    <x v="315"/>
    <x v="268"/>
    <x v="4"/>
    <x v="14"/>
    <x v="14"/>
    <x v="15"/>
    <x v="210"/>
    <x v="16"/>
    <x v="88"/>
    <x v="277"/>
    <x v="158"/>
    <x v="206"/>
    <x v="124"/>
    <x v="1"/>
    <x v="120"/>
    <x v="160"/>
    <x v="311"/>
    <x v="2"/>
    <x v="5"/>
    <x v="0"/>
  </r>
  <r>
    <x v="316"/>
    <x v="269"/>
    <x v="5"/>
    <x v="5"/>
    <x v="5"/>
    <x v="14"/>
    <x v="189"/>
    <x v="15"/>
    <x v="11"/>
    <x v="278"/>
    <x v="151"/>
    <x v="298"/>
    <x v="295"/>
    <x v="1"/>
    <x v="179"/>
    <x v="161"/>
    <x v="312"/>
    <x v="1"/>
    <x v="2"/>
    <x v="68"/>
  </r>
  <r>
    <x v="317"/>
    <x v="270"/>
    <x v="3"/>
    <x v="14"/>
    <x v="14"/>
    <x v="17"/>
    <x v="62"/>
    <x v="18"/>
    <x v="72"/>
    <x v="279"/>
    <x v="39"/>
    <x v="299"/>
    <x v="296"/>
    <x v="0"/>
    <x v="180"/>
    <x v="124"/>
    <x v="313"/>
    <x v="1"/>
    <x v="6"/>
    <x v="69"/>
  </r>
  <r>
    <x v="318"/>
    <x v="271"/>
    <x v="2"/>
    <x v="3"/>
    <x v="3"/>
    <x v="12"/>
    <x v="116"/>
    <x v="13"/>
    <x v="4"/>
    <x v="261"/>
    <x v="219"/>
    <x v="300"/>
    <x v="297"/>
    <x v="1"/>
    <x v="102"/>
    <x v="2"/>
    <x v="314"/>
    <x v="0"/>
    <x v="11"/>
    <x v="0"/>
  </r>
  <r>
    <x v="319"/>
    <x v="272"/>
    <x v="0"/>
    <x v="10"/>
    <x v="10"/>
    <x v="8"/>
    <x v="80"/>
    <x v="8"/>
    <x v="50"/>
    <x v="280"/>
    <x v="220"/>
    <x v="301"/>
    <x v="298"/>
    <x v="0"/>
    <x v="136"/>
    <x v="103"/>
    <x v="315"/>
    <x v="0"/>
    <x v="5"/>
    <x v="0"/>
  </r>
  <r>
    <x v="320"/>
    <x v="273"/>
    <x v="6"/>
    <x v="5"/>
    <x v="5"/>
    <x v="10"/>
    <x v="193"/>
    <x v="10"/>
    <x v="68"/>
    <x v="281"/>
    <x v="221"/>
    <x v="302"/>
    <x v="299"/>
    <x v="0"/>
    <x v="45"/>
    <x v="162"/>
    <x v="316"/>
    <x v="1"/>
    <x v="10"/>
    <x v="70"/>
  </r>
  <r>
    <x v="321"/>
    <x v="274"/>
    <x v="6"/>
    <x v="12"/>
    <x v="12"/>
    <x v="0"/>
    <x v="165"/>
    <x v="0"/>
    <x v="2"/>
    <x v="282"/>
    <x v="18"/>
    <x v="303"/>
    <x v="300"/>
    <x v="0"/>
    <x v="181"/>
    <x v="147"/>
    <x v="317"/>
    <x v="1"/>
    <x v="34"/>
    <x v="41"/>
  </r>
  <r>
    <x v="322"/>
    <x v="275"/>
    <x v="6"/>
    <x v="4"/>
    <x v="19"/>
    <x v="2"/>
    <x v="211"/>
    <x v="2"/>
    <x v="25"/>
    <x v="283"/>
    <x v="205"/>
    <x v="304"/>
    <x v="301"/>
    <x v="1"/>
    <x v="130"/>
    <x v="144"/>
    <x v="318"/>
    <x v="0"/>
    <x v="33"/>
    <x v="0"/>
  </r>
  <r>
    <x v="323"/>
    <x v="264"/>
    <x v="4"/>
    <x v="11"/>
    <x v="11"/>
    <x v="6"/>
    <x v="140"/>
    <x v="6"/>
    <x v="74"/>
    <x v="284"/>
    <x v="8"/>
    <x v="305"/>
    <x v="302"/>
    <x v="0"/>
    <x v="24"/>
    <x v="163"/>
    <x v="319"/>
    <x v="1"/>
    <x v="31"/>
    <x v="71"/>
  </r>
  <r>
    <x v="324"/>
    <x v="276"/>
    <x v="2"/>
    <x v="11"/>
    <x v="11"/>
    <x v="3"/>
    <x v="15"/>
    <x v="3"/>
    <x v="52"/>
    <x v="285"/>
    <x v="222"/>
    <x v="306"/>
    <x v="303"/>
    <x v="3"/>
    <x v="149"/>
    <x v="112"/>
    <x v="320"/>
    <x v="1"/>
    <x v="8"/>
    <x v="72"/>
  </r>
  <r>
    <x v="325"/>
    <x v="277"/>
    <x v="1"/>
    <x v="15"/>
    <x v="15"/>
    <x v="18"/>
    <x v="170"/>
    <x v="19"/>
    <x v="23"/>
    <x v="286"/>
    <x v="35"/>
    <x v="307"/>
    <x v="304"/>
    <x v="2"/>
    <x v="182"/>
    <x v="74"/>
    <x v="321"/>
    <x v="0"/>
    <x v="1"/>
    <x v="0"/>
  </r>
  <r>
    <x v="326"/>
    <x v="278"/>
    <x v="4"/>
    <x v="14"/>
    <x v="14"/>
    <x v="11"/>
    <x v="212"/>
    <x v="12"/>
    <x v="69"/>
    <x v="287"/>
    <x v="223"/>
    <x v="56"/>
    <x v="124"/>
    <x v="1"/>
    <x v="119"/>
    <x v="12"/>
    <x v="322"/>
    <x v="1"/>
    <x v="30"/>
    <x v="51"/>
  </r>
  <r>
    <x v="327"/>
    <x v="279"/>
    <x v="5"/>
    <x v="17"/>
    <x v="17"/>
    <x v="4"/>
    <x v="213"/>
    <x v="4"/>
    <x v="78"/>
    <x v="71"/>
    <x v="224"/>
    <x v="308"/>
    <x v="305"/>
    <x v="0"/>
    <x v="78"/>
    <x v="111"/>
    <x v="323"/>
    <x v="0"/>
    <x v="8"/>
    <x v="0"/>
  </r>
  <r>
    <x v="328"/>
    <x v="280"/>
    <x v="4"/>
    <x v="4"/>
    <x v="19"/>
    <x v="7"/>
    <x v="123"/>
    <x v="7"/>
    <x v="65"/>
    <x v="288"/>
    <x v="115"/>
    <x v="309"/>
    <x v="306"/>
    <x v="2"/>
    <x v="2"/>
    <x v="77"/>
    <x v="324"/>
    <x v="1"/>
    <x v="14"/>
    <x v="73"/>
  </r>
  <r>
    <x v="329"/>
    <x v="36"/>
    <x v="4"/>
    <x v="17"/>
    <x v="17"/>
    <x v="0"/>
    <x v="214"/>
    <x v="0"/>
    <x v="70"/>
    <x v="289"/>
    <x v="225"/>
    <x v="310"/>
    <x v="9"/>
    <x v="2"/>
    <x v="139"/>
    <x v="163"/>
    <x v="325"/>
    <x v="0"/>
    <x v="5"/>
    <x v="0"/>
  </r>
  <r>
    <x v="330"/>
    <x v="281"/>
    <x v="7"/>
    <x v="13"/>
    <x v="13"/>
    <x v="14"/>
    <x v="215"/>
    <x v="15"/>
    <x v="76"/>
    <x v="290"/>
    <x v="45"/>
    <x v="311"/>
    <x v="307"/>
    <x v="1"/>
    <x v="157"/>
    <x v="49"/>
    <x v="326"/>
    <x v="1"/>
    <x v="9"/>
    <x v="55"/>
  </r>
  <r>
    <x v="331"/>
    <x v="282"/>
    <x v="2"/>
    <x v="14"/>
    <x v="14"/>
    <x v="5"/>
    <x v="216"/>
    <x v="5"/>
    <x v="67"/>
    <x v="291"/>
    <x v="214"/>
    <x v="312"/>
    <x v="308"/>
    <x v="0"/>
    <x v="148"/>
    <x v="164"/>
    <x v="327"/>
    <x v="0"/>
    <x v="15"/>
    <x v="0"/>
  </r>
  <r>
    <x v="332"/>
    <x v="283"/>
    <x v="0"/>
    <x v="10"/>
    <x v="10"/>
    <x v="16"/>
    <x v="217"/>
    <x v="17"/>
    <x v="22"/>
    <x v="292"/>
    <x v="226"/>
    <x v="313"/>
    <x v="309"/>
    <x v="2"/>
    <x v="108"/>
    <x v="64"/>
    <x v="328"/>
    <x v="1"/>
    <x v="6"/>
    <x v="7"/>
  </r>
  <r>
    <x v="333"/>
    <x v="134"/>
    <x v="3"/>
    <x v="11"/>
    <x v="11"/>
    <x v="14"/>
    <x v="126"/>
    <x v="15"/>
    <x v="94"/>
    <x v="293"/>
    <x v="227"/>
    <x v="314"/>
    <x v="310"/>
    <x v="0"/>
    <x v="87"/>
    <x v="25"/>
    <x v="329"/>
    <x v="1"/>
    <x v="10"/>
    <x v="49"/>
  </r>
  <r>
    <x v="334"/>
    <x v="284"/>
    <x v="1"/>
    <x v="10"/>
    <x v="10"/>
    <x v="11"/>
    <x v="34"/>
    <x v="12"/>
    <x v="72"/>
    <x v="105"/>
    <x v="87"/>
    <x v="315"/>
    <x v="311"/>
    <x v="0"/>
    <x v="134"/>
    <x v="133"/>
    <x v="330"/>
    <x v="0"/>
    <x v="29"/>
    <x v="0"/>
  </r>
  <r>
    <x v="335"/>
    <x v="285"/>
    <x v="1"/>
    <x v="3"/>
    <x v="3"/>
    <x v="2"/>
    <x v="197"/>
    <x v="2"/>
    <x v="6"/>
    <x v="294"/>
    <x v="228"/>
    <x v="316"/>
    <x v="312"/>
    <x v="0"/>
    <x v="183"/>
    <x v="131"/>
    <x v="331"/>
    <x v="1"/>
    <x v="10"/>
    <x v="74"/>
  </r>
  <r>
    <x v="336"/>
    <x v="286"/>
    <x v="6"/>
    <x v="2"/>
    <x v="2"/>
    <x v="6"/>
    <x v="68"/>
    <x v="11"/>
    <x v="46"/>
    <x v="295"/>
    <x v="229"/>
    <x v="317"/>
    <x v="313"/>
    <x v="2"/>
    <x v="92"/>
    <x v="4"/>
    <x v="332"/>
    <x v="0"/>
    <x v="27"/>
    <x v="0"/>
  </r>
  <r>
    <x v="337"/>
    <x v="287"/>
    <x v="3"/>
    <x v="4"/>
    <x v="19"/>
    <x v="3"/>
    <x v="24"/>
    <x v="3"/>
    <x v="54"/>
    <x v="64"/>
    <x v="230"/>
    <x v="318"/>
    <x v="314"/>
    <x v="1"/>
    <x v="154"/>
    <x v="133"/>
    <x v="333"/>
    <x v="1"/>
    <x v="13"/>
    <x v="24"/>
  </r>
  <r>
    <x v="338"/>
    <x v="288"/>
    <x v="6"/>
    <x v="4"/>
    <x v="19"/>
    <x v="1"/>
    <x v="85"/>
    <x v="1"/>
    <x v="95"/>
    <x v="296"/>
    <x v="202"/>
    <x v="319"/>
    <x v="315"/>
    <x v="2"/>
    <x v="131"/>
    <x v="37"/>
    <x v="334"/>
    <x v="1"/>
    <x v="17"/>
    <x v="75"/>
  </r>
  <r>
    <x v="339"/>
    <x v="289"/>
    <x v="4"/>
    <x v="4"/>
    <x v="4"/>
    <x v="5"/>
    <x v="149"/>
    <x v="5"/>
    <x v="0"/>
    <x v="297"/>
    <x v="231"/>
    <x v="320"/>
    <x v="316"/>
    <x v="1"/>
    <x v="119"/>
    <x v="64"/>
    <x v="335"/>
    <x v="0"/>
    <x v="6"/>
    <x v="0"/>
  </r>
  <r>
    <x v="340"/>
    <x v="290"/>
    <x v="0"/>
    <x v="14"/>
    <x v="14"/>
    <x v="5"/>
    <x v="216"/>
    <x v="5"/>
    <x v="66"/>
    <x v="140"/>
    <x v="128"/>
    <x v="321"/>
    <x v="317"/>
    <x v="2"/>
    <x v="54"/>
    <x v="159"/>
    <x v="336"/>
    <x v="1"/>
    <x v="4"/>
    <x v="76"/>
  </r>
  <r>
    <x v="341"/>
    <x v="291"/>
    <x v="5"/>
    <x v="7"/>
    <x v="7"/>
    <x v="3"/>
    <x v="70"/>
    <x v="3"/>
    <x v="71"/>
    <x v="108"/>
    <x v="232"/>
    <x v="322"/>
    <x v="318"/>
    <x v="1"/>
    <x v="184"/>
    <x v="113"/>
    <x v="337"/>
    <x v="0"/>
    <x v="11"/>
    <x v="0"/>
  </r>
  <r>
    <x v="342"/>
    <x v="292"/>
    <x v="7"/>
    <x v="18"/>
    <x v="18"/>
    <x v="18"/>
    <x v="141"/>
    <x v="19"/>
    <x v="84"/>
    <x v="298"/>
    <x v="233"/>
    <x v="323"/>
    <x v="319"/>
    <x v="0"/>
    <x v="185"/>
    <x v="34"/>
    <x v="338"/>
    <x v="0"/>
    <x v="25"/>
    <x v="0"/>
  </r>
  <r>
    <x v="343"/>
    <x v="136"/>
    <x v="1"/>
    <x v="17"/>
    <x v="17"/>
    <x v="16"/>
    <x v="76"/>
    <x v="17"/>
    <x v="18"/>
    <x v="299"/>
    <x v="234"/>
    <x v="324"/>
    <x v="320"/>
    <x v="2"/>
    <x v="186"/>
    <x v="69"/>
    <x v="339"/>
    <x v="1"/>
    <x v="24"/>
    <x v="47"/>
  </r>
  <r>
    <x v="344"/>
    <x v="293"/>
    <x v="5"/>
    <x v="11"/>
    <x v="11"/>
    <x v="13"/>
    <x v="218"/>
    <x v="14"/>
    <x v="53"/>
    <x v="297"/>
    <x v="235"/>
    <x v="325"/>
    <x v="321"/>
    <x v="1"/>
    <x v="187"/>
    <x v="54"/>
    <x v="340"/>
    <x v="0"/>
    <x v="34"/>
    <x v="0"/>
  </r>
  <r>
    <x v="345"/>
    <x v="294"/>
    <x v="2"/>
    <x v="15"/>
    <x v="15"/>
    <x v="10"/>
    <x v="219"/>
    <x v="10"/>
    <x v="80"/>
    <x v="300"/>
    <x v="170"/>
    <x v="326"/>
    <x v="322"/>
    <x v="0"/>
    <x v="188"/>
    <x v="140"/>
    <x v="341"/>
    <x v="1"/>
    <x v="19"/>
    <x v="0"/>
  </r>
  <r>
    <x v="346"/>
    <x v="295"/>
    <x v="5"/>
    <x v="8"/>
    <x v="8"/>
    <x v="14"/>
    <x v="220"/>
    <x v="15"/>
    <x v="1"/>
    <x v="301"/>
    <x v="156"/>
    <x v="327"/>
    <x v="323"/>
    <x v="0"/>
    <x v="189"/>
    <x v="19"/>
    <x v="342"/>
    <x v="0"/>
    <x v="3"/>
    <x v="0"/>
  </r>
  <r>
    <x v="347"/>
    <x v="296"/>
    <x v="3"/>
    <x v="7"/>
    <x v="7"/>
    <x v="6"/>
    <x v="181"/>
    <x v="6"/>
    <x v="19"/>
    <x v="302"/>
    <x v="236"/>
    <x v="328"/>
    <x v="324"/>
    <x v="2"/>
    <x v="14"/>
    <x v="127"/>
    <x v="343"/>
    <x v="0"/>
    <x v="24"/>
    <x v="0"/>
  </r>
  <r>
    <x v="348"/>
    <x v="297"/>
    <x v="0"/>
    <x v="4"/>
    <x v="19"/>
    <x v="5"/>
    <x v="149"/>
    <x v="5"/>
    <x v="74"/>
    <x v="303"/>
    <x v="52"/>
    <x v="329"/>
    <x v="325"/>
    <x v="0"/>
    <x v="116"/>
    <x v="0"/>
    <x v="344"/>
    <x v="0"/>
    <x v="25"/>
    <x v="0"/>
  </r>
  <r>
    <x v="349"/>
    <x v="281"/>
    <x v="3"/>
    <x v="2"/>
    <x v="2"/>
    <x v="13"/>
    <x v="29"/>
    <x v="14"/>
    <x v="6"/>
    <x v="304"/>
    <x v="105"/>
    <x v="330"/>
    <x v="326"/>
    <x v="0"/>
    <x v="114"/>
    <x v="8"/>
    <x v="345"/>
    <x v="1"/>
    <x v="9"/>
    <x v="77"/>
  </r>
  <r>
    <x v="350"/>
    <x v="298"/>
    <x v="5"/>
    <x v="8"/>
    <x v="8"/>
    <x v="6"/>
    <x v="221"/>
    <x v="11"/>
    <x v="53"/>
    <x v="305"/>
    <x v="197"/>
    <x v="331"/>
    <x v="327"/>
    <x v="1"/>
    <x v="133"/>
    <x v="10"/>
    <x v="346"/>
    <x v="1"/>
    <x v="4"/>
    <x v="6"/>
  </r>
  <r>
    <x v="351"/>
    <x v="299"/>
    <x v="7"/>
    <x v="3"/>
    <x v="3"/>
    <x v="6"/>
    <x v="22"/>
    <x v="11"/>
    <x v="5"/>
    <x v="93"/>
    <x v="237"/>
    <x v="113"/>
    <x v="328"/>
    <x v="0"/>
    <x v="168"/>
    <x v="106"/>
    <x v="151"/>
    <x v="0"/>
    <x v="1"/>
    <x v="0"/>
  </r>
  <r>
    <x v="352"/>
    <x v="300"/>
    <x v="2"/>
    <x v="17"/>
    <x v="17"/>
    <x v="17"/>
    <x v="108"/>
    <x v="18"/>
    <x v="54"/>
    <x v="81"/>
    <x v="238"/>
    <x v="93"/>
    <x v="329"/>
    <x v="0"/>
    <x v="190"/>
    <x v="3"/>
    <x v="347"/>
    <x v="1"/>
    <x v="3"/>
    <x v="78"/>
  </r>
  <r>
    <x v="353"/>
    <x v="195"/>
    <x v="6"/>
    <x v="16"/>
    <x v="16"/>
    <x v="7"/>
    <x v="35"/>
    <x v="7"/>
    <x v="23"/>
    <x v="306"/>
    <x v="50"/>
    <x v="332"/>
    <x v="330"/>
    <x v="0"/>
    <x v="53"/>
    <x v="159"/>
    <x v="348"/>
    <x v="1"/>
    <x v="8"/>
    <x v="50"/>
  </r>
  <r>
    <x v="354"/>
    <x v="301"/>
    <x v="7"/>
    <x v="4"/>
    <x v="4"/>
    <x v="16"/>
    <x v="146"/>
    <x v="17"/>
    <x v="48"/>
    <x v="280"/>
    <x v="100"/>
    <x v="333"/>
    <x v="331"/>
    <x v="0"/>
    <x v="191"/>
    <x v="41"/>
    <x v="349"/>
    <x v="0"/>
    <x v="28"/>
    <x v="0"/>
  </r>
  <r>
    <x v="355"/>
    <x v="302"/>
    <x v="3"/>
    <x v="5"/>
    <x v="5"/>
    <x v="10"/>
    <x v="193"/>
    <x v="10"/>
    <x v="6"/>
    <x v="113"/>
    <x v="142"/>
    <x v="334"/>
    <x v="332"/>
    <x v="2"/>
    <x v="140"/>
    <x v="112"/>
    <x v="350"/>
    <x v="0"/>
    <x v="4"/>
    <x v="0"/>
  </r>
  <r>
    <x v="356"/>
    <x v="303"/>
    <x v="3"/>
    <x v="10"/>
    <x v="10"/>
    <x v="15"/>
    <x v="113"/>
    <x v="16"/>
    <x v="66"/>
    <x v="142"/>
    <x v="29"/>
    <x v="335"/>
    <x v="333"/>
    <x v="0"/>
    <x v="121"/>
    <x v="75"/>
    <x v="351"/>
    <x v="1"/>
    <x v="10"/>
    <x v="19"/>
  </r>
  <r>
    <x v="357"/>
    <x v="304"/>
    <x v="0"/>
    <x v="1"/>
    <x v="1"/>
    <x v="9"/>
    <x v="16"/>
    <x v="9"/>
    <x v="61"/>
    <x v="307"/>
    <x v="84"/>
    <x v="336"/>
    <x v="334"/>
    <x v="0"/>
    <x v="40"/>
    <x v="130"/>
    <x v="352"/>
    <x v="1"/>
    <x v="3"/>
    <x v="67"/>
  </r>
  <r>
    <x v="358"/>
    <x v="305"/>
    <x v="6"/>
    <x v="16"/>
    <x v="16"/>
    <x v="4"/>
    <x v="106"/>
    <x v="4"/>
    <x v="26"/>
    <x v="308"/>
    <x v="47"/>
    <x v="337"/>
    <x v="335"/>
    <x v="1"/>
    <x v="179"/>
    <x v="165"/>
    <x v="353"/>
    <x v="0"/>
    <x v="29"/>
    <x v="0"/>
  </r>
  <r>
    <x v="359"/>
    <x v="131"/>
    <x v="4"/>
    <x v="7"/>
    <x v="7"/>
    <x v="18"/>
    <x v="110"/>
    <x v="19"/>
    <x v="36"/>
    <x v="309"/>
    <x v="239"/>
    <x v="201"/>
    <x v="336"/>
    <x v="2"/>
    <x v="192"/>
    <x v="147"/>
    <x v="354"/>
    <x v="0"/>
    <x v="15"/>
    <x v="0"/>
  </r>
  <r>
    <x v="360"/>
    <x v="306"/>
    <x v="6"/>
    <x v="6"/>
    <x v="6"/>
    <x v="12"/>
    <x v="41"/>
    <x v="13"/>
    <x v="65"/>
    <x v="310"/>
    <x v="240"/>
    <x v="338"/>
    <x v="337"/>
    <x v="0"/>
    <x v="193"/>
    <x v="4"/>
    <x v="355"/>
    <x v="0"/>
    <x v="23"/>
    <x v="0"/>
  </r>
  <r>
    <x v="361"/>
    <x v="198"/>
    <x v="3"/>
    <x v="5"/>
    <x v="5"/>
    <x v="16"/>
    <x v="222"/>
    <x v="17"/>
    <x v="4"/>
    <x v="311"/>
    <x v="241"/>
    <x v="339"/>
    <x v="14"/>
    <x v="1"/>
    <x v="194"/>
    <x v="102"/>
    <x v="356"/>
    <x v="0"/>
    <x v="26"/>
    <x v="0"/>
  </r>
  <r>
    <x v="362"/>
    <x v="307"/>
    <x v="4"/>
    <x v="15"/>
    <x v="15"/>
    <x v="3"/>
    <x v="203"/>
    <x v="3"/>
    <x v="90"/>
    <x v="312"/>
    <x v="136"/>
    <x v="340"/>
    <x v="338"/>
    <x v="0"/>
    <x v="184"/>
    <x v="81"/>
    <x v="357"/>
    <x v="1"/>
    <x v="20"/>
    <x v="79"/>
  </r>
  <r>
    <x v="363"/>
    <x v="308"/>
    <x v="3"/>
    <x v="0"/>
    <x v="0"/>
    <x v="17"/>
    <x v="223"/>
    <x v="18"/>
    <x v="79"/>
    <x v="313"/>
    <x v="11"/>
    <x v="341"/>
    <x v="339"/>
    <x v="0"/>
    <x v="84"/>
    <x v="29"/>
    <x v="358"/>
    <x v="1"/>
    <x v="14"/>
    <x v="80"/>
  </r>
  <r>
    <x v="364"/>
    <x v="309"/>
    <x v="6"/>
    <x v="3"/>
    <x v="3"/>
    <x v="7"/>
    <x v="92"/>
    <x v="7"/>
    <x v="81"/>
    <x v="314"/>
    <x v="242"/>
    <x v="119"/>
    <x v="340"/>
    <x v="0"/>
    <x v="77"/>
    <x v="112"/>
    <x v="359"/>
    <x v="0"/>
    <x v="24"/>
    <x v="0"/>
  </r>
  <r>
    <x v="365"/>
    <x v="202"/>
    <x v="7"/>
    <x v="2"/>
    <x v="2"/>
    <x v="18"/>
    <x v="224"/>
    <x v="19"/>
    <x v="17"/>
    <x v="315"/>
    <x v="61"/>
    <x v="342"/>
    <x v="341"/>
    <x v="2"/>
    <x v="195"/>
    <x v="166"/>
    <x v="360"/>
    <x v="0"/>
    <x v="9"/>
    <x v="0"/>
  </r>
  <r>
    <x v="366"/>
    <x v="310"/>
    <x v="4"/>
    <x v="9"/>
    <x v="9"/>
    <x v="16"/>
    <x v="127"/>
    <x v="17"/>
    <x v="10"/>
    <x v="51"/>
    <x v="126"/>
    <x v="343"/>
    <x v="342"/>
    <x v="0"/>
    <x v="196"/>
    <x v="19"/>
    <x v="361"/>
    <x v="0"/>
    <x v="35"/>
    <x v="0"/>
  </r>
  <r>
    <x v="367"/>
    <x v="287"/>
    <x v="0"/>
    <x v="17"/>
    <x v="17"/>
    <x v="1"/>
    <x v="225"/>
    <x v="1"/>
    <x v="21"/>
    <x v="316"/>
    <x v="104"/>
    <x v="181"/>
    <x v="343"/>
    <x v="3"/>
    <x v="57"/>
    <x v="167"/>
    <x v="362"/>
    <x v="0"/>
    <x v="13"/>
    <x v="0"/>
  </r>
  <r>
    <x v="368"/>
    <x v="311"/>
    <x v="4"/>
    <x v="9"/>
    <x v="9"/>
    <x v="11"/>
    <x v="25"/>
    <x v="12"/>
    <x v="81"/>
    <x v="315"/>
    <x v="43"/>
    <x v="344"/>
    <x v="344"/>
    <x v="0"/>
    <x v="55"/>
    <x v="94"/>
    <x v="363"/>
    <x v="0"/>
    <x v="1"/>
    <x v="0"/>
  </r>
  <r>
    <x v="369"/>
    <x v="15"/>
    <x v="5"/>
    <x v="10"/>
    <x v="10"/>
    <x v="12"/>
    <x v="226"/>
    <x v="13"/>
    <x v="42"/>
    <x v="317"/>
    <x v="243"/>
    <x v="345"/>
    <x v="345"/>
    <x v="3"/>
    <x v="159"/>
    <x v="0"/>
    <x v="364"/>
    <x v="1"/>
    <x v="12"/>
    <x v="81"/>
  </r>
  <r>
    <x v="370"/>
    <x v="312"/>
    <x v="4"/>
    <x v="4"/>
    <x v="19"/>
    <x v="18"/>
    <x v="227"/>
    <x v="19"/>
    <x v="59"/>
    <x v="318"/>
    <x v="98"/>
    <x v="272"/>
    <x v="346"/>
    <x v="1"/>
    <x v="14"/>
    <x v="127"/>
    <x v="343"/>
    <x v="0"/>
    <x v="18"/>
    <x v="0"/>
  </r>
  <r>
    <x v="371"/>
    <x v="313"/>
    <x v="6"/>
    <x v="0"/>
    <x v="0"/>
    <x v="14"/>
    <x v="228"/>
    <x v="15"/>
    <x v="75"/>
    <x v="319"/>
    <x v="244"/>
    <x v="89"/>
    <x v="55"/>
    <x v="0"/>
    <x v="51"/>
    <x v="69"/>
    <x v="365"/>
    <x v="0"/>
    <x v="3"/>
    <x v="0"/>
  </r>
  <r>
    <x v="372"/>
    <x v="314"/>
    <x v="5"/>
    <x v="18"/>
    <x v="18"/>
    <x v="1"/>
    <x v="63"/>
    <x v="1"/>
    <x v="77"/>
    <x v="320"/>
    <x v="121"/>
    <x v="346"/>
    <x v="347"/>
    <x v="0"/>
    <x v="197"/>
    <x v="159"/>
    <x v="366"/>
    <x v="0"/>
    <x v="20"/>
    <x v="0"/>
  </r>
  <r>
    <x v="373"/>
    <x v="186"/>
    <x v="5"/>
    <x v="9"/>
    <x v="9"/>
    <x v="9"/>
    <x v="83"/>
    <x v="9"/>
    <x v="13"/>
    <x v="177"/>
    <x v="140"/>
    <x v="14"/>
    <x v="348"/>
    <x v="1"/>
    <x v="3"/>
    <x v="41"/>
    <x v="367"/>
    <x v="1"/>
    <x v="12"/>
    <x v="11"/>
  </r>
  <r>
    <x v="374"/>
    <x v="315"/>
    <x v="7"/>
    <x v="3"/>
    <x v="3"/>
    <x v="4"/>
    <x v="137"/>
    <x v="4"/>
    <x v="10"/>
    <x v="321"/>
    <x v="245"/>
    <x v="347"/>
    <x v="13"/>
    <x v="0"/>
    <x v="106"/>
    <x v="168"/>
    <x v="368"/>
    <x v="0"/>
    <x v="22"/>
    <x v="0"/>
  </r>
  <r>
    <x v="375"/>
    <x v="166"/>
    <x v="1"/>
    <x v="3"/>
    <x v="3"/>
    <x v="17"/>
    <x v="97"/>
    <x v="18"/>
    <x v="80"/>
    <x v="322"/>
    <x v="167"/>
    <x v="348"/>
    <x v="349"/>
    <x v="2"/>
    <x v="0"/>
    <x v="15"/>
    <x v="369"/>
    <x v="1"/>
    <x v="25"/>
    <x v="82"/>
  </r>
  <r>
    <x v="376"/>
    <x v="316"/>
    <x v="4"/>
    <x v="4"/>
    <x v="19"/>
    <x v="13"/>
    <x v="100"/>
    <x v="14"/>
    <x v="84"/>
    <x v="323"/>
    <x v="0"/>
    <x v="349"/>
    <x v="350"/>
    <x v="0"/>
    <x v="198"/>
    <x v="24"/>
    <x v="370"/>
    <x v="1"/>
    <x v="29"/>
    <x v="83"/>
  </r>
  <r>
    <x v="377"/>
    <x v="317"/>
    <x v="2"/>
    <x v="0"/>
    <x v="0"/>
    <x v="0"/>
    <x v="0"/>
    <x v="0"/>
    <x v="69"/>
    <x v="65"/>
    <x v="77"/>
    <x v="350"/>
    <x v="15"/>
    <x v="1"/>
    <x v="93"/>
    <x v="163"/>
    <x v="371"/>
    <x v="0"/>
    <x v="23"/>
    <x v="0"/>
  </r>
  <r>
    <x v="378"/>
    <x v="318"/>
    <x v="7"/>
    <x v="12"/>
    <x v="12"/>
    <x v="16"/>
    <x v="94"/>
    <x v="17"/>
    <x v="9"/>
    <x v="324"/>
    <x v="179"/>
    <x v="351"/>
    <x v="351"/>
    <x v="1"/>
    <x v="144"/>
    <x v="123"/>
    <x v="372"/>
    <x v="0"/>
    <x v="7"/>
    <x v="0"/>
  </r>
  <r>
    <x v="379"/>
    <x v="319"/>
    <x v="2"/>
    <x v="16"/>
    <x v="16"/>
    <x v="7"/>
    <x v="35"/>
    <x v="7"/>
    <x v="36"/>
    <x v="325"/>
    <x v="213"/>
    <x v="352"/>
    <x v="352"/>
    <x v="1"/>
    <x v="60"/>
    <x v="169"/>
    <x v="373"/>
    <x v="2"/>
    <x v="10"/>
    <x v="0"/>
  </r>
  <r>
    <x v="380"/>
    <x v="320"/>
    <x v="2"/>
    <x v="17"/>
    <x v="17"/>
    <x v="18"/>
    <x v="229"/>
    <x v="19"/>
    <x v="84"/>
    <x v="7"/>
    <x v="60"/>
    <x v="10"/>
    <x v="353"/>
    <x v="2"/>
    <x v="6"/>
    <x v="42"/>
    <x v="374"/>
    <x v="0"/>
    <x v="32"/>
    <x v="0"/>
  </r>
  <r>
    <x v="381"/>
    <x v="321"/>
    <x v="6"/>
    <x v="12"/>
    <x v="12"/>
    <x v="5"/>
    <x v="111"/>
    <x v="5"/>
    <x v="5"/>
    <x v="326"/>
    <x v="246"/>
    <x v="183"/>
    <x v="354"/>
    <x v="2"/>
    <x v="101"/>
    <x v="104"/>
    <x v="375"/>
    <x v="0"/>
    <x v="26"/>
    <x v="0"/>
  </r>
  <r>
    <x v="382"/>
    <x v="32"/>
    <x v="1"/>
    <x v="1"/>
    <x v="1"/>
    <x v="13"/>
    <x v="230"/>
    <x v="14"/>
    <x v="6"/>
    <x v="327"/>
    <x v="2"/>
    <x v="353"/>
    <x v="355"/>
    <x v="2"/>
    <x v="199"/>
    <x v="29"/>
    <x v="376"/>
    <x v="0"/>
    <x v="18"/>
    <x v="0"/>
  </r>
  <r>
    <x v="383"/>
    <x v="322"/>
    <x v="0"/>
    <x v="6"/>
    <x v="6"/>
    <x v="18"/>
    <x v="179"/>
    <x v="19"/>
    <x v="59"/>
    <x v="328"/>
    <x v="79"/>
    <x v="354"/>
    <x v="356"/>
    <x v="1"/>
    <x v="42"/>
    <x v="94"/>
    <x v="377"/>
    <x v="0"/>
    <x v="12"/>
    <x v="0"/>
  </r>
  <r>
    <x v="384"/>
    <x v="323"/>
    <x v="3"/>
    <x v="11"/>
    <x v="11"/>
    <x v="1"/>
    <x v="21"/>
    <x v="1"/>
    <x v="33"/>
    <x v="329"/>
    <x v="247"/>
    <x v="355"/>
    <x v="357"/>
    <x v="1"/>
    <x v="118"/>
    <x v="170"/>
    <x v="378"/>
    <x v="0"/>
    <x v="24"/>
    <x v="0"/>
  </r>
  <r>
    <x v="385"/>
    <x v="324"/>
    <x v="6"/>
    <x v="12"/>
    <x v="12"/>
    <x v="12"/>
    <x v="231"/>
    <x v="13"/>
    <x v="38"/>
    <x v="330"/>
    <x v="248"/>
    <x v="356"/>
    <x v="358"/>
    <x v="1"/>
    <x v="200"/>
    <x v="130"/>
    <x v="379"/>
    <x v="0"/>
    <x v="13"/>
    <x v="0"/>
  </r>
  <r>
    <x v="386"/>
    <x v="325"/>
    <x v="1"/>
    <x v="0"/>
    <x v="0"/>
    <x v="9"/>
    <x v="73"/>
    <x v="9"/>
    <x v="59"/>
    <x v="130"/>
    <x v="249"/>
    <x v="180"/>
    <x v="359"/>
    <x v="2"/>
    <x v="145"/>
    <x v="83"/>
    <x v="380"/>
    <x v="0"/>
    <x v="18"/>
    <x v="0"/>
  </r>
  <r>
    <x v="387"/>
    <x v="67"/>
    <x v="7"/>
    <x v="16"/>
    <x v="16"/>
    <x v="17"/>
    <x v="232"/>
    <x v="18"/>
    <x v="39"/>
    <x v="331"/>
    <x v="235"/>
    <x v="357"/>
    <x v="360"/>
    <x v="0"/>
    <x v="166"/>
    <x v="105"/>
    <x v="381"/>
    <x v="0"/>
    <x v="29"/>
    <x v="0"/>
  </r>
  <r>
    <x v="388"/>
    <x v="326"/>
    <x v="4"/>
    <x v="18"/>
    <x v="18"/>
    <x v="15"/>
    <x v="233"/>
    <x v="16"/>
    <x v="50"/>
    <x v="28"/>
    <x v="132"/>
    <x v="358"/>
    <x v="9"/>
    <x v="1"/>
    <x v="78"/>
    <x v="18"/>
    <x v="382"/>
    <x v="0"/>
    <x v="19"/>
    <x v="0"/>
  </r>
  <r>
    <x v="389"/>
    <x v="327"/>
    <x v="6"/>
    <x v="8"/>
    <x v="8"/>
    <x v="3"/>
    <x v="185"/>
    <x v="3"/>
    <x v="74"/>
    <x v="332"/>
    <x v="123"/>
    <x v="359"/>
    <x v="361"/>
    <x v="2"/>
    <x v="119"/>
    <x v="61"/>
    <x v="383"/>
    <x v="0"/>
    <x v="5"/>
    <x v="0"/>
  </r>
  <r>
    <x v="390"/>
    <x v="328"/>
    <x v="6"/>
    <x v="12"/>
    <x v="12"/>
    <x v="3"/>
    <x v="56"/>
    <x v="3"/>
    <x v="23"/>
    <x v="333"/>
    <x v="222"/>
    <x v="360"/>
    <x v="362"/>
    <x v="1"/>
    <x v="116"/>
    <x v="140"/>
    <x v="384"/>
    <x v="0"/>
    <x v="1"/>
    <x v="0"/>
  </r>
  <r>
    <x v="391"/>
    <x v="329"/>
    <x v="1"/>
    <x v="4"/>
    <x v="19"/>
    <x v="8"/>
    <x v="133"/>
    <x v="8"/>
    <x v="93"/>
    <x v="334"/>
    <x v="101"/>
    <x v="361"/>
    <x v="363"/>
    <x v="0"/>
    <x v="201"/>
    <x v="171"/>
    <x v="385"/>
    <x v="1"/>
    <x v="23"/>
    <x v="36"/>
  </r>
  <r>
    <x v="392"/>
    <x v="330"/>
    <x v="6"/>
    <x v="9"/>
    <x v="9"/>
    <x v="13"/>
    <x v="86"/>
    <x v="14"/>
    <x v="56"/>
    <x v="335"/>
    <x v="250"/>
    <x v="362"/>
    <x v="364"/>
    <x v="3"/>
    <x v="45"/>
    <x v="126"/>
    <x v="386"/>
    <x v="0"/>
    <x v="27"/>
    <x v="0"/>
  </r>
  <r>
    <x v="393"/>
    <x v="331"/>
    <x v="1"/>
    <x v="12"/>
    <x v="12"/>
    <x v="18"/>
    <x v="234"/>
    <x v="19"/>
    <x v="56"/>
    <x v="336"/>
    <x v="64"/>
    <x v="363"/>
    <x v="365"/>
    <x v="1"/>
    <x v="166"/>
    <x v="98"/>
    <x v="387"/>
    <x v="0"/>
    <x v="23"/>
    <x v="0"/>
  </r>
  <r>
    <x v="394"/>
    <x v="332"/>
    <x v="6"/>
    <x v="17"/>
    <x v="17"/>
    <x v="17"/>
    <x v="108"/>
    <x v="18"/>
    <x v="11"/>
    <x v="337"/>
    <x v="251"/>
    <x v="364"/>
    <x v="55"/>
    <x v="0"/>
    <x v="136"/>
    <x v="172"/>
    <x v="388"/>
    <x v="0"/>
    <x v="3"/>
    <x v="0"/>
  </r>
  <r>
    <x v="395"/>
    <x v="333"/>
    <x v="4"/>
    <x v="14"/>
    <x v="14"/>
    <x v="15"/>
    <x v="210"/>
    <x v="16"/>
    <x v="25"/>
    <x v="338"/>
    <x v="35"/>
    <x v="365"/>
    <x v="366"/>
    <x v="1"/>
    <x v="83"/>
    <x v="92"/>
    <x v="389"/>
    <x v="0"/>
    <x v="15"/>
    <x v="0"/>
  </r>
  <r>
    <x v="396"/>
    <x v="334"/>
    <x v="5"/>
    <x v="7"/>
    <x v="7"/>
    <x v="11"/>
    <x v="122"/>
    <x v="12"/>
    <x v="0"/>
    <x v="0"/>
    <x v="0"/>
    <x v="366"/>
    <x v="367"/>
    <x v="2"/>
    <x v="100"/>
    <x v="23"/>
    <x v="390"/>
    <x v="1"/>
    <x v="20"/>
    <x v="62"/>
  </r>
  <r>
    <x v="397"/>
    <x v="335"/>
    <x v="2"/>
    <x v="12"/>
    <x v="12"/>
    <x v="9"/>
    <x v="128"/>
    <x v="9"/>
    <x v="52"/>
    <x v="339"/>
    <x v="35"/>
    <x v="367"/>
    <x v="368"/>
    <x v="0"/>
    <x v="58"/>
    <x v="148"/>
    <x v="391"/>
    <x v="0"/>
    <x v="25"/>
    <x v="0"/>
  </r>
  <r>
    <x v="398"/>
    <x v="162"/>
    <x v="4"/>
    <x v="10"/>
    <x v="10"/>
    <x v="6"/>
    <x v="235"/>
    <x v="6"/>
    <x v="43"/>
    <x v="340"/>
    <x v="213"/>
    <x v="368"/>
    <x v="369"/>
    <x v="2"/>
    <x v="79"/>
    <x v="56"/>
    <x v="392"/>
    <x v="0"/>
    <x v="33"/>
    <x v="0"/>
  </r>
  <r>
    <x v="399"/>
    <x v="336"/>
    <x v="3"/>
    <x v="8"/>
    <x v="8"/>
    <x v="12"/>
    <x v="67"/>
    <x v="13"/>
    <x v="38"/>
    <x v="341"/>
    <x v="173"/>
    <x v="369"/>
    <x v="370"/>
    <x v="2"/>
    <x v="37"/>
    <x v="51"/>
    <x v="393"/>
    <x v="2"/>
    <x v="18"/>
    <x v="0"/>
  </r>
  <r>
    <x v="400"/>
    <x v="337"/>
    <x v="7"/>
    <x v="15"/>
    <x v="15"/>
    <x v="2"/>
    <x v="236"/>
    <x v="2"/>
    <x v="19"/>
    <x v="342"/>
    <x v="95"/>
    <x v="370"/>
    <x v="13"/>
    <x v="3"/>
    <x v="202"/>
    <x v="173"/>
    <x v="394"/>
    <x v="0"/>
    <x v="16"/>
    <x v="0"/>
  </r>
  <r>
    <x v="401"/>
    <x v="338"/>
    <x v="4"/>
    <x v="7"/>
    <x v="7"/>
    <x v="0"/>
    <x v="142"/>
    <x v="0"/>
    <x v="53"/>
    <x v="343"/>
    <x v="252"/>
    <x v="371"/>
    <x v="371"/>
    <x v="0"/>
    <x v="44"/>
    <x v="38"/>
    <x v="395"/>
    <x v="0"/>
    <x v="15"/>
    <x v="0"/>
  </r>
  <r>
    <x v="402"/>
    <x v="339"/>
    <x v="7"/>
    <x v="17"/>
    <x v="17"/>
    <x v="13"/>
    <x v="237"/>
    <x v="14"/>
    <x v="20"/>
    <x v="242"/>
    <x v="182"/>
    <x v="372"/>
    <x v="372"/>
    <x v="1"/>
    <x v="152"/>
    <x v="54"/>
    <x v="396"/>
    <x v="0"/>
    <x v="22"/>
    <x v="0"/>
  </r>
  <r>
    <x v="403"/>
    <x v="340"/>
    <x v="1"/>
    <x v="12"/>
    <x v="12"/>
    <x v="12"/>
    <x v="231"/>
    <x v="13"/>
    <x v="68"/>
    <x v="344"/>
    <x v="170"/>
    <x v="373"/>
    <x v="373"/>
    <x v="2"/>
    <x v="198"/>
    <x v="35"/>
    <x v="397"/>
    <x v="0"/>
    <x v="35"/>
    <x v="0"/>
  </r>
  <r>
    <x v="404"/>
    <x v="341"/>
    <x v="0"/>
    <x v="1"/>
    <x v="1"/>
    <x v="6"/>
    <x v="18"/>
    <x v="11"/>
    <x v="68"/>
    <x v="345"/>
    <x v="79"/>
    <x v="374"/>
    <x v="374"/>
    <x v="1"/>
    <x v="104"/>
    <x v="71"/>
    <x v="398"/>
    <x v="0"/>
    <x v="19"/>
    <x v="0"/>
  </r>
  <r>
    <x v="405"/>
    <x v="81"/>
    <x v="6"/>
    <x v="11"/>
    <x v="11"/>
    <x v="18"/>
    <x v="78"/>
    <x v="19"/>
    <x v="20"/>
    <x v="94"/>
    <x v="6"/>
    <x v="375"/>
    <x v="375"/>
    <x v="2"/>
    <x v="1"/>
    <x v="174"/>
    <x v="399"/>
    <x v="0"/>
    <x v="3"/>
    <x v="0"/>
  </r>
  <r>
    <x v="406"/>
    <x v="342"/>
    <x v="4"/>
    <x v="15"/>
    <x v="15"/>
    <x v="15"/>
    <x v="238"/>
    <x v="16"/>
    <x v="76"/>
    <x v="346"/>
    <x v="253"/>
    <x v="376"/>
    <x v="9"/>
    <x v="2"/>
    <x v="183"/>
    <x v="12"/>
    <x v="400"/>
    <x v="1"/>
    <x v="10"/>
    <x v="84"/>
  </r>
  <r>
    <x v="407"/>
    <x v="315"/>
    <x v="1"/>
    <x v="6"/>
    <x v="6"/>
    <x v="5"/>
    <x v="7"/>
    <x v="5"/>
    <x v="32"/>
    <x v="347"/>
    <x v="63"/>
    <x v="377"/>
    <x v="376"/>
    <x v="2"/>
    <x v="130"/>
    <x v="175"/>
    <x v="401"/>
    <x v="0"/>
    <x v="22"/>
    <x v="0"/>
  </r>
  <r>
    <x v="408"/>
    <x v="343"/>
    <x v="7"/>
    <x v="6"/>
    <x v="6"/>
    <x v="11"/>
    <x v="120"/>
    <x v="12"/>
    <x v="5"/>
    <x v="348"/>
    <x v="155"/>
    <x v="378"/>
    <x v="13"/>
    <x v="2"/>
    <x v="60"/>
    <x v="176"/>
    <x v="402"/>
    <x v="0"/>
    <x v="13"/>
    <x v="0"/>
  </r>
  <r>
    <x v="409"/>
    <x v="344"/>
    <x v="7"/>
    <x v="4"/>
    <x v="19"/>
    <x v="16"/>
    <x v="146"/>
    <x v="17"/>
    <x v="42"/>
    <x v="349"/>
    <x v="254"/>
    <x v="379"/>
    <x v="377"/>
    <x v="0"/>
    <x v="49"/>
    <x v="52"/>
    <x v="403"/>
    <x v="0"/>
    <x v="15"/>
    <x v="0"/>
  </r>
  <r>
    <x v="410"/>
    <x v="345"/>
    <x v="1"/>
    <x v="2"/>
    <x v="2"/>
    <x v="9"/>
    <x v="176"/>
    <x v="9"/>
    <x v="34"/>
    <x v="350"/>
    <x v="255"/>
    <x v="380"/>
    <x v="378"/>
    <x v="1"/>
    <x v="146"/>
    <x v="106"/>
    <x v="404"/>
    <x v="1"/>
    <x v="1"/>
    <x v="12"/>
  </r>
  <r>
    <x v="411"/>
    <x v="346"/>
    <x v="6"/>
    <x v="1"/>
    <x v="1"/>
    <x v="18"/>
    <x v="239"/>
    <x v="19"/>
    <x v="71"/>
    <x v="204"/>
    <x v="245"/>
    <x v="381"/>
    <x v="379"/>
    <x v="1"/>
    <x v="133"/>
    <x v="35"/>
    <x v="405"/>
    <x v="0"/>
    <x v="13"/>
    <x v="0"/>
  </r>
  <r>
    <x v="412"/>
    <x v="347"/>
    <x v="6"/>
    <x v="16"/>
    <x v="16"/>
    <x v="6"/>
    <x v="59"/>
    <x v="6"/>
    <x v="31"/>
    <x v="351"/>
    <x v="256"/>
    <x v="382"/>
    <x v="380"/>
    <x v="1"/>
    <x v="94"/>
    <x v="177"/>
    <x v="406"/>
    <x v="0"/>
    <x v="25"/>
    <x v="0"/>
  </r>
  <r>
    <x v="413"/>
    <x v="348"/>
    <x v="5"/>
    <x v="10"/>
    <x v="10"/>
    <x v="15"/>
    <x v="113"/>
    <x v="16"/>
    <x v="52"/>
    <x v="352"/>
    <x v="177"/>
    <x v="383"/>
    <x v="381"/>
    <x v="2"/>
    <x v="73"/>
    <x v="110"/>
    <x v="407"/>
    <x v="0"/>
    <x v="20"/>
    <x v="0"/>
  </r>
  <r>
    <x v="414"/>
    <x v="56"/>
    <x v="0"/>
    <x v="3"/>
    <x v="3"/>
    <x v="18"/>
    <x v="240"/>
    <x v="19"/>
    <x v="69"/>
    <x v="353"/>
    <x v="116"/>
    <x v="384"/>
    <x v="382"/>
    <x v="0"/>
    <x v="122"/>
    <x v="178"/>
    <x v="408"/>
    <x v="0"/>
    <x v="26"/>
    <x v="0"/>
  </r>
  <r>
    <x v="415"/>
    <x v="349"/>
    <x v="3"/>
    <x v="3"/>
    <x v="3"/>
    <x v="11"/>
    <x v="241"/>
    <x v="12"/>
    <x v="37"/>
    <x v="66"/>
    <x v="128"/>
    <x v="385"/>
    <x v="383"/>
    <x v="0"/>
    <x v="149"/>
    <x v="37"/>
    <x v="333"/>
    <x v="0"/>
    <x v="35"/>
    <x v="0"/>
  </r>
  <r>
    <x v="416"/>
    <x v="350"/>
    <x v="3"/>
    <x v="11"/>
    <x v="11"/>
    <x v="0"/>
    <x v="60"/>
    <x v="0"/>
    <x v="58"/>
    <x v="196"/>
    <x v="257"/>
    <x v="386"/>
    <x v="384"/>
    <x v="3"/>
    <x v="174"/>
    <x v="178"/>
    <x v="409"/>
    <x v="1"/>
    <x v="13"/>
    <x v="35"/>
  </r>
  <r>
    <x v="417"/>
    <x v="351"/>
    <x v="0"/>
    <x v="5"/>
    <x v="5"/>
    <x v="0"/>
    <x v="8"/>
    <x v="0"/>
    <x v="1"/>
    <x v="354"/>
    <x v="258"/>
    <x v="387"/>
    <x v="385"/>
    <x v="2"/>
    <x v="203"/>
    <x v="110"/>
    <x v="410"/>
    <x v="0"/>
    <x v="18"/>
    <x v="0"/>
  </r>
  <r>
    <x v="418"/>
    <x v="289"/>
    <x v="2"/>
    <x v="11"/>
    <x v="11"/>
    <x v="11"/>
    <x v="242"/>
    <x v="12"/>
    <x v="84"/>
    <x v="355"/>
    <x v="48"/>
    <x v="388"/>
    <x v="386"/>
    <x v="2"/>
    <x v="71"/>
    <x v="179"/>
    <x v="411"/>
    <x v="2"/>
    <x v="6"/>
    <x v="0"/>
  </r>
  <r>
    <x v="419"/>
    <x v="352"/>
    <x v="5"/>
    <x v="1"/>
    <x v="1"/>
    <x v="6"/>
    <x v="18"/>
    <x v="6"/>
    <x v="42"/>
    <x v="153"/>
    <x v="257"/>
    <x v="389"/>
    <x v="387"/>
    <x v="0"/>
    <x v="8"/>
    <x v="148"/>
    <x v="412"/>
    <x v="0"/>
    <x v="1"/>
    <x v="0"/>
  </r>
  <r>
    <x v="420"/>
    <x v="353"/>
    <x v="5"/>
    <x v="4"/>
    <x v="19"/>
    <x v="18"/>
    <x v="227"/>
    <x v="19"/>
    <x v="30"/>
    <x v="218"/>
    <x v="5"/>
    <x v="179"/>
    <x v="388"/>
    <x v="2"/>
    <x v="57"/>
    <x v="158"/>
    <x v="413"/>
    <x v="0"/>
    <x v="31"/>
    <x v="0"/>
  </r>
  <r>
    <x v="421"/>
    <x v="354"/>
    <x v="2"/>
    <x v="2"/>
    <x v="2"/>
    <x v="6"/>
    <x v="68"/>
    <x v="6"/>
    <x v="13"/>
    <x v="92"/>
    <x v="99"/>
    <x v="390"/>
    <x v="389"/>
    <x v="3"/>
    <x v="204"/>
    <x v="42"/>
    <x v="414"/>
    <x v="0"/>
    <x v="35"/>
    <x v="0"/>
  </r>
  <r>
    <x v="422"/>
    <x v="190"/>
    <x v="2"/>
    <x v="3"/>
    <x v="3"/>
    <x v="0"/>
    <x v="243"/>
    <x v="0"/>
    <x v="39"/>
    <x v="356"/>
    <x v="154"/>
    <x v="391"/>
    <x v="390"/>
    <x v="1"/>
    <x v="115"/>
    <x v="54"/>
    <x v="415"/>
    <x v="0"/>
    <x v="6"/>
    <x v="0"/>
  </r>
  <r>
    <x v="423"/>
    <x v="355"/>
    <x v="0"/>
    <x v="11"/>
    <x v="11"/>
    <x v="14"/>
    <x v="126"/>
    <x v="15"/>
    <x v="1"/>
    <x v="36"/>
    <x v="259"/>
    <x v="392"/>
    <x v="391"/>
    <x v="1"/>
    <x v="126"/>
    <x v="72"/>
    <x v="416"/>
    <x v="2"/>
    <x v="29"/>
    <x v="0"/>
  </r>
  <r>
    <x v="424"/>
    <x v="356"/>
    <x v="2"/>
    <x v="15"/>
    <x v="15"/>
    <x v="11"/>
    <x v="144"/>
    <x v="12"/>
    <x v="29"/>
    <x v="357"/>
    <x v="16"/>
    <x v="290"/>
    <x v="392"/>
    <x v="2"/>
    <x v="139"/>
    <x v="20"/>
    <x v="417"/>
    <x v="0"/>
    <x v="24"/>
    <x v="0"/>
  </r>
  <r>
    <x v="425"/>
    <x v="206"/>
    <x v="1"/>
    <x v="0"/>
    <x v="0"/>
    <x v="14"/>
    <x v="228"/>
    <x v="15"/>
    <x v="25"/>
    <x v="358"/>
    <x v="217"/>
    <x v="393"/>
    <x v="393"/>
    <x v="0"/>
    <x v="155"/>
    <x v="180"/>
    <x v="418"/>
    <x v="0"/>
    <x v="10"/>
    <x v="0"/>
  </r>
  <r>
    <x v="426"/>
    <x v="357"/>
    <x v="7"/>
    <x v="11"/>
    <x v="11"/>
    <x v="8"/>
    <x v="121"/>
    <x v="8"/>
    <x v="63"/>
    <x v="359"/>
    <x v="6"/>
    <x v="394"/>
    <x v="394"/>
    <x v="1"/>
    <x v="148"/>
    <x v="19"/>
    <x v="419"/>
    <x v="1"/>
    <x v="1"/>
    <x v="85"/>
  </r>
  <r>
    <x v="427"/>
    <x v="358"/>
    <x v="4"/>
    <x v="11"/>
    <x v="11"/>
    <x v="14"/>
    <x v="126"/>
    <x v="15"/>
    <x v="84"/>
    <x v="360"/>
    <x v="130"/>
    <x v="395"/>
    <x v="395"/>
    <x v="1"/>
    <x v="196"/>
    <x v="181"/>
    <x v="3"/>
    <x v="0"/>
    <x v="12"/>
    <x v="0"/>
  </r>
  <r>
    <x v="428"/>
    <x v="138"/>
    <x v="4"/>
    <x v="16"/>
    <x v="16"/>
    <x v="8"/>
    <x v="244"/>
    <x v="8"/>
    <x v="84"/>
    <x v="158"/>
    <x v="172"/>
    <x v="396"/>
    <x v="396"/>
    <x v="1"/>
    <x v="69"/>
    <x v="116"/>
    <x v="420"/>
    <x v="0"/>
    <x v="14"/>
    <x v="0"/>
  </r>
  <r>
    <x v="429"/>
    <x v="359"/>
    <x v="0"/>
    <x v="13"/>
    <x v="13"/>
    <x v="5"/>
    <x v="190"/>
    <x v="5"/>
    <x v="53"/>
    <x v="115"/>
    <x v="260"/>
    <x v="157"/>
    <x v="397"/>
    <x v="0"/>
    <x v="100"/>
    <x v="37"/>
    <x v="421"/>
    <x v="0"/>
    <x v="16"/>
    <x v="0"/>
  </r>
  <r>
    <x v="430"/>
    <x v="62"/>
    <x v="6"/>
    <x v="7"/>
    <x v="7"/>
    <x v="8"/>
    <x v="43"/>
    <x v="8"/>
    <x v="87"/>
    <x v="361"/>
    <x v="138"/>
    <x v="397"/>
    <x v="398"/>
    <x v="1"/>
    <x v="94"/>
    <x v="119"/>
    <x v="422"/>
    <x v="0"/>
    <x v="28"/>
    <x v="0"/>
  </r>
  <r>
    <x v="431"/>
    <x v="360"/>
    <x v="4"/>
    <x v="5"/>
    <x v="5"/>
    <x v="5"/>
    <x v="5"/>
    <x v="5"/>
    <x v="5"/>
    <x v="76"/>
    <x v="173"/>
    <x v="398"/>
    <x v="399"/>
    <x v="1"/>
    <x v="5"/>
    <x v="142"/>
    <x v="423"/>
    <x v="0"/>
    <x v="31"/>
    <x v="0"/>
  </r>
  <r>
    <x v="432"/>
    <x v="361"/>
    <x v="3"/>
    <x v="16"/>
    <x v="16"/>
    <x v="4"/>
    <x v="106"/>
    <x v="4"/>
    <x v="0"/>
    <x v="362"/>
    <x v="261"/>
    <x v="399"/>
    <x v="400"/>
    <x v="0"/>
    <x v="114"/>
    <x v="89"/>
    <x v="424"/>
    <x v="0"/>
    <x v="19"/>
    <x v="0"/>
  </r>
  <r>
    <x v="433"/>
    <x v="362"/>
    <x v="1"/>
    <x v="3"/>
    <x v="3"/>
    <x v="15"/>
    <x v="207"/>
    <x v="16"/>
    <x v="45"/>
    <x v="363"/>
    <x v="225"/>
    <x v="400"/>
    <x v="401"/>
    <x v="1"/>
    <x v="205"/>
    <x v="92"/>
    <x v="425"/>
    <x v="0"/>
    <x v="14"/>
    <x v="0"/>
  </r>
  <r>
    <x v="434"/>
    <x v="363"/>
    <x v="1"/>
    <x v="13"/>
    <x v="13"/>
    <x v="9"/>
    <x v="245"/>
    <x v="9"/>
    <x v="70"/>
    <x v="16"/>
    <x v="23"/>
    <x v="401"/>
    <x v="402"/>
    <x v="0"/>
    <x v="195"/>
    <x v="30"/>
    <x v="426"/>
    <x v="0"/>
    <x v="24"/>
    <x v="0"/>
  </r>
  <r>
    <x v="435"/>
    <x v="180"/>
    <x v="0"/>
    <x v="0"/>
    <x v="0"/>
    <x v="17"/>
    <x v="223"/>
    <x v="18"/>
    <x v="26"/>
    <x v="270"/>
    <x v="45"/>
    <x v="107"/>
    <x v="403"/>
    <x v="1"/>
    <x v="206"/>
    <x v="24"/>
    <x v="427"/>
    <x v="0"/>
    <x v="22"/>
    <x v="0"/>
  </r>
  <r>
    <x v="436"/>
    <x v="150"/>
    <x v="2"/>
    <x v="14"/>
    <x v="14"/>
    <x v="12"/>
    <x v="157"/>
    <x v="13"/>
    <x v="31"/>
    <x v="364"/>
    <x v="53"/>
    <x v="184"/>
    <x v="404"/>
    <x v="0"/>
    <x v="207"/>
    <x v="7"/>
    <x v="400"/>
    <x v="0"/>
    <x v="2"/>
    <x v="0"/>
  </r>
  <r>
    <x v="437"/>
    <x v="364"/>
    <x v="5"/>
    <x v="2"/>
    <x v="2"/>
    <x v="0"/>
    <x v="99"/>
    <x v="0"/>
    <x v="79"/>
    <x v="365"/>
    <x v="1"/>
    <x v="402"/>
    <x v="405"/>
    <x v="0"/>
    <x v="168"/>
    <x v="151"/>
    <x v="428"/>
    <x v="0"/>
    <x v="22"/>
    <x v="0"/>
  </r>
  <r>
    <x v="438"/>
    <x v="365"/>
    <x v="0"/>
    <x v="5"/>
    <x v="5"/>
    <x v="5"/>
    <x v="5"/>
    <x v="5"/>
    <x v="23"/>
    <x v="366"/>
    <x v="40"/>
    <x v="403"/>
    <x v="406"/>
    <x v="2"/>
    <x v="8"/>
    <x v="94"/>
    <x v="429"/>
    <x v="1"/>
    <x v="20"/>
    <x v="62"/>
  </r>
  <r>
    <x v="439"/>
    <x v="366"/>
    <x v="1"/>
    <x v="9"/>
    <x v="9"/>
    <x v="18"/>
    <x v="246"/>
    <x v="19"/>
    <x v="42"/>
    <x v="367"/>
    <x v="49"/>
    <x v="404"/>
    <x v="407"/>
    <x v="0"/>
    <x v="200"/>
    <x v="182"/>
    <x v="430"/>
    <x v="1"/>
    <x v="2"/>
    <x v="86"/>
  </r>
  <r>
    <x v="440"/>
    <x v="367"/>
    <x v="3"/>
    <x v="17"/>
    <x v="17"/>
    <x v="11"/>
    <x v="151"/>
    <x v="12"/>
    <x v="59"/>
    <x v="368"/>
    <x v="262"/>
    <x v="139"/>
    <x v="408"/>
    <x v="0"/>
    <x v="139"/>
    <x v="75"/>
    <x v="431"/>
    <x v="0"/>
    <x v="10"/>
    <x v="0"/>
  </r>
  <r>
    <x v="441"/>
    <x v="368"/>
    <x v="3"/>
    <x v="8"/>
    <x v="8"/>
    <x v="1"/>
    <x v="196"/>
    <x v="1"/>
    <x v="8"/>
    <x v="369"/>
    <x v="226"/>
    <x v="405"/>
    <x v="409"/>
    <x v="2"/>
    <x v="141"/>
    <x v="37"/>
    <x v="432"/>
    <x v="0"/>
    <x v="28"/>
    <x v="0"/>
  </r>
  <r>
    <x v="442"/>
    <x v="369"/>
    <x v="3"/>
    <x v="12"/>
    <x v="12"/>
    <x v="15"/>
    <x v="247"/>
    <x v="16"/>
    <x v="83"/>
    <x v="370"/>
    <x v="130"/>
    <x v="269"/>
    <x v="410"/>
    <x v="3"/>
    <x v="79"/>
    <x v="110"/>
    <x v="3"/>
    <x v="2"/>
    <x v="0"/>
    <x v="0"/>
  </r>
  <r>
    <x v="443"/>
    <x v="370"/>
    <x v="3"/>
    <x v="18"/>
    <x v="18"/>
    <x v="16"/>
    <x v="248"/>
    <x v="17"/>
    <x v="92"/>
    <x v="64"/>
    <x v="263"/>
    <x v="406"/>
    <x v="411"/>
    <x v="0"/>
    <x v="208"/>
    <x v="154"/>
    <x v="433"/>
    <x v="0"/>
    <x v="2"/>
    <x v="0"/>
  </r>
  <r>
    <x v="444"/>
    <x v="371"/>
    <x v="1"/>
    <x v="15"/>
    <x v="15"/>
    <x v="5"/>
    <x v="249"/>
    <x v="5"/>
    <x v="25"/>
    <x v="371"/>
    <x v="142"/>
    <x v="407"/>
    <x v="412"/>
    <x v="1"/>
    <x v="97"/>
    <x v="183"/>
    <x v="434"/>
    <x v="0"/>
    <x v="32"/>
    <x v="0"/>
  </r>
  <r>
    <x v="445"/>
    <x v="244"/>
    <x v="6"/>
    <x v="6"/>
    <x v="6"/>
    <x v="15"/>
    <x v="198"/>
    <x v="16"/>
    <x v="46"/>
    <x v="100"/>
    <x v="14"/>
    <x v="408"/>
    <x v="413"/>
    <x v="2"/>
    <x v="56"/>
    <x v="184"/>
    <x v="435"/>
    <x v="2"/>
    <x v="29"/>
    <x v="0"/>
  </r>
  <r>
    <x v="446"/>
    <x v="372"/>
    <x v="1"/>
    <x v="18"/>
    <x v="18"/>
    <x v="6"/>
    <x v="40"/>
    <x v="11"/>
    <x v="10"/>
    <x v="107"/>
    <x v="264"/>
    <x v="409"/>
    <x v="414"/>
    <x v="1"/>
    <x v="137"/>
    <x v="57"/>
    <x v="436"/>
    <x v="0"/>
    <x v="32"/>
    <x v="0"/>
  </r>
  <r>
    <x v="447"/>
    <x v="297"/>
    <x v="4"/>
    <x v="12"/>
    <x v="12"/>
    <x v="10"/>
    <x v="153"/>
    <x v="10"/>
    <x v="1"/>
    <x v="372"/>
    <x v="174"/>
    <x v="410"/>
    <x v="415"/>
    <x v="2"/>
    <x v="75"/>
    <x v="51"/>
    <x v="437"/>
    <x v="0"/>
    <x v="25"/>
    <x v="0"/>
  </r>
  <r>
    <x v="448"/>
    <x v="373"/>
    <x v="0"/>
    <x v="13"/>
    <x v="13"/>
    <x v="5"/>
    <x v="190"/>
    <x v="5"/>
    <x v="84"/>
    <x v="373"/>
    <x v="256"/>
    <x v="411"/>
    <x v="416"/>
    <x v="1"/>
    <x v="73"/>
    <x v="185"/>
    <x v="438"/>
    <x v="0"/>
    <x v="29"/>
    <x v="0"/>
  </r>
  <r>
    <x v="449"/>
    <x v="19"/>
    <x v="4"/>
    <x v="8"/>
    <x v="8"/>
    <x v="4"/>
    <x v="163"/>
    <x v="4"/>
    <x v="76"/>
    <x v="374"/>
    <x v="149"/>
    <x v="412"/>
    <x v="417"/>
    <x v="0"/>
    <x v="196"/>
    <x v="153"/>
    <x v="439"/>
    <x v="0"/>
    <x v="15"/>
    <x v="0"/>
  </r>
  <r>
    <x v="450"/>
    <x v="374"/>
    <x v="4"/>
    <x v="17"/>
    <x v="17"/>
    <x v="14"/>
    <x v="180"/>
    <x v="15"/>
    <x v="17"/>
    <x v="375"/>
    <x v="29"/>
    <x v="101"/>
    <x v="9"/>
    <x v="0"/>
    <x v="96"/>
    <x v="147"/>
    <x v="440"/>
    <x v="1"/>
    <x v="30"/>
    <x v="56"/>
  </r>
  <r>
    <x v="451"/>
    <x v="342"/>
    <x v="2"/>
    <x v="2"/>
    <x v="2"/>
    <x v="16"/>
    <x v="250"/>
    <x v="17"/>
    <x v="12"/>
    <x v="376"/>
    <x v="244"/>
    <x v="413"/>
    <x v="418"/>
    <x v="2"/>
    <x v="83"/>
    <x v="186"/>
    <x v="441"/>
    <x v="0"/>
    <x v="10"/>
    <x v="0"/>
  </r>
  <r>
    <x v="452"/>
    <x v="375"/>
    <x v="3"/>
    <x v="7"/>
    <x v="7"/>
    <x v="6"/>
    <x v="181"/>
    <x v="6"/>
    <x v="63"/>
    <x v="276"/>
    <x v="96"/>
    <x v="414"/>
    <x v="419"/>
    <x v="0"/>
    <x v="118"/>
    <x v="93"/>
    <x v="442"/>
    <x v="0"/>
    <x v="9"/>
    <x v="0"/>
  </r>
  <r>
    <x v="453"/>
    <x v="70"/>
    <x v="3"/>
    <x v="11"/>
    <x v="11"/>
    <x v="2"/>
    <x v="251"/>
    <x v="2"/>
    <x v="43"/>
    <x v="22"/>
    <x v="265"/>
    <x v="415"/>
    <x v="420"/>
    <x v="2"/>
    <x v="51"/>
    <x v="116"/>
    <x v="443"/>
    <x v="2"/>
    <x v="30"/>
    <x v="0"/>
  </r>
  <r>
    <x v="454"/>
    <x v="121"/>
    <x v="7"/>
    <x v="15"/>
    <x v="15"/>
    <x v="7"/>
    <x v="252"/>
    <x v="7"/>
    <x v="55"/>
    <x v="332"/>
    <x v="266"/>
    <x v="416"/>
    <x v="421"/>
    <x v="1"/>
    <x v="101"/>
    <x v="8"/>
    <x v="444"/>
    <x v="0"/>
    <x v="0"/>
    <x v="0"/>
  </r>
  <r>
    <x v="455"/>
    <x v="359"/>
    <x v="6"/>
    <x v="17"/>
    <x v="17"/>
    <x v="7"/>
    <x v="82"/>
    <x v="7"/>
    <x v="12"/>
    <x v="281"/>
    <x v="267"/>
    <x v="417"/>
    <x v="422"/>
    <x v="0"/>
    <x v="142"/>
    <x v="86"/>
    <x v="445"/>
    <x v="0"/>
    <x v="16"/>
    <x v="0"/>
  </r>
  <r>
    <x v="456"/>
    <x v="90"/>
    <x v="0"/>
    <x v="5"/>
    <x v="5"/>
    <x v="4"/>
    <x v="253"/>
    <x v="4"/>
    <x v="68"/>
    <x v="305"/>
    <x v="268"/>
    <x v="418"/>
    <x v="423"/>
    <x v="1"/>
    <x v="209"/>
    <x v="119"/>
    <x v="446"/>
    <x v="0"/>
    <x v="30"/>
    <x v="0"/>
  </r>
  <r>
    <x v="457"/>
    <x v="251"/>
    <x v="3"/>
    <x v="2"/>
    <x v="2"/>
    <x v="14"/>
    <x v="192"/>
    <x v="15"/>
    <x v="69"/>
    <x v="377"/>
    <x v="269"/>
    <x v="333"/>
    <x v="424"/>
    <x v="2"/>
    <x v="210"/>
    <x v="50"/>
    <x v="447"/>
    <x v="0"/>
    <x v="6"/>
    <x v="0"/>
  </r>
  <r>
    <x v="458"/>
    <x v="35"/>
    <x v="5"/>
    <x v="17"/>
    <x v="17"/>
    <x v="6"/>
    <x v="132"/>
    <x v="6"/>
    <x v="34"/>
    <x v="378"/>
    <x v="108"/>
    <x v="419"/>
    <x v="425"/>
    <x v="1"/>
    <x v="209"/>
    <x v="165"/>
    <x v="3"/>
    <x v="0"/>
    <x v="11"/>
    <x v="0"/>
  </r>
  <r>
    <x v="459"/>
    <x v="376"/>
    <x v="1"/>
    <x v="3"/>
    <x v="3"/>
    <x v="4"/>
    <x v="137"/>
    <x v="4"/>
    <x v="24"/>
    <x v="379"/>
    <x v="219"/>
    <x v="420"/>
    <x v="426"/>
    <x v="0"/>
    <x v="211"/>
    <x v="86"/>
    <x v="448"/>
    <x v="0"/>
    <x v="24"/>
    <x v="0"/>
  </r>
  <r>
    <x v="460"/>
    <x v="377"/>
    <x v="7"/>
    <x v="10"/>
    <x v="10"/>
    <x v="8"/>
    <x v="80"/>
    <x v="8"/>
    <x v="59"/>
    <x v="380"/>
    <x v="83"/>
    <x v="421"/>
    <x v="427"/>
    <x v="0"/>
    <x v="84"/>
    <x v="187"/>
    <x v="449"/>
    <x v="0"/>
    <x v="5"/>
    <x v="0"/>
  </r>
  <r>
    <x v="461"/>
    <x v="74"/>
    <x v="1"/>
    <x v="8"/>
    <x v="8"/>
    <x v="13"/>
    <x v="254"/>
    <x v="14"/>
    <x v="48"/>
    <x v="381"/>
    <x v="232"/>
    <x v="422"/>
    <x v="428"/>
    <x v="2"/>
    <x v="212"/>
    <x v="188"/>
    <x v="450"/>
    <x v="0"/>
    <x v="26"/>
    <x v="0"/>
  </r>
  <r>
    <x v="462"/>
    <x v="378"/>
    <x v="4"/>
    <x v="11"/>
    <x v="11"/>
    <x v="18"/>
    <x v="78"/>
    <x v="19"/>
    <x v="86"/>
    <x v="382"/>
    <x v="221"/>
    <x v="234"/>
    <x v="429"/>
    <x v="1"/>
    <x v="132"/>
    <x v="189"/>
    <x v="451"/>
    <x v="0"/>
    <x v="31"/>
    <x v="0"/>
  </r>
  <r>
    <x v="463"/>
    <x v="379"/>
    <x v="2"/>
    <x v="15"/>
    <x v="15"/>
    <x v="15"/>
    <x v="238"/>
    <x v="16"/>
    <x v="32"/>
    <x v="383"/>
    <x v="161"/>
    <x v="423"/>
    <x v="430"/>
    <x v="0"/>
    <x v="54"/>
    <x v="190"/>
    <x v="452"/>
    <x v="1"/>
    <x v="2"/>
    <x v="74"/>
  </r>
  <r>
    <x v="464"/>
    <x v="380"/>
    <x v="2"/>
    <x v="6"/>
    <x v="6"/>
    <x v="9"/>
    <x v="19"/>
    <x v="9"/>
    <x v="90"/>
    <x v="384"/>
    <x v="213"/>
    <x v="424"/>
    <x v="431"/>
    <x v="0"/>
    <x v="96"/>
    <x v="191"/>
    <x v="453"/>
    <x v="0"/>
    <x v="8"/>
    <x v="0"/>
  </r>
  <r>
    <x v="465"/>
    <x v="360"/>
    <x v="0"/>
    <x v="10"/>
    <x v="10"/>
    <x v="11"/>
    <x v="34"/>
    <x v="12"/>
    <x v="75"/>
    <x v="385"/>
    <x v="207"/>
    <x v="425"/>
    <x v="432"/>
    <x v="0"/>
    <x v="157"/>
    <x v="32"/>
    <x v="454"/>
    <x v="1"/>
    <x v="31"/>
    <x v="82"/>
  </r>
  <r>
    <x v="466"/>
    <x v="381"/>
    <x v="3"/>
    <x v="0"/>
    <x v="0"/>
    <x v="12"/>
    <x v="69"/>
    <x v="13"/>
    <x v="37"/>
    <x v="386"/>
    <x v="153"/>
    <x v="426"/>
    <x v="433"/>
    <x v="0"/>
    <x v="53"/>
    <x v="131"/>
    <x v="455"/>
    <x v="0"/>
    <x v="7"/>
    <x v="0"/>
  </r>
  <r>
    <x v="467"/>
    <x v="382"/>
    <x v="7"/>
    <x v="12"/>
    <x v="12"/>
    <x v="4"/>
    <x v="168"/>
    <x v="4"/>
    <x v="70"/>
    <x v="321"/>
    <x v="49"/>
    <x v="427"/>
    <x v="434"/>
    <x v="1"/>
    <x v="95"/>
    <x v="90"/>
    <x v="456"/>
    <x v="0"/>
    <x v="0"/>
    <x v="0"/>
  </r>
  <r>
    <x v="468"/>
    <x v="383"/>
    <x v="3"/>
    <x v="14"/>
    <x v="14"/>
    <x v="5"/>
    <x v="216"/>
    <x v="5"/>
    <x v="90"/>
    <x v="387"/>
    <x v="184"/>
    <x v="428"/>
    <x v="435"/>
    <x v="1"/>
    <x v="213"/>
    <x v="192"/>
    <x v="457"/>
    <x v="0"/>
    <x v="17"/>
    <x v="0"/>
  </r>
  <r>
    <x v="469"/>
    <x v="10"/>
    <x v="6"/>
    <x v="10"/>
    <x v="10"/>
    <x v="11"/>
    <x v="34"/>
    <x v="12"/>
    <x v="40"/>
    <x v="388"/>
    <x v="270"/>
    <x v="429"/>
    <x v="436"/>
    <x v="2"/>
    <x v="40"/>
    <x v="67"/>
    <x v="458"/>
    <x v="0"/>
    <x v="8"/>
    <x v="0"/>
  </r>
  <r>
    <x v="470"/>
    <x v="244"/>
    <x v="5"/>
    <x v="15"/>
    <x v="15"/>
    <x v="14"/>
    <x v="173"/>
    <x v="15"/>
    <x v="88"/>
    <x v="389"/>
    <x v="271"/>
    <x v="430"/>
    <x v="437"/>
    <x v="2"/>
    <x v="131"/>
    <x v="85"/>
    <x v="459"/>
    <x v="1"/>
    <x v="29"/>
    <x v="63"/>
  </r>
  <r>
    <x v="471"/>
    <x v="384"/>
    <x v="1"/>
    <x v="12"/>
    <x v="12"/>
    <x v="13"/>
    <x v="158"/>
    <x v="14"/>
    <x v="5"/>
    <x v="390"/>
    <x v="26"/>
    <x v="431"/>
    <x v="438"/>
    <x v="1"/>
    <x v="15"/>
    <x v="24"/>
    <x v="460"/>
    <x v="0"/>
    <x v="5"/>
    <x v="0"/>
  </r>
  <r>
    <x v="472"/>
    <x v="237"/>
    <x v="7"/>
    <x v="14"/>
    <x v="14"/>
    <x v="12"/>
    <x v="157"/>
    <x v="13"/>
    <x v="1"/>
    <x v="156"/>
    <x v="272"/>
    <x v="42"/>
    <x v="439"/>
    <x v="1"/>
    <x v="166"/>
    <x v="24"/>
    <x v="461"/>
    <x v="2"/>
    <x v="20"/>
    <x v="0"/>
  </r>
  <r>
    <x v="473"/>
    <x v="385"/>
    <x v="1"/>
    <x v="2"/>
    <x v="2"/>
    <x v="6"/>
    <x v="68"/>
    <x v="11"/>
    <x v="43"/>
    <x v="391"/>
    <x v="247"/>
    <x v="428"/>
    <x v="440"/>
    <x v="2"/>
    <x v="43"/>
    <x v="166"/>
    <x v="462"/>
    <x v="0"/>
    <x v="27"/>
    <x v="0"/>
  </r>
  <r>
    <x v="474"/>
    <x v="17"/>
    <x v="5"/>
    <x v="17"/>
    <x v="17"/>
    <x v="5"/>
    <x v="255"/>
    <x v="5"/>
    <x v="10"/>
    <x v="107"/>
    <x v="264"/>
    <x v="432"/>
    <x v="441"/>
    <x v="2"/>
    <x v="97"/>
    <x v="66"/>
    <x v="463"/>
    <x v="1"/>
    <x v="14"/>
    <x v="87"/>
  </r>
  <r>
    <x v="475"/>
    <x v="386"/>
    <x v="6"/>
    <x v="4"/>
    <x v="19"/>
    <x v="15"/>
    <x v="256"/>
    <x v="16"/>
    <x v="25"/>
    <x v="392"/>
    <x v="233"/>
    <x v="433"/>
    <x v="442"/>
    <x v="0"/>
    <x v="214"/>
    <x v="167"/>
    <x v="464"/>
    <x v="0"/>
    <x v="34"/>
    <x v="0"/>
  </r>
  <r>
    <x v="476"/>
    <x v="387"/>
    <x v="1"/>
    <x v="9"/>
    <x v="9"/>
    <x v="11"/>
    <x v="25"/>
    <x v="12"/>
    <x v="28"/>
    <x v="393"/>
    <x v="246"/>
    <x v="434"/>
    <x v="443"/>
    <x v="1"/>
    <x v="38"/>
    <x v="13"/>
    <x v="465"/>
    <x v="0"/>
    <x v="32"/>
    <x v="0"/>
  </r>
  <r>
    <x v="477"/>
    <x v="13"/>
    <x v="5"/>
    <x v="5"/>
    <x v="5"/>
    <x v="9"/>
    <x v="187"/>
    <x v="9"/>
    <x v="66"/>
    <x v="394"/>
    <x v="156"/>
    <x v="435"/>
    <x v="444"/>
    <x v="2"/>
    <x v="215"/>
    <x v="97"/>
    <x v="466"/>
    <x v="0"/>
    <x v="4"/>
    <x v="0"/>
  </r>
  <r>
    <x v="478"/>
    <x v="388"/>
    <x v="2"/>
    <x v="13"/>
    <x v="13"/>
    <x v="6"/>
    <x v="257"/>
    <x v="11"/>
    <x v="31"/>
    <x v="395"/>
    <x v="151"/>
    <x v="436"/>
    <x v="445"/>
    <x v="0"/>
    <x v="36"/>
    <x v="3"/>
    <x v="467"/>
    <x v="0"/>
    <x v="0"/>
    <x v="0"/>
  </r>
  <r>
    <x v="479"/>
    <x v="389"/>
    <x v="4"/>
    <x v="4"/>
    <x v="4"/>
    <x v="18"/>
    <x v="227"/>
    <x v="19"/>
    <x v="18"/>
    <x v="396"/>
    <x v="218"/>
    <x v="437"/>
    <x v="446"/>
    <x v="0"/>
    <x v="216"/>
    <x v="33"/>
    <x v="468"/>
    <x v="0"/>
    <x v="16"/>
    <x v="0"/>
  </r>
  <r>
    <x v="480"/>
    <x v="239"/>
    <x v="6"/>
    <x v="14"/>
    <x v="14"/>
    <x v="8"/>
    <x v="172"/>
    <x v="8"/>
    <x v="13"/>
    <x v="184"/>
    <x v="273"/>
    <x v="438"/>
    <x v="447"/>
    <x v="1"/>
    <x v="52"/>
    <x v="106"/>
    <x v="469"/>
    <x v="2"/>
    <x v="34"/>
    <x v="0"/>
  </r>
  <r>
    <x v="481"/>
    <x v="390"/>
    <x v="5"/>
    <x v="3"/>
    <x v="3"/>
    <x v="5"/>
    <x v="195"/>
    <x v="5"/>
    <x v="37"/>
    <x v="145"/>
    <x v="274"/>
    <x v="439"/>
    <x v="448"/>
    <x v="2"/>
    <x v="137"/>
    <x v="136"/>
    <x v="470"/>
    <x v="1"/>
    <x v="7"/>
    <x v="88"/>
  </r>
  <r>
    <x v="482"/>
    <x v="391"/>
    <x v="7"/>
    <x v="7"/>
    <x v="7"/>
    <x v="8"/>
    <x v="43"/>
    <x v="8"/>
    <x v="66"/>
    <x v="397"/>
    <x v="272"/>
    <x v="440"/>
    <x v="449"/>
    <x v="0"/>
    <x v="24"/>
    <x v="176"/>
    <x v="471"/>
    <x v="1"/>
    <x v="33"/>
    <x v="42"/>
  </r>
  <r>
    <x v="483"/>
    <x v="392"/>
    <x v="0"/>
    <x v="3"/>
    <x v="3"/>
    <x v="9"/>
    <x v="38"/>
    <x v="9"/>
    <x v="42"/>
    <x v="398"/>
    <x v="275"/>
    <x v="441"/>
    <x v="450"/>
    <x v="0"/>
    <x v="144"/>
    <x v="8"/>
    <x v="472"/>
    <x v="0"/>
    <x v="1"/>
    <x v="0"/>
  </r>
  <r>
    <x v="484"/>
    <x v="3"/>
    <x v="5"/>
    <x v="8"/>
    <x v="8"/>
    <x v="12"/>
    <x v="67"/>
    <x v="13"/>
    <x v="60"/>
    <x v="399"/>
    <x v="5"/>
    <x v="442"/>
    <x v="451"/>
    <x v="1"/>
    <x v="97"/>
    <x v="193"/>
    <x v="473"/>
    <x v="0"/>
    <x v="3"/>
    <x v="0"/>
  </r>
  <r>
    <x v="485"/>
    <x v="393"/>
    <x v="1"/>
    <x v="2"/>
    <x v="2"/>
    <x v="9"/>
    <x v="176"/>
    <x v="9"/>
    <x v="92"/>
    <x v="400"/>
    <x v="207"/>
    <x v="443"/>
    <x v="452"/>
    <x v="1"/>
    <x v="39"/>
    <x v="194"/>
    <x v="474"/>
    <x v="0"/>
    <x v="19"/>
    <x v="0"/>
  </r>
  <r>
    <x v="486"/>
    <x v="346"/>
    <x v="3"/>
    <x v="15"/>
    <x v="15"/>
    <x v="16"/>
    <x v="186"/>
    <x v="17"/>
    <x v="78"/>
    <x v="9"/>
    <x v="7"/>
    <x v="444"/>
    <x v="453"/>
    <x v="2"/>
    <x v="150"/>
    <x v="37"/>
    <x v="219"/>
    <x v="0"/>
    <x v="13"/>
    <x v="0"/>
  </r>
  <r>
    <x v="487"/>
    <x v="289"/>
    <x v="6"/>
    <x v="3"/>
    <x v="3"/>
    <x v="10"/>
    <x v="258"/>
    <x v="10"/>
    <x v="69"/>
    <x v="65"/>
    <x v="77"/>
    <x v="445"/>
    <x v="161"/>
    <x v="1"/>
    <x v="32"/>
    <x v="84"/>
    <x v="475"/>
    <x v="0"/>
    <x v="6"/>
    <x v="0"/>
  </r>
  <r>
    <x v="488"/>
    <x v="125"/>
    <x v="0"/>
    <x v="4"/>
    <x v="19"/>
    <x v="7"/>
    <x v="123"/>
    <x v="7"/>
    <x v="50"/>
    <x v="401"/>
    <x v="163"/>
    <x v="157"/>
    <x v="454"/>
    <x v="0"/>
    <x v="151"/>
    <x v="112"/>
    <x v="332"/>
    <x v="0"/>
    <x v="6"/>
    <x v="0"/>
  </r>
  <r>
    <x v="489"/>
    <x v="394"/>
    <x v="2"/>
    <x v="5"/>
    <x v="5"/>
    <x v="16"/>
    <x v="222"/>
    <x v="17"/>
    <x v="51"/>
    <x v="272"/>
    <x v="27"/>
    <x v="446"/>
    <x v="455"/>
    <x v="0"/>
    <x v="83"/>
    <x v="4"/>
    <x v="476"/>
    <x v="0"/>
    <x v="25"/>
    <x v="0"/>
  </r>
  <r>
    <x v="490"/>
    <x v="386"/>
    <x v="0"/>
    <x v="1"/>
    <x v="1"/>
    <x v="9"/>
    <x v="16"/>
    <x v="9"/>
    <x v="78"/>
    <x v="402"/>
    <x v="261"/>
    <x v="447"/>
    <x v="456"/>
    <x v="0"/>
    <x v="88"/>
    <x v="133"/>
    <x v="477"/>
    <x v="1"/>
    <x v="34"/>
    <x v="87"/>
  </r>
  <r>
    <x v="491"/>
    <x v="395"/>
    <x v="1"/>
    <x v="16"/>
    <x v="16"/>
    <x v="1"/>
    <x v="259"/>
    <x v="1"/>
    <x v="49"/>
    <x v="403"/>
    <x v="250"/>
    <x v="448"/>
    <x v="457"/>
    <x v="1"/>
    <x v="217"/>
    <x v="92"/>
    <x v="478"/>
    <x v="0"/>
    <x v="12"/>
    <x v="0"/>
  </r>
  <r>
    <x v="492"/>
    <x v="221"/>
    <x v="0"/>
    <x v="11"/>
    <x v="11"/>
    <x v="9"/>
    <x v="30"/>
    <x v="9"/>
    <x v="39"/>
    <x v="377"/>
    <x v="136"/>
    <x v="449"/>
    <x v="458"/>
    <x v="1"/>
    <x v="125"/>
    <x v="133"/>
    <x v="479"/>
    <x v="0"/>
    <x v="17"/>
    <x v="0"/>
  </r>
  <r>
    <x v="493"/>
    <x v="396"/>
    <x v="2"/>
    <x v="10"/>
    <x v="10"/>
    <x v="6"/>
    <x v="235"/>
    <x v="11"/>
    <x v="44"/>
    <x v="123"/>
    <x v="164"/>
    <x v="450"/>
    <x v="459"/>
    <x v="1"/>
    <x v="66"/>
    <x v="16"/>
    <x v="480"/>
    <x v="0"/>
    <x v="34"/>
    <x v="0"/>
  </r>
  <r>
    <x v="494"/>
    <x v="397"/>
    <x v="1"/>
    <x v="16"/>
    <x v="16"/>
    <x v="18"/>
    <x v="109"/>
    <x v="19"/>
    <x v="89"/>
    <x v="55"/>
    <x v="60"/>
    <x v="451"/>
    <x v="460"/>
    <x v="0"/>
    <x v="118"/>
    <x v="116"/>
    <x v="481"/>
    <x v="0"/>
    <x v="15"/>
    <x v="0"/>
  </r>
  <r>
    <x v="495"/>
    <x v="398"/>
    <x v="3"/>
    <x v="3"/>
    <x v="3"/>
    <x v="15"/>
    <x v="207"/>
    <x v="16"/>
    <x v="55"/>
    <x v="404"/>
    <x v="72"/>
    <x v="452"/>
    <x v="14"/>
    <x v="0"/>
    <x v="26"/>
    <x v="39"/>
    <x v="482"/>
    <x v="0"/>
    <x v="34"/>
    <x v="0"/>
  </r>
  <r>
    <x v="496"/>
    <x v="306"/>
    <x v="4"/>
    <x v="0"/>
    <x v="0"/>
    <x v="16"/>
    <x v="260"/>
    <x v="17"/>
    <x v="90"/>
    <x v="405"/>
    <x v="149"/>
    <x v="453"/>
    <x v="461"/>
    <x v="1"/>
    <x v="20"/>
    <x v="195"/>
    <x v="483"/>
    <x v="1"/>
    <x v="23"/>
    <x v="89"/>
  </r>
  <r>
    <x v="497"/>
    <x v="271"/>
    <x v="1"/>
    <x v="6"/>
    <x v="6"/>
    <x v="3"/>
    <x v="66"/>
    <x v="3"/>
    <x v="8"/>
    <x v="406"/>
    <x v="258"/>
    <x v="218"/>
    <x v="462"/>
    <x v="1"/>
    <x v="4"/>
    <x v="18"/>
    <x v="484"/>
    <x v="2"/>
    <x v="11"/>
    <x v="0"/>
  </r>
  <r>
    <x v="498"/>
    <x v="50"/>
    <x v="4"/>
    <x v="13"/>
    <x v="13"/>
    <x v="18"/>
    <x v="182"/>
    <x v="19"/>
    <x v="21"/>
    <x v="262"/>
    <x v="193"/>
    <x v="454"/>
    <x v="463"/>
    <x v="2"/>
    <x v="132"/>
    <x v="86"/>
    <x v="485"/>
    <x v="0"/>
    <x v="25"/>
    <x v="0"/>
  </r>
  <r>
    <x v="499"/>
    <x v="298"/>
    <x v="4"/>
    <x v="4"/>
    <x v="19"/>
    <x v="13"/>
    <x v="100"/>
    <x v="14"/>
    <x v="9"/>
    <x v="407"/>
    <x v="71"/>
    <x v="455"/>
    <x v="464"/>
    <x v="2"/>
    <x v="194"/>
    <x v="21"/>
    <x v="486"/>
    <x v="1"/>
    <x v="4"/>
    <x v="60"/>
  </r>
</pivotCacheRecords>
</file>

<file path=xl/pivotCache/pivotCacheRecords2.xml><?xml version="1.0" encoding="utf-8"?>
<pivotCacheRecords xmlns="http://schemas.openxmlformats.org/spreadsheetml/2006/main" xmlns:r="http://schemas.openxmlformats.org/officeDocument/2006/relationships" count="500">
  <r>
    <x v="0"/>
    <x v="0"/>
    <x v="0"/>
    <x v="0"/>
    <x v="0"/>
    <x v="0"/>
    <x v="0"/>
    <x v="0"/>
    <x v="0"/>
    <x v="0"/>
    <x v="0"/>
    <x v="0"/>
    <x v="0"/>
    <x v="0"/>
    <x v="0"/>
  </r>
  <r>
    <x v="1"/>
    <x v="1"/>
    <x v="1"/>
    <x v="1"/>
    <x v="1"/>
    <x v="1"/>
    <x v="1"/>
    <x v="1"/>
    <x v="1"/>
    <x v="1"/>
    <x v="1"/>
    <x v="1"/>
    <x v="1"/>
    <x v="0"/>
    <x v="1"/>
  </r>
  <r>
    <x v="2"/>
    <x v="2"/>
    <x v="2"/>
    <x v="0"/>
    <x v="2"/>
    <x v="2"/>
    <x v="2"/>
    <x v="2"/>
    <x v="2"/>
    <x v="2"/>
    <x v="0"/>
    <x v="2"/>
    <x v="2"/>
    <x v="1"/>
    <x v="2"/>
  </r>
  <r>
    <x v="3"/>
    <x v="3"/>
    <x v="3"/>
    <x v="2"/>
    <x v="3"/>
    <x v="3"/>
    <x v="3"/>
    <x v="3"/>
    <x v="3"/>
    <x v="3"/>
    <x v="1"/>
    <x v="3"/>
    <x v="3"/>
    <x v="1"/>
    <x v="3"/>
  </r>
  <r>
    <x v="4"/>
    <x v="4"/>
    <x v="4"/>
    <x v="1"/>
    <x v="4"/>
    <x v="4"/>
    <x v="4"/>
    <x v="4"/>
    <x v="4"/>
    <x v="4"/>
    <x v="0"/>
    <x v="4"/>
    <x v="4"/>
    <x v="2"/>
    <x v="4"/>
  </r>
  <r>
    <x v="5"/>
    <x v="5"/>
    <x v="5"/>
    <x v="3"/>
    <x v="5"/>
    <x v="5"/>
    <x v="5"/>
    <x v="5"/>
    <x v="5"/>
    <x v="5"/>
    <x v="2"/>
    <x v="5"/>
    <x v="5"/>
    <x v="0"/>
    <x v="5"/>
  </r>
  <r>
    <x v="6"/>
    <x v="6"/>
    <x v="0"/>
    <x v="4"/>
    <x v="6"/>
    <x v="6"/>
    <x v="6"/>
    <x v="6"/>
    <x v="6"/>
    <x v="6"/>
    <x v="3"/>
    <x v="6"/>
    <x v="5"/>
    <x v="1"/>
    <x v="6"/>
  </r>
  <r>
    <x v="7"/>
    <x v="7"/>
    <x v="6"/>
    <x v="1"/>
    <x v="7"/>
    <x v="7"/>
    <x v="7"/>
    <x v="7"/>
    <x v="7"/>
    <x v="7"/>
    <x v="3"/>
    <x v="7"/>
    <x v="6"/>
    <x v="0"/>
    <x v="7"/>
  </r>
  <r>
    <x v="8"/>
    <x v="8"/>
    <x v="5"/>
    <x v="4"/>
    <x v="8"/>
    <x v="8"/>
    <x v="8"/>
    <x v="8"/>
    <x v="8"/>
    <x v="8"/>
    <x v="1"/>
    <x v="8"/>
    <x v="7"/>
    <x v="2"/>
    <x v="8"/>
  </r>
  <r>
    <x v="9"/>
    <x v="9"/>
    <x v="7"/>
    <x v="4"/>
    <x v="9"/>
    <x v="9"/>
    <x v="9"/>
    <x v="9"/>
    <x v="9"/>
    <x v="9"/>
    <x v="3"/>
    <x v="9"/>
    <x v="6"/>
    <x v="2"/>
    <x v="9"/>
  </r>
  <r>
    <x v="10"/>
    <x v="10"/>
    <x v="8"/>
    <x v="5"/>
    <x v="10"/>
    <x v="10"/>
    <x v="10"/>
    <x v="10"/>
    <x v="10"/>
    <x v="10"/>
    <x v="0"/>
    <x v="9"/>
    <x v="8"/>
    <x v="2"/>
    <x v="10"/>
  </r>
  <r>
    <x v="11"/>
    <x v="11"/>
    <x v="9"/>
    <x v="1"/>
    <x v="11"/>
    <x v="11"/>
    <x v="11"/>
    <x v="11"/>
    <x v="11"/>
    <x v="11"/>
    <x v="0"/>
    <x v="10"/>
    <x v="9"/>
    <x v="2"/>
    <x v="11"/>
  </r>
  <r>
    <x v="12"/>
    <x v="12"/>
    <x v="1"/>
    <x v="0"/>
    <x v="12"/>
    <x v="12"/>
    <x v="12"/>
    <x v="12"/>
    <x v="12"/>
    <x v="12"/>
    <x v="1"/>
    <x v="9"/>
    <x v="10"/>
    <x v="0"/>
    <x v="12"/>
  </r>
  <r>
    <x v="13"/>
    <x v="13"/>
    <x v="0"/>
    <x v="3"/>
    <x v="13"/>
    <x v="13"/>
    <x v="13"/>
    <x v="13"/>
    <x v="13"/>
    <x v="13"/>
    <x v="1"/>
    <x v="11"/>
    <x v="11"/>
    <x v="0"/>
    <x v="13"/>
  </r>
  <r>
    <x v="14"/>
    <x v="14"/>
    <x v="10"/>
    <x v="6"/>
    <x v="14"/>
    <x v="14"/>
    <x v="14"/>
    <x v="14"/>
    <x v="14"/>
    <x v="14"/>
    <x v="1"/>
    <x v="12"/>
    <x v="12"/>
    <x v="0"/>
    <x v="14"/>
  </r>
  <r>
    <x v="15"/>
    <x v="15"/>
    <x v="11"/>
    <x v="5"/>
    <x v="15"/>
    <x v="15"/>
    <x v="15"/>
    <x v="15"/>
    <x v="15"/>
    <x v="15"/>
    <x v="1"/>
    <x v="13"/>
    <x v="13"/>
    <x v="1"/>
    <x v="15"/>
  </r>
  <r>
    <x v="16"/>
    <x v="16"/>
    <x v="1"/>
    <x v="6"/>
    <x v="16"/>
    <x v="16"/>
    <x v="16"/>
    <x v="16"/>
    <x v="16"/>
    <x v="16"/>
    <x v="2"/>
    <x v="14"/>
    <x v="14"/>
    <x v="1"/>
    <x v="16"/>
  </r>
  <r>
    <x v="17"/>
    <x v="17"/>
    <x v="11"/>
    <x v="5"/>
    <x v="17"/>
    <x v="17"/>
    <x v="17"/>
    <x v="17"/>
    <x v="17"/>
    <x v="17"/>
    <x v="2"/>
    <x v="15"/>
    <x v="15"/>
    <x v="0"/>
    <x v="17"/>
  </r>
  <r>
    <x v="18"/>
    <x v="18"/>
    <x v="1"/>
    <x v="6"/>
    <x v="18"/>
    <x v="18"/>
    <x v="18"/>
    <x v="18"/>
    <x v="18"/>
    <x v="18"/>
    <x v="1"/>
    <x v="16"/>
    <x v="16"/>
    <x v="2"/>
    <x v="18"/>
  </r>
  <r>
    <x v="19"/>
    <x v="19"/>
    <x v="6"/>
    <x v="4"/>
    <x v="19"/>
    <x v="19"/>
    <x v="19"/>
    <x v="19"/>
    <x v="19"/>
    <x v="19"/>
    <x v="2"/>
    <x v="14"/>
    <x v="17"/>
    <x v="1"/>
    <x v="19"/>
  </r>
  <r>
    <x v="20"/>
    <x v="20"/>
    <x v="9"/>
    <x v="6"/>
    <x v="20"/>
    <x v="20"/>
    <x v="20"/>
    <x v="20"/>
    <x v="20"/>
    <x v="20"/>
    <x v="3"/>
    <x v="10"/>
    <x v="18"/>
    <x v="2"/>
    <x v="20"/>
  </r>
  <r>
    <x v="21"/>
    <x v="21"/>
    <x v="11"/>
    <x v="3"/>
    <x v="21"/>
    <x v="21"/>
    <x v="21"/>
    <x v="21"/>
    <x v="21"/>
    <x v="21"/>
    <x v="1"/>
    <x v="13"/>
    <x v="19"/>
    <x v="2"/>
    <x v="21"/>
  </r>
  <r>
    <x v="22"/>
    <x v="22"/>
    <x v="3"/>
    <x v="0"/>
    <x v="22"/>
    <x v="22"/>
    <x v="22"/>
    <x v="22"/>
    <x v="22"/>
    <x v="22"/>
    <x v="2"/>
    <x v="15"/>
    <x v="20"/>
    <x v="1"/>
    <x v="22"/>
  </r>
  <r>
    <x v="23"/>
    <x v="23"/>
    <x v="12"/>
    <x v="6"/>
    <x v="23"/>
    <x v="23"/>
    <x v="23"/>
    <x v="23"/>
    <x v="23"/>
    <x v="23"/>
    <x v="1"/>
    <x v="9"/>
    <x v="0"/>
    <x v="2"/>
    <x v="23"/>
  </r>
  <r>
    <x v="24"/>
    <x v="24"/>
    <x v="4"/>
    <x v="2"/>
    <x v="24"/>
    <x v="24"/>
    <x v="24"/>
    <x v="24"/>
    <x v="24"/>
    <x v="24"/>
    <x v="2"/>
    <x v="10"/>
    <x v="21"/>
    <x v="0"/>
    <x v="24"/>
  </r>
  <r>
    <x v="25"/>
    <x v="25"/>
    <x v="9"/>
    <x v="5"/>
    <x v="25"/>
    <x v="25"/>
    <x v="25"/>
    <x v="25"/>
    <x v="25"/>
    <x v="25"/>
    <x v="1"/>
    <x v="9"/>
    <x v="22"/>
    <x v="1"/>
    <x v="25"/>
  </r>
  <r>
    <x v="26"/>
    <x v="26"/>
    <x v="0"/>
    <x v="6"/>
    <x v="26"/>
    <x v="26"/>
    <x v="26"/>
    <x v="26"/>
    <x v="26"/>
    <x v="26"/>
    <x v="1"/>
    <x v="13"/>
    <x v="23"/>
    <x v="2"/>
    <x v="26"/>
  </r>
  <r>
    <x v="27"/>
    <x v="27"/>
    <x v="13"/>
    <x v="4"/>
    <x v="27"/>
    <x v="27"/>
    <x v="27"/>
    <x v="27"/>
    <x v="27"/>
    <x v="27"/>
    <x v="2"/>
    <x v="9"/>
    <x v="24"/>
    <x v="1"/>
    <x v="27"/>
  </r>
  <r>
    <x v="28"/>
    <x v="28"/>
    <x v="8"/>
    <x v="0"/>
    <x v="28"/>
    <x v="28"/>
    <x v="28"/>
    <x v="28"/>
    <x v="28"/>
    <x v="28"/>
    <x v="2"/>
    <x v="14"/>
    <x v="25"/>
    <x v="1"/>
    <x v="28"/>
  </r>
  <r>
    <x v="29"/>
    <x v="29"/>
    <x v="2"/>
    <x v="1"/>
    <x v="29"/>
    <x v="29"/>
    <x v="29"/>
    <x v="29"/>
    <x v="29"/>
    <x v="29"/>
    <x v="1"/>
    <x v="17"/>
    <x v="26"/>
    <x v="1"/>
    <x v="29"/>
  </r>
  <r>
    <x v="30"/>
    <x v="30"/>
    <x v="11"/>
    <x v="4"/>
    <x v="30"/>
    <x v="30"/>
    <x v="30"/>
    <x v="30"/>
    <x v="30"/>
    <x v="30"/>
    <x v="1"/>
    <x v="9"/>
    <x v="27"/>
    <x v="2"/>
    <x v="30"/>
  </r>
  <r>
    <x v="31"/>
    <x v="31"/>
    <x v="4"/>
    <x v="7"/>
    <x v="31"/>
    <x v="31"/>
    <x v="31"/>
    <x v="31"/>
    <x v="31"/>
    <x v="31"/>
    <x v="2"/>
    <x v="18"/>
    <x v="20"/>
    <x v="2"/>
    <x v="31"/>
  </r>
  <r>
    <x v="32"/>
    <x v="32"/>
    <x v="14"/>
    <x v="0"/>
    <x v="32"/>
    <x v="32"/>
    <x v="32"/>
    <x v="32"/>
    <x v="32"/>
    <x v="32"/>
    <x v="0"/>
    <x v="19"/>
    <x v="28"/>
    <x v="2"/>
    <x v="32"/>
  </r>
  <r>
    <x v="33"/>
    <x v="33"/>
    <x v="15"/>
    <x v="4"/>
    <x v="33"/>
    <x v="33"/>
    <x v="33"/>
    <x v="33"/>
    <x v="33"/>
    <x v="33"/>
    <x v="1"/>
    <x v="20"/>
    <x v="29"/>
    <x v="0"/>
    <x v="33"/>
  </r>
  <r>
    <x v="34"/>
    <x v="34"/>
    <x v="10"/>
    <x v="7"/>
    <x v="34"/>
    <x v="34"/>
    <x v="34"/>
    <x v="34"/>
    <x v="34"/>
    <x v="34"/>
    <x v="0"/>
    <x v="21"/>
    <x v="30"/>
    <x v="0"/>
    <x v="34"/>
  </r>
  <r>
    <x v="35"/>
    <x v="35"/>
    <x v="3"/>
    <x v="3"/>
    <x v="35"/>
    <x v="35"/>
    <x v="35"/>
    <x v="35"/>
    <x v="35"/>
    <x v="35"/>
    <x v="1"/>
    <x v="22"/>
    <x v="31"/>
    <x v="2"/>
    <x v="35"/>
  </r>
  <r>
    <x v="36"/>
    <x v="36"/>
    <x v="16"/>
    <x v="6"/>
    <x v="36"/>
    <x v="36"/>
    <x v="36"/>
    <x v="36"/>
    <x v="36"/>
    <x v="36"/>
    <x v="1"/>
    <x v="23"/>
    <x v="32"/>
    <x v="0"/>
    <x v="36"/>
  </r>
  <r>
    <x v="37"/>
    <x v="37"/>
    <x v="4"/>
    <x v="2"/>
    <x v="37"/>
    <x v="37"/>
    <x v="37"/>
    <x v="37"/>
    <x v="37"/>
    <x v="37"/>
    <x v="1"/>
    <x v="24"/>
    <x v="33"/>
    <x v="2"/>
    <x v="37"/>
  </r>
  <r>
    <x v="38"/>
    <x v="38"/>
    <x v="17"/>
    <x v="6"/>
    <x v="38"/>
    <x v="38"/>
    <x v="38"/>
    <x v="38"/>
    <x v="38"/>
    <x v="38"/>
    <x v="2"/>
    <x v="25"/>
    <x v="34"/>
    <x v="0"/>
    <x v="38"/>
  </r>
  <r>
    <x v="39"/>
    <x v="39"/>
    <x v="2"/>
    <x v="1"/>
    <x v="39"/>
    <x v="39"/>
    <x v="39"/>
    <x v="39"/>
    <x v="39"/>
    <x v="39"/>
    <x v="0"/>
    <x v="26"/>
    <x v="35"/>
    <x v="2"/>
    <x v="39"/>
  </r>
  <r>
    <x v="40"/>
    <x v="40"/>
    <x v="3"/>
    <x v="6"/>
    <x v="40"/>
    <x v="40"/>
    <x v="40"/>
    <x v="40"/>
    <x v="40"/>
    <x v="40"/>
    <x v="1"/>
    <x v="27"/>
    <x v="36"/>
    <x v="2"/>
    <x v="40"/>
  </r>
  <r>
    <x v="41"/>
    <x v="41"/>
    <x v="0"/>
    <x v="1"/>
    <x v="41"/>
    <x v="41"/>
    <x v="41"/>
    <x v="41"/>
    <x v="41"/>
    <x v="41"/>
    <x v="0"/>
    <x v="28"/>
    <x v="37"/>
    <x v="0"/>
    <x v="41"/>
  </r>
  <r>
    <x v="42"/>
    <x v="42"/>
    <x v="18"/>
    <x v="3"/>
    <x v="42"/>
    <x v="42"/>
    <x v="42"/>
    <x v="42"/>
    <x v="42"/>
    <x v="42"/>
    <x v="0"/>
    <x v="29"/>
    <x v="22"/>
    <x v="3"/>
    <x v="42"/>
  </r>
  <r>
    <x v="43"/>
    <x v="43"/>
    <x v="6"/>
    <x v="4"/>
    <x v="43"/>
    <x v="43"/>
    <x v="43"/>
    <x v="43"/>
    <x v="43"/>
    <x v="43"/>
    <x v="1"/>
    <x v="30"/>
    <x v="38"/>
    <x v="1"/>
    <x v="43"/>
  </r>
  <r>
    <x v="44"/>
    <x v="44"/>
    <x v="0"/>
    <x v="1"/>
    <x v="44"/>
    <x v="44"/>
    <x v="44"/>
    <x v="44"/>
    <x v="44"/>
    <x v="44"/>
    <x v="0"/>
    <x v="31"/>
    <x v="39"/>
    <x v="1"/>
    <x v="44"/>
  </r>
  <r>
    <x v="45"/>
    <x v="45"/>
    <x v="7"/>
    <x v="0"/>
    <x v="45"/>
    <x v="45"/>
    <x v="45"/>
    <x v="45"/>
    <x v="45"/>
    <x v="45"/>
    <x v="0"/>
    <x v="32"/>
    <x v="40"/>
    <x v="1"/>
    <x v="45"/>
  </r>
  <r>
    <x v="46"/>
    <x v="46"/>
    <x v="16"/>
    <x v="1"/>
    <x v="46"/>
    <x v="46"/>
    <x v="46"/>
    <x v="46"/>
    <x v="46"/>
    <x v="46"/>
    <x v="3"/>
    <x v="33"/>
    <x v="41"/>
    <x v="2"/>
    <x v="46"/>
  </r>
  <r>
    <x v="47"/>
    <x v="47"/>
    <x v="4"/>
    <x v="1"/>
    <x v="47"/>
    <x v="47"/>
    <x v="47"/>
    <x v="47"/>
    <x v="47"/>
    <x v="47"/>
    <x v="0"/>
    <x v="34"/>
    <x v="42"/>
    <x v="3"/>
    <x v="47"/>
  </r>
  <r>
    <x v="48"/>
    <x v="48"/>
    <x v="0"/>
    <x v="6"/>
    <x v="48"/>
    <x v="48"/>
    <x v="48"/>
    <x v="48"/>
    <x v="48"/>
    <x v="48"/>
    <x v="2"/>
    <x v="35"/>
    <x v="43"/>
    <x v="2"/>
    <x v="48"/>
  </r>
  <r>
    <x v="49"/>
    <x v="49"/>
    <x v="18"/>
    <x v="4"/>
    <x v="49"/>
    <x v="49"/>
    <x v="49"/>
    <x v="49"/>
    <x v="49"/>
    <x v="49"/>
    <x v="0"/>
    <x v="36"/>
    <x v="44"/>
    <x v="0"/>
    <x v="49"/>
  </r>
  <r>
    <x v="50"/>
    <x v="50"/>
    <x v="13"/>
    <x v="2"/>
    <x v="50"/>
    <x v="50"/>
    <x v="50"/>
    <x v="50"/>
    <x v="50"/>
    <x v="50"/>
    <x v="3"/>
    <x v="37"/>
    <x v="45"/>
    <x v="2"/>
    <x v="50"/>
  </r>
  <r>
    <x v="51"/>
    <x v="51"/>
    <x v="16"/>
    <x v="2"/>
    <x v="51"/>
    <x v="51"/>
    <x v="51"/>
    <x v="51"/>
    <x v="51"/>
    <x v="51"/>
    <x v="1"/>
    <x v="38"/>
    <x v="46"/>
    <x v="1"/>
    <x v="51"/>
  </r>
  <r>
    <x v="52"/>
    <x v="52"/>
    <x v="19"/>
    <x v="4"/>
    <x v="52"/>
    <x v="52"/>
    <x v="52"/>
    <x v="52"/>
    <x v="52"/>
    <x v="52"/>
    <x v="0"/>
    <x v="39"/>
    <x v="47"/>
    <x v="2"/>
    <x v="52"/>
  </r>
  <r>
    <x v="53"/>
    <x v="53"/>
    <x v="15"/>
    <x v="2"/>
    <x v="53"/>
    <x v="53"/>
    <x v="53"/>
    <x v="53"/>
    <x v="53"/>
    <x v="53"/>
    <x v="1"/>
    <x v="40"/>
    <x v="4"/>
    <x v="1"/>
    <x v="53"/>
  </r>
  <r>
    <x v="54"/>
    <x v="54"/>
    <x v="4"/>
    <x v="1"/>
    <x v="54"/>
    <x v="54"/>
    <x v="54"/>
    <x v="54"/>
    <x v="54"/>
    <x v="54"/>
    <x v="2"/>
    <x v="41"/>
    <x v="48"/>
    <x v="0"/>
    <x v="54"/>
  </r>
  <r>
    <x v="55"/>
    <x v="55"/>
    <x v="8"/>
    <x v="5"/>
    <x v="55"/>
    <x v="55"/>
    <x v="55"/>
    <x v="55"/>
    <x v="55"/>
    <x v="55"/>
    <x v="1"/>
    <x v="42"/>
    <x v="49"/>
    <x v="0"/>
    <x v="55"/>
  </r>
  <r>
    <x v="56"/>
    <x v="56"/>
    <x v="16"/>
    <x v="2"/>
    <x v="56"/>
    <x v="56"/>
    <x v="21"/>
    <x v="56"/>
    <x v="56"/>
    <x v="56"/>
    <x v="2"/>
    <x v="43"/>
    <x v="5"/>
    <x v="3"/>
    <x v="56"/>
  </r>
  <r>
    <x v="57"/>
    <x v="57"/>
    <x v="18"/>
    <x v="1"/>
    <x v="57"/>
    <x v="57"/>
    <x v="56"/>
    <x v="57"/>
    <x v="57"/>
    <x v="57"/>
    <x v="2"/>
    <x v="44"/>
    <x v="50"/>
    <x v="1"/>
    <x v="57"/>
  </r>
  <r>
    <x v="58"/>
    <x v="58"/>
    <x v="0"/>
    <x v="3"/>
    <x v="58"/>
    <x v="58"/>
    <x v="57"/>
    <x v="58"/>
    <x v="58"/>
    <x v="58"/>
    <x v="0"/>
    <x v="45"/>
    <x v="34"/>
    <x v="1"/>
    <x v="58"/>
  </r>
  <r>
    <x v="59"/>
    <x v="59"/>
    <x v="16"/>
    <x v="6"/>
    <x v="59"/>
    <x v="59"/>
    <x v="58"/>
    <x v="59"/>
    <x v="59"/>
    <x v="59"/>
    <x v="1"/>
    <x v="46"/>
    <x v="51"/>
    <x v="2"/>
    <x v="59"/>
  </r>
  <r>
    <x v="60"/>
    <x v="60"/>
    <x v="9"/>
    <x v="3"/>
    <x v="60"/>
    <x v="60"/>
    <x v="59"/>
    <x v="60"/>
    <x v="60"/>
    <x v="60"/>
    <x v="3"/>
    <x v="47"/>
    <x v="52"/>
    <x v="1"/>
    <x v="60"/>
  </r>
  <r>
    <x v="61"/>
    <x v="61"/>
    <x v="16"/>
    <x v="4"/>
    <x v="61"/>
    <x v="61"/>
    <x v="21"/>
    <x v="61"/>
    <x v="61"/>
    <x v="61"/>
    <x v="3"/>
    <x v="48"/>
    <x v="53"/>
    <x v="0"/>
    <x v="61"/>
  </r>
  <r>
    <x v="62"/>
    <x v="62"/>
    <x v="0"/>
    <x v="1"/>
    <x v="62"/>
    <x v="62"/>
    <x v="60"/>
    <x v="62"/>
    <x v="62"/>
    <x v="62"/>
    <x v="0"/>
    <x v="49"/>
    <x v="54"/>
    <x v="2"/>
    <x v="62"/>
  </r>
  <r>
    <x v="63"/>
    <x v="63"/>
    <x v="1"/>
    <x v="0"/>
    <x v="63"/>
    <x v="63"/>
    <x v="61"/>
    <x v="63"/>
    <x v="63"/>
    <x v="63"/>
    <x v="0"/>
    <x v="50"/>
    <x v="55"/>
    <x v="2"/>
    <x v="63"/>
  </r>
  <r>
    <x v="64"/>
    <x v="64"/>
    <x v="14"/>
    <x v="4"/>
    <x v="64"/>
    <x v="64"/>
    <x v="62"/>
    <x v="64"/>
    <x v="64"/>
    <x v="64"/>
    <x v="2"/>
    <x v="51"/>
    <x v="56"/>
    <x v="2"/>
    <x v="64"/>
  </r>
  <r>
    <x v="65"/>
    <x v="65"/>
    <x v="14"/>
    <x v="6"/>
    <x v="65"/>
    <x v="65"/>
    <x v="63"/>
    <x v="65"/>
    <x v="65"/>
    <x v="65"/>
    <x v="2"/>
    <x v="52"/>
    <x v="57"/>
    <x v="0"/>
    <x v="34"/>
  </r>
  <r>
    <x v="66"/>
    <x v="66"/>
    <x v="12"/>
    <x v="4"/>
    <x v="66"/>
    <x v="66"/>
    <x v="64"/>
    <x v="66"/>
    <x v="66"/>
    <x v="66"/>
    <x v="3"/>
    <x v="53"/>
    <x v="58"/>
    <x v="2"/>
    <x v="65"/>
  </r>
  <r>
    <x v="67"/>
    <x v="67"/>
    <x v="6"/>
    <x v="3"/>
    <x v="67"/>
    <x v="67"/>
    <x v="65"/>
    <x v="67"/>
    <x v="67"/>
    <x v="67"/>
    <x v="1"/>
    <x v="54"/>
    <x v="59"/>
    <x v="1"/>
    <x v="66"/>
  </r>
  <r>
    <x v="68"/>
    <x v="68"/>
    <x v="5"/>
    <x v="6"/>
    <x v="68"/>
    <x v="68"/>
    <x v="66"/>
    <x v="68"/>
    <x v="68"/>
    <x v="68"/>
    <x v="2"/>
    <x v="55"/>
    <x v="57"/>
    <x v="1"/>
    <x v="67"/>
  </r>
  <r>
    <x v="69"/>
    <x v="69"/>
    <x v="16"/>
    <x v="0"/>
    <x v="69"/>
    <x v="69"/>
    <x v="67"/>
    <x v="69"/>
    <x v="69"/>
    <x v="69"/>
    <x v="0"/>
    <x v="56"/>
    <x v="60"/>
    <x v="1"/>
    <x v="68"/>
  </r>
  <r>
    <x v="70"/>
    <x v="70"/>
    <x v="11"/>
    <x v="4"/>
    <x v="70"/>
    <x v="70"/>
    <x v="68"/>
    <x v="70"/>
    <x v="70"/>
    <x v="70"/>
    <x v="0"/>
    <x v="57"/>
    <x v="35"/>
    <x v="2"/>
    <x v="69"/>
  </r>
  <r>
    <x v="71"/>
    <x v="71"/>
    <x v="6"/>
    <x v="6"/>
    <x v="71"/>
    <x v="71"/>
    <x v="69"/>
    <x v="71"/>
    <x v="71"/>
    <x v="71"/>
    <x v="2"/>
    <x v="58"/>
    <x v="61"/>
    <x v="2"/>
    <x v="70"/>
  </r>
  <r>
    <x v="72"/>
    <x v="72"/>
    <x v="14"/>
    <x v="6"/>
    <x v="72"/>
    <x v="72"/>
    <x v="70"/>
    <x v="72"/>
    <x v="72"/>
    <x v="72"/>
    <x v="2"/>
    <x v="59"/>
    <x v="62"/>
    <x v="1"/>
    <x v="71"/>
  </r>
  <r>
    <x v="73"/>
    <x v="73"/>
    <x v="18"/>
    <x v="4"/>
    <x v="73"/>
    <x v="73"/>
    <x v="71"/>
    <x v="73"/>
    <x v="73"/>
    <x v="73"/>
    <x v="0"/>
    <x v="9"/>
    <x v="63"/>
    <x v="1"/>
    <x v="72"/>
  </r>
  <r>
    <x v="74"/>
    <x v="74"/>
    <x v="8"/>
    <x v="7"/>
    <x v="74"/>
    <x v="74"/>
    <x v="72"/>
    <x v="74"/>
    <x v="74"/>
    <x v="74"/>
    <x v="0"/>
    <x v="60"/>
    <x v="64"/>
    <x v="1"/>
    <x v="73"/>
  </r>
  <r>
    <x v="75"/>
    <x v="75"/>
    <x v="1"/>
    <x v="1"/>
    <x v="75"/>
    <x v="75"/>
    <x v="73"/>
    <x v="75"/>
    <x v="75"/>
    <x v="75"/>
    <x v="1"/>
    <x v="61"/>
    <x v="65"/>
    <x v="1"/>
    <x v="74"/>
  </r>
  <r>
    <x v="76"/>
    <x v="76"/>
    <x v="11"/>
    <x v="6"/>
    <x v="76"/>
    <x v="76"/>
    <x v="74"/>
    <x v="76"/>
    <x v="76"/>
    <x v="76"/>
    <x v="1"/>
    <x v="62"/>
    <x v="24"/>
    <x v="1"/>
    <x v="75"/>
  </r>
  <r>
    <x v="77"/>
    <x v="77"/>
    <x v="6"/>
    <x v="5"/>
    <x v="77"/>
    <x v="77"/>
    <x v="21"/>
    <x v="77"/>
    <x v="77"/>
    <x v="77"/>
    <x v="1"/>
    <x v="63"/>
    <x v="66"/>
    <x v="0"/>
    <x v="76"/>
  </r>
  <r>
    <x v="78"/>
    <x v="78"/>
    <x v="3"/>
    <x v="0"/>
    <x v="78"/>
    <x v="78"/>
    <x v="75"/>
    <x v="78"/>
    <x v="78"/>
    <x v="78"/>
    <x v="1"/>
    <x v="64"/>
    <x v="67"/>
    <x v="2"/>
    <x v="77"/>
  </r>
  <r>
    <x v="79"/>
    <x v="79"/>
    <x v="8"/>
    <x v="3"/>
    <x v="79"/>
    <x v="79"/>
    <x v="76"/>
    <x v="79"/>
    <x v="79"/>
    <x v="79"/>
    <x v="3"/>
    <x v="65"/>
    <x v="68"/>
    <x v="1"/>
    <x v="78"/>
  </r>
  <r>
    <x v="80"/>
    <x v="80"/>
    <x v="2"/>
    <x v="3"/>
    <x v="80"/>
    <x v="80"/>
    <x v="77"/>
    <x v="80"/>
    <x v="80"/>
    <x v="80"/>
    <x v="2"/>
    <x v="66"/>
    <x v="69"/>
    <x v="0"/>
    <x v="79"/>
  </r>
  <r>
    <x v="81"/>
    <x v="81"/>
    <x v="0"/>
    <x v="6"/>
    <x v="81"/>
    <x v="81"/>
    <x v="21"/>
    <x v="81"/>
    <x v="81"/>
    <x v="81"/>
    <x v="2"/>
    <x v="67"/>
    <x v="70"/>
    <x v="1"/>
    <x v="80"/>
  </r>
  <r>
    <x v="82"/>
    <x v="82"/>
    <x v="0"/>
    <x v="4"/>
    <x v="82"/>
    <x v="82"/>
    <x v="78"/>
    <x v="82"/>
    <x v="82"/>
    <x v="82"/>
    <x v="2"/>
    <x v="68"/>
    <x v="11"/>
    <x v="3"/>
    <x v="81"/>
  </r>
  <r>
    <x v="83"/>
    <x v="83"/>
    <x v="7"/>
    <x v="0"/>
    <x v="83"/>
    <x v="83"/>
    <x v="79"/>
    <x v="83"/>
    <x v="83"/>
    <x v="83"/>
    <x v="0"/>
    <x v="69"/>
    <x v="71"/>
    <x v="1"/>
    <x v="82"/>
  </r>
  <r>
    <x v="84"/>
    <x v="84"/>
    <x v="18"/>
    <x v="1"/>
    <x v="84"/>
    <x v="84"/>
    <x v="80"/>
    <x v="84"/>
    <x v="84"/>
    <x v="84"/>
    <x v="1"/>
    <x v="11"/>
    <x v="72"/>
    <x v="0"/>
    <x v="16"/>
  </r>
  <r>
    <x v="85"/>
    <x v="85"/>
    <x v="4"/>
    <x v="3"/>
    <x v="85"/>
    <x v="85"/>
    <x v="81"/>
    <x v="85"/>
    <x v="85"/>
    <x v="85"/>
    <x v="3"/>
    <x v="70"/>
    <x v="73"/>
    <x v="0"/>
    <x v="83"/>
  </r>
  <r>
    <x v="86"/>
    <x v="86"/>
    <x v="0"/>
    <x v="3"/>
    <x v="86"/>
    <x v="86"/>
    <x v="82"/>
    <x v="86"/>
    <x v="86"/>
    <x v="86"/>
    <x v="0"/>
    <x v="71"/>
    <x v="74"/>
    <x v="2"/>
    <x v="84"/>
  </r>
  <r>
    <x v="87"/>
    <x v="87"/>
    <x v="7"/>
    <x v="5"/>
    <x v="87"/>
    <x v="87"/>
    <x v="83"/>
    <x v="87"/>
    <x v="87"/>
    <x v="87"/>
    <x v="1"/>
    <x v="72"/>
    <x v="75"/>
    <x v="0"/>
    <x v="85"/>
  </r>
  <r>
    <x v="88"/>
    <x v="88"/>
    <x v="1"/>
    <x v="5"/>
    <x v="88"/>
    <x v="88"/>
    <x v="84"/>
    <x v="88"/>
    <x v="88"/>
    <x v="88"/>
    <x v="1"/>
    <x v="73"/>
    <x v="76"/>
    <x v="0"/>
    <x v="86"/>
  </r>
  <r>
    <x v="89"/>
    <x v="89"/>
    <x v="9"/>
    <x v="5"/>
    <x v="89"/>
    <x v="89"/>
    <x v="85"/>
    <x v="89"/>
    <x v="89"/>
    <x v="89"/>
    <x v="3"/>
    <x v="74"/>
    <x v="77"/>
    <x v="0"/>
    <x v="87"/>
  </r>
  <r>
    <x v="90"/>
    <x v="90"/>
    <x v="17"/>
    <x v="3"/>
    <x v="90"/>
    <x v="90"/>
    <x v="21"/>
    <x v="90"/>
    <x v="90"/>
    <x v="90"/>
    <x v="1"/>
    <x v="75"/>
    <x v="67"/>
    <x v="2"/>
    <x v="88"/>
  </r>
  <r>
    <x v="91"/>
    <x v="91"/>
    <x v="5"/>
    <x v="5"/>
    <x v="91"/>
    <x v="91"/>
    <x v="86"/>
    <x v="61"/>
    <x v="91"/>
    <x v="91"/>
    <x v="3"/>
    <x v="76"/>
    <x v="78"/>
    <x v="2"/>
    <x v="89"/>
  </r>
  <r>
    <x v="92"/>
    <x v="92"/>
    <x v="11"/>
    <x v="0"/>
    <x v="92"/>
    <x v="92"/>
    <x v="87"/>
    <x v="91"/>
    <x v="92"/>
    <x v="92"/>
    <x v="0"/>
    <x v="77"/>
    <x v="79"/>
    <x v="0"/>
    <x v="90"/>
  </r>
  <r>
    <x v="93"/>
    <x v="93"/>
    <x v="9"/>
    <x v="2"/>
    <x v="93"/>
    <x v="93"/>
    <x v="88"/>
    <x v="92"/>
    <x v="93"/>
    <x v="93"/>
    <x v="3"/>
    <x v="78"/>
    <x v="27"/>
    <x v="2"/>
    <x v="91"/>
  </r>
  <r>
    <x v="94"/>
    <x v="94"/>
    <x v="19"/>
    <x v="1"/>
    <x v="94"/>
    <x v="94"/>
    <x v="89"/>
    <x v="93"/>
    <x v="94"/>
    <x v="94"/>
    <x v="3"/>
    <x v="79"/>
    <x v="69"/>
    <x v="1"/>
    <x v="92"/>
  </r>
  <r>
    <x v="95"/>
    <x v="95"/>
    <x v="10"/>
    <x v="2"/>
    <x v="95"/>
    <x v="95"/>
    <x v="90"/>
    <x v="94"/>
    <x v="95"/>
    <x v="95"/>
    <x v="1"/>
    <x v="80"/>
    <x v="80"/>
    <x v="2"/>
    <x v="93"/>
  </r>
  <r>
    <x v="96"/>
    <x v="96"/>
    <x v="15"/>
    <x v="6"/>
    <x v="96"/>
    <x v="96"/>
    <x v="91"/>
    <x v="95"/>
    <x v="96"/>
    <x v="96"/>
    <x v="3"/>
    <x v="81"/>
    <x v="81"/>
    <x v="1"/>
    <x v="94"/>
  </r>
  <r>
    <x v="97"/>
    <x v="97"/>
    <x v="9"/>
    <x v="5"/>
    <x v="97"/>
    <x v="97"/>
    <x v="92"/>
    <x v="96"/>
    <x v="97"/>
    <x v="97"/>
    <x v="1"/>
    <x v="82"/>
    <x v="82"/>
    <x v="1"/>
    <x v="95"/>
  </r>
  <r>
    <x v="98"/>
    <x v="98"/>
    <x v="17"/>
    <x v="1"/>
    <x v="98"/>
    <x v="98"/>
    <x v="93"/>
    <x v="97"/>
    <x v="98"/>
    <x v="98"/>
    <x v="2"/>
    <x v="83"/>
    <x v="7"/>
    <x v="0"/>
    <x v="96"/>
  </r>
  <r>
    <x v="99"/>
    <x v="99"/>
    <x v="9"/>
    <x v="2"/>
    <x v="99"/>
    <x v="99"/>
    <x v="94"/>
    <x v="98"/>
    <x v="99"/>
    <x v="99"/>
    <x v="1"/>
    <x v="84"/>
    <x v="83"/>
    <x v="0"/>
    <x v="97"/>
  </r>
  <r>
    <x v="100"/>
    <x v="100"/>
    <x v="14"/>
    <x v="2"/>
    <x v="100"/>
    <x v="100"/>
    <x v="95"/>
    <x v="99"/>
    <x v="100"/>
    <x v="100"/>
    <x v="0"/>
    <x v="85"/>
    <x v="84"/>
    <x v="0"/>
    <x v="98"/>
  </r>
  <r>
    <x v="101"/>
    <x v="101"/>
    <x v="9"/>
    <x v="1"/>
    <x v="101"/>
    <x v="101"/>
    <x v="96"/>
    <x v="100"/>
    <x v="101"/>
    <x v="101"/>
    <x v="3"/>
    <x v="86"/>
    <x v="24"/>
    <x v="1"/>
    <x v="99"/>
  </r>
  <r>
    <x v="102"/>
    <x v="102"/>
    <x v="15"/>
    <x v="7"/>
    <x v="102"/>
    <x v="102"/>
    <x v="97"/>
    <x v="101"/>
    <x v="102"/>
    <x v="102"/>
    <x v="2"/>
    <x v="87"/>
    <x v="85"/>
    <x v="2"/>
    <x v="100"/>
  </r>
  <r>
    <x v="103"/>
    <x v="103"/>
    <x v="4"/>
    <x v="0"/>
    <x v="103"/>
    <x v="103"/>
    <x v="98"/>
    <x v="102"/>
    <x v="103"/>
    <x v="103"/>
    <x v="3"/>
    <x v="88"/>
    <x v="86"/>
    <x v="1"/>
    <x v="101"/>
  </r>
  <r>
    <x v="104"/>
    <x v="104"/>
    <x v="9"/>
    <x v="0"/>
    <x v="104"/>
    <x v="104"/>
    <x v="99"/>
    <x v="103"/>
    <x v="104"/>
    <x v="104"/>
    <x v="3"/>
    <x v="12"/>
    <x v="13"/>
    <x v="0"/>
    <x v="102"/>
  </r>
  <r>
    <x v="105"/>
    <x v="105"/>
    <x v="18"/>
    <x v="7"/>
    <x v="105"/>
    <x v="105"/>
    <x v="100"/>
    <x v="104"/>
    <x v="105"/>
    <x v="105"/>
    <x v="3"/>
    <x v="89"/>
    <x v="13"/>
    <x v="0"/>
    <x v="103"/>
  </r>
  <r>
    <x v="106"/>
    <x v="106"/>
    <x v="1"/>
    <x v="0"/>
    <x v="106"/>
    <x v="106"/>
    <x v="101"/>
    <x v="105"/>
    <x v="106"/>
    <x v="106"/>
    <x v="2"/>
    <x v="90"/>
    <x v="15"/>
    <x v="2"/>
    <x v="104"/>
  </r>
  <r>
    <x v="107"/>
    <x v="107"/>
    <x v="15"/>
    <x v="5"/>
    <x v="107"/>
    <x v="107"/>
    <x v="102"/>
    <x v="106"/>
    <x v="107"/>
    <x v="107"/>
    <x v="3"/>
    <x v="91"/>
    <x v="87"/>
    <x v="0"/>
    <x v="105"/>
  </r>
  <r>
    <x v="108"/>
    <x v="108"/>
    <x v="7"/>
    <x v="5"/>
    <x v="108"/>
    <x v="108"/>
    <x v="103"/>
    <x v="107"/>
    <x v="108"/>
    <x v="108"/>
    <x v="3"/>
    <x v="92"/>
    <x v="88"/>
    <x v="0"/>
    <x v="106"/>
  </r>
  <r>
    <x v="109"/>
    <x v="109"/>
    <x v="14"/>
    <x v="7"/>
    <x v="109"/>
    <x v="109"/>
    <x v="104"/>
    <x v="108"/>
    <x v="109"/>
    <x v="109"/>
    <x v="2"/>
    <x v="93"/>
    <x v="9"/>
    <x v="0"/>
    <x v="107"/>
  </r>
  <r>
    <x v="110"/>
    <x v="110"/>
    <x v="17"/>
    <x v="1"/>
    <x v="110"/>
    <x v="110"/>
    <x v="105"/>
    <x v="109"/>
    <x v="110"/>
    <x v="110"/>
    <x v="3"/>
    <x v="94"/>
    <x v="89"/>
    <x v="2"/>
    <x v="108"/>
  </r>
  <r>
    <x v="111"/>
    <x v="111"/>
    <x v="5"/>
    <x v="1"/>
    <x v="111"/>
    <x v="111"/>
    <x v="106"/>
    <x v="110"/>
    <x v="111"/>
    <x v="111"/>
    <x v="0"/>
    <x v="95"/>
    <x v="90"/>
    <x v="2"/>
    <x v="109"/>
  </r>
  <r>
    <x v="112"/>
    <x v="112"/>
    <x v="6"/>
    <x v="3"/>
    <x v="112"/>
    <x v="112"/>
    <x v="107"/>
    <x v="111"/>
    <x v="112"/>
    <x v="112"/>
    <x v="0"/>
    <x v="96"/>
    <x v="18"/>
    <x v="0"/>
    <x v="110"/>
  </r>
  <r>
    <x v="113"/>
    <x v="113"/>
    <x v="16"/>
    <x v="6"/>
    <x v="113"/>
    <x v="113"/>
    <x v="108"/>
    <x v="112"/>
    <x v="113"/>
    <x v="113"/>
    <x v="1"/>
    <x v="97"/>
    <x v="91"/>
    <x v="1"/>
    <x v="111"/>
  </r>
  <r>
    <x v="114"/>
    <x v="114"/>
    <x v="4"/>
    <x v="5"/>
    <x v="114"/>
    <x v="114"/>
    <x v="109"/>
    <x v="113"/>
    <x v="114"/>
    <x v="114"/>
    <x v="2"/>
    <x v="98"/>
    <x v="92"/>
    <x v="0"/>
    <x v="112"/>
  </r>
  <r>
    <x v="115"/>
    <x v="115"/>
    <x v="3"/>
    <x v="2"/>
    <x v="115"/>
    <x v="115"/>
    <x v="110"/>
    <x v="114"/>
    <x v="115"/>
    <x v="115"/>
    <x v="1"/>
    <x v="99"/>
    <x v="24"/>
    <x v="1"/>
    <x v="113"/>
  </r>
  <r>
    <x v="116"/>
    <x v="116"/>
    <x v="1"/>
    <x v="0"/>
    <x v="116"/>
    <x v="116"/>
    <x v="111"/>
    <x v="115"/>
    <x v="116"/>
    <x v="116"/>
    <x v="2"/>
    <x v="100"/>
    <x v="67"/>
    <x v="1"/>
    <x v="114"/>
  </r>
  <r>
    <x v="117"/>
    <x v="117"/>
    <x v="12"/>
    <x v="5"/>
    <x v="117"/>
    <x v="117"/>
    <x v="112"/>
    <x v="116"/>
    <x v="117"/>
    <x v="117"/>
    <x v="3"/>
    <x v="101"/>
    <x v="93"/>
    <x v="0"/>
    <x v="115"/>
  </r>
  <r>
    <x v="118"/>
    <x v="118"/>
    <x v="8"/>
    <x v="2"/>
    <x v="118"/>
    <x v="118"/>
    <x v="113"/>
    <x v="117"/>
    <x v="118"/>
    <x v="118"/>
    <x v="0"/>
    <x v="102"/>
    <x v="94"/>
    <x v="1"/>
    <x v="116"/>
  </r>
  <r>
    <x v="119"/>
    <x v="119"/>
    <x v="10"/>
    <x v="4"/>
    <x v="119"/>
    <x v="119"/>
    <x v="114"/>
    <x v="118"/>
    <x v="119"/>
    <x v="119"/>
    <x v="3"/>
    <x v="103"/>
    <x v="95"/>
    <x v="1"/>
    <x v="117"/>
  </r>
  <r>
    <x v="120"/>
    <x v="120"/>
    <x v="4"/>
    <x v="3"/>
    <x v="120"/>
    <x v="120"/>
    <x v="115"/>
    <x v="119"/>
    <x v="120"/>
    <x v="120"/>
    <x v="0"/>
    <x v="104"/>
    <x v="93"/>
    <x v="0"/>
    <x v="118"/>
  </r>
  <r>
    <x v="121"/>
    <x v="121"/>
    <x v="3"/>
    <x v="3"/>
    <x v="121"/>
    <x v="121"/>
    <x v="116"/>
    <x v="120"/>
    <x v="121"/>
    <x v="121"/>
    <x v="0"/>
    <x v="105"/>
    <x v="96"/>
    <x v="0"/>
    <x v="119"/>
  </r>
  <r>
    <x v="122"/>
    <x v="122"/>
    <x v="13"/>
    <x v="1"/>
    <x v="122"/>
    <x v="122"/>
    <x v="117"/>
    <x v="121"/>
    <x v="122"/>
    <x v="122"/>
    <x v="0"/>
    <x v="106"/>
    <x v="47"/>
    <x v="0"/>
    <x v="120"/>
  </r>
  <r>
    <x v="123"/>
    <x v="123"/>
    <x v="2"/>
    <x v="4"/>
    <x v="123"/>
    <x v="123"/>
    <x v="118"/>
    <x v="122"/>
    <x v="123"/>
    <x v="123"/>
    <x v="3"/>
    <x v="107"/>
    <x v="97"/>
    <x v="1"/>
    <x v="121"/>
  </r>
  <r>
    <x v="124"/>
    <x v="124"/>
    <x v="4"/>
    <x v="7"/>
    <x v="124"/>
    <x v="124"/>
    <x v="119"/>
    <x v="123"/>
    <x v="124"/>
    <x v="124"/>
    <x v="1"/>
    <x v="13"/>
    <x v="98"/>
    <x v="2"/>
    <x v="122"/>
  </r>
  <r>
    <x v="125"/>
    <x v="125"/>
    <x v="11"/>
    <x v="4"/>
    <x v="125"/>
    <x v="125"/>
    <x v="120"/>
    <x v="124"/>
    <x v="125"/>
    <x v="125"/>
    <x v="1"/>
    <x v="108"/>
    <x v="27"/>
    <x v="1"/>
    <x v="123"/>
  </r>
  <r>
    <x v="126"/>
    <x v="126"/>
    <x v="9"/>
    <x v="2"/>
    <x v="126"/>
    <x v="126"/>
    <x v="121"/>
    <x v="125"/>
    <x v="126"/>
    <x v="126"/>
    <x v="2"/>
    <x v="109"/>
    <x v="99"/>
    <x v="1"/>
    <x v="124"/>
  </r>
  <r>
    <x v="127"/>
    <x v="127"/>
    <x v="0"/>
    <x v="0"/>
    <x v="127"/>
    <x v="127"/>
    <x v="122"/>
    <x v="126"/>
    <x v="127"/>
    <x v="127"/>
    <x v="3"/>
    <x v="110"/>
    <x v="100"/>
    <x v="2"/>
    <x v="125"/>
  </r>
  <r>
    <x v="128"/>
    <x v="128"/>
    <x v="14"/>
    <x v="5"/>
    <x v="128"/>
    <x v="128"/>
    <x v="123"/>
    <x v="127"/>
    <x v="128"/>
    <x v="128"/>
    <x v="0"/>
    <x v="111"/>
    <x v="101"/>
    <x v="0"/>
    <x v="126"/>
  </r>
  <r>
    <x v="129"/>
    <x v="129"/>
    <x v="19"/>
    <x v="1"/>
    <x v="129"/>
    <x v="129"/>
    <x v="124"/>
    <x v="128"/>
    <x v="129"/>
    <x v="129"/>
    <x v="2"/>
    <x v="112"/>
    <x v="63"/>
    <x v="0"/>
    <x v="127"/>
  </r>
  <r>
    <x v="130"/>
    <x v="130"/>
    <x v="6"/>
    <x v="4"/>
    <x v="130"/>
    <x v="130"/>
    <x v="125"/>
    <x v="129"/>
    <x v="130"/>
    <x v="130"/>
    <x v="2"/>
    <x v="113"/>
    <x v="37"/>
    <x v="1"/>
    <x v="128"/>
  </r>
  <r>
    <x v="131"/>
    <x v="131"/>
    <x v="9"/>
    <x v="2"/>
    <x v="131"/>
    <x v="131"/>
    <x v="126"/>
    <x v="130"/>
    <x v="131"/>
    <x v="131"/>
    <x v="1"/>
    <x v="114"/>
    <x v="102"/>
    <x v="0"/>
    <x v="129"/>
  </r>
  <r>
    <x v="132"/>
    <x v="132"/>
    <x v="16"/>
    <x v="5"/>
    <x v="132"/>
    <x v="132"/>
    <x v="127"/>
    <x v="131"/>
    <x v="132"/>
    <x v="132"/>
    <x v="3"/>
    <x v="115"/>
    <x v="103"/>
    <x v="1"/>
    <x v="130"/>
  </r>
  <r>
    <x v="133"/>
    <x v="133"/>
    <x v="11"/>
    <x v="7"/>
    <x v="133"/>
    <x v="133"/>
    <x v="128"/>
    <x v="132"/>
    <x v="133"/>
    <x v="133"/>
    <x v="1"/>
    <x v="116"/>
    <x v="104"/>
    <x v="2"/>
    <x v="131"/>
  </r>
  <r>
    <x v="134"/>
    <x v="134"/>
    <x v="7"/>
    <x v="6"/>
    <x v="134"/>
    <x v="134"/>
    <x v="129"/>
    <x v="133"/>
    <x v="134"/>
    <x v="134"/>
    <x v="0"/>
    <x v="117"/>
    <x v="105"/>
    <x v="0"/>
    <x v="132"/>
  </r>
  <r>
    <x v="135"/>
    <x v="135"/>
    <x v="17"/>
    <x v="5"/>
    <x v="135"/>
    <x v="135"/>
    <x v="130"/>
    <x v="134"/>
    <x v="135"/>
    <x v="135"/>
    <x v="0"/>
    <x v="118"/>
    <x v="106"/>
    <x v="0"/>
    <x v="133"/>
  </r>
  <r>
    <x v="136"/>
    <x v="136"/>
    <x v="16"/>
    <x v="3"/>
    <x v="136"/>
    <x v="136"/>
    <x v="21"/>
    <x v="135"/>
    <x v="136"/>
    <x v="136"/>
    <x v="3"/>
    <x v="119"/>
    <x v="107"/>
    <x v="1"/>
    <x v="134"/>
  </r>
  <r>
    <x v="137"/>
    <x v="137"/>
    <x v="7"/>
    <x v="5"/>
    <x v="137"/>
    <x v="137"/>
    <x v="131"/>
    <x v="136"/>
    <x v="137"/>
    <x v="137"/>
    <x v="3"/>
    <x v="120"/>
    <x v="108"/>
    <x v="0"/>
    <x v="135"/>
  </r>
  <r>
    <x v="138"/>
    <x v="138"/>
    <x v="5"/>
    <x v="1"/>
    <x v="138"/>
    <x v="138"/>
    <x v="132"/>
    <x v="137"/>
    <x v="138"/>
    <x v="138"/>
    <x v="1"/>
    <x v="121"/>
    <x v="98"/>
    <x v="1"/>
    <x v="136"/>
  </r>
  <r>
    <x v="139"/>
    <x v="139"/>
    <x v="7"/>
    <x v="2"/>
    <x v="139"/>
    <x v="139"/>
    <x v="133"/>
    <x v="138"/>
    <x v="139"/>
    <x v="139"/>
    <x v="2"/>
    <x v="122"/>
    <x v="109"/>
    <x v="2"/>
    <x v="137"/>
  </r>
  <r>
    <x v="140"/>
    <x v="140"/>
    <x v="0"/>
    <x v="7"/>
    <x v="140"/>
    <x v="140"/>
    <x v="134"/>
    <x v="139"/>
    <x v="140"/>
    <x v="140"/>
    <x v="0"/>
    <x v="123"/>
    <x v="101"/>
    <x v="2"/>
    <x v="138"/>
  </r>
  <r>
    <x v="141"/>
    <x v="141"/>
    <x v="12"/>
    <x v="5"/>
    <x v="141"/>
    <x v="141"/>
    <x v="135"/>
    <x v="140"/>
    <x v="141"/>
    <x v="141"/>
    <x v="1"/>
    <x v="124"/>
    <x v="18"/>
    <x v="1"/>
    <x v="139"/>
  </r>
  <r>
    <x v="142"/>
    <x v="142"/>
    <x v="10"/>
    <x v="2"/>
    <x v="142"/>
    <x v="142"/>
    <x v="136"/>
    <x v="141"/>
    <x v="142"/>
    <x v="142"/>
    <x v="3"/>
    <x v="125"/>
    <x v="36"/>
    <x v="2"/>
    <x v="140"/>
  </r>
  <r>
    <x v="143"/>
    <x v="143"/>
    <x v="3"/>
    <x v="3"/>
    <x v="143"/>
    <x v="143"/>
    <x v="137"/>
    <x v="142"/>
    <x v="143"/>
    <x v="143"/>
    <x v="2"/>
    <x v="126"/>
    <x v="101"/>
    <x v="1"/>
    <x v="141"/>
  </r>
  <r>
    <x v="144"/>
    <x v="144"/>
    <x v="16"/>
    <x v="5"/>
    <x v="144"/>
    <x v="144"/>
    <x v="138"/>
    <x v="143"/>
    <x v="144"/>
    <x v="144"/>
    <x v="1"/>
    <x v="127"/>
    <x v="20"/>
    <x v="2"/>
    <x v="142"/>
  </r>
  <r>
    <x v="145"/>
    <x v="145"/>
    <x v="10"/>
    <x v="5"/>
    <x v="145"/>
    <x v="145"/>
    <x v="139"/>
    <x v="144"/>
    <x v="145"/>
    <x v="145"/>
    <x v="3"/>
    <x v="128"/>
    <x v="109"/>
    <x v="2"/>
    <x v="143"/>
  </r>
  <r>
    <x v="146"/>
    <x v="146"/>
    <x v="13"/>
    <x v="1"/>
    <x v="146"/>
    <x v="146"/>
    <x v="21"/>
    <x v="145"/>
    <x v="146"/>
    <x v="146"/>
    <x v="3"/>
    <x v="129"/>
    <x v="79"/>
    <x v="0"/>
    <x v="144"/>
  </r>
  <r>
    <x v="147"/>
    <x v="147"/>
    <x v="3"/>
    <x v="3"/>
    <x v="147"/>
    <x v="147"/>
    <x v="140"/>
    <x v="146"/>
    <x v="147"/>
    <x v="147"/>
    <x v="3"/>
    <x v="130"/>
    <x v="28"/>
    <x v="0"/>
    <x v="145"/>
  </r>
  <r>
    <x v="148"/>
    <x v="148"/>
    <x v="3"/>
    <x v="4"/>
    <x v="148"/>
    <x v="148"/>
    <x v="141"/>
    <x v="147"/>
    <x v="148"/>
    <x v="148"/>
    <x v="1"/>
    <x v="131"/>
    <x v="93"/>
    <x v="3"/>
    <x v="146"/>
  </r>
  <r>
    <x v="149"/>
    <x v="149"/>
    <x v="16"/>
    <x v="3"/>
    <x v="149"/>
    <x v="149"/>
    <x v="142"/>
    <x v="148"/>
    <x v="149"/>
    <x v="149"/>
    <x v="1"/>
    <x v="132"/>
    <x v="110"/>
    <x v="1"/>
    <x v="147"/>
  </r>
  <r>
    <x v="150"/>
    <x v="150"/>
    <x v="5"/>
    <x v="3"/>
    <x v="150"/>
    <x v="150"/>
    <x v="143"/>
    <x v="149"/>
    <x v="150"/>
    <x v="150"/>
    <x v="3"/>
    <x v="124"/>
    <x v="111"/>
    <x v="1"/>
    <x v="148"/>
  </r>
  <r>
    <x v="151"/>
    <x v="151"/>
    <x v="7"/>
    <x v="7"/>
    <x v="151"/>
    <x v="151"/>
    <x v="144"/>
    <x v="150"/>
    <x v="151"/>
    <x v="151"/>
    <x v="3"/>
    <x v="133"/>
    <x v="7"/>
    <x v="2"/>
    <x v="149"/>
  </r>
  <r>
    <x v="152"/>
    <x v="152"/>
    <x v="6"/>
    <x v="6"/>
    <x v="152"/>
    <x v="152"/>
    <x v="145"/>
    <x v="151"/>
    <x v="152"/>
    <x v="152"/>
    <x v="1"/>
    <x v="134"/>
    <x v="75"/>
    <x v="2"/>
    <x v="150"/>
  </r>
  <r>
    <x v="153"/>
    <x v="153"/>
    <x v="6"/>
    <x v="7"/>
    <x v="153"/>
    <x v="153"/>
    <x v="146"/>
    <x v="152"/>
    <x v="153"/>
    <x v="153"/>
    <x v="2"/>
    <x v="135"/>
    <x v="112"/>
    <x v="1"/>
    <x v="151"/>
  </r>
  <r>
    <x v="154"/>
    <x v="154"/>
    <x v="11"/>
    <x v="4"/>
    <x v="154"/>
    <x v="154"/>
    <x v="147"/>
    <x v="153"/>
    <x v="154"/>
    <x v="154"/>
    <x v="0"/>
    <x v="136"/>
    <x v="54"/>
    <x v="1"/>
    <x v="25"/>
  </r>
  <r>
    <x v="155"/>
    <x v="155"/>
    <x v="14"/>
    <x v="3"/>
    <x v="155"/>
    <x v="155"/>
    <x v="148"/>
    <x v="154"/>
    <x v="155"/>
    <x v="155"/>
    <x v="1"/>
    <x v="14"/>
    <x v="113"/>
    <x v="2"/>
    <x v="152"/>
  </r>
  <r>
    <x v="156"/>
    <x v="156"/>
    <x v="11"/>
    <x v="0"/>
    <x v="156"/>
    <x v="156"/>
    <x v="149"/>
    <x v="155"/>
    <x v="156"/>
    <x v="156"/>
    <x v="0"/>
    <x v="137"/>
    <x v="60"/>
    <x v="0"/>
    <x v="153"/>
  </r>
  <r>
    <x v="157"/>
    <x v="157"/>
    <x v="7"/>
    <x v="3"/>
    <x v="157"/>
    <x v="157"/>
    <x v="150"/>
    <x v="156"/>
    <x v="157"/>
    <x v="157"/>
    <x v="3"/>
    <x v="138"/>
    <x v="93"/>
    <x v="0"/>
    <x v="154"/>
  </r>
  <r>
    <x v="158"/>
    <x v="158"/>
    <x v="12"/>
    <x v="2"/>
    <x v="158"/>
    <x v="158"/>
    <x v="151"/>
    <x v="157"/>
    <x v="158"/>
    <x v="158"/>
    <x v="3"/>
    <x v="139"/>
    <x v="86"/>
    <x v="1"/>
    <x v="155"/>
  </r>
  <r>
    <x v="159"/>
    <x v="159"/>
    <x v="19"/>
    <x v="0"/>
    <x v="159"/>
    <x v="159"/>
    <x v="152"/>
    <x v="158"/>
    <x v="159"/>
    <x v="159"/>
    <x v="1"/>
    <x v="140"/>
    <x v="30"/>
    <x v="0"/>
    <x v="156"/>
  </r>
  <r>
    <x v="160"/>
    <x v="160"/>
    <x v="9"/>
    <x v="4"/>
    <x v="160"/>
    <x v="160"/>
    <x v="153"/>
    <x v="159"/>
    <x v="160"/>
    <x v="160"/>
    <x v="0"/>
    <x v="141"/>
    <x v="68"/>
    <x v="1"/>
    <x v="157"/>
  </r>
  <r>
    <x v="161"/>
    <x v="161"/>
    <x v="6"/>
    <x v="2"/>
    <x v="161"/>
    <x v="161"/>
    <x v="154"/>
    <x v="61"/>
    <x v="161"/>
    <x v="161"/>
    <x v="2"/>
    <x v="142"/>
    <x v="84"/>
    <x v="1"/>
    <x v="158"/>
  </r>
  <r>
    <x v="162"/>
    <x v="162"/>
    <x v="18"/>
    <x v="6"/>
    <x v="162"/>
    <x v="162"/>
    <x v="155"/>
    <x v="160"/>
    <x v="162"/>
    <x v="162"/>
    <x v="2"/>
    <x v="143"/>
    <x v="49"/>
    <x v="0"/>
    <x v="159"/>
  </r>
  <r>
    <x v="163"/>
    <x v="163"/>
    <x v="13"/>
    <x v="2"/>
    <x v="163"/>
    <x v="163"/>
    <x v="21"/>
    <x v="161"/>
    <x v="163"/>
    <x v="163"/>
    <x v="1"/>
    <x v="144"/>
    <x v="70"/>
    <x v="1"/>
    <x v="160"/>
  </r>
  <r>
    <x v="164"/>
    <x v="164"/>
    <x v="11"/>
    <x v="7"/>
    <x v="164"/>
    <x v="164"/>
    <x v="156"/>
    <x v="162"/>
    <x v="164"/>
    <x v="164"/>
    <x v="2"/>
    <x v="145"/>
    <x v="0"/>
    <x v="0"/>
    <x v="161"/>
  </r>
  <r>
    <x v="165"/>
    <x v="165"/>
    <x v="9"/>
    <x v="7"/>
    <x v="165"/>
    <x v="165"/>
    <x v="157"/>
    <x v="163"/>
    <x v="165"/>
    <x v="165"/>
    <x v="1"/>
    <x v="146"/>
    <x v="107"/>
    <x v="0"/>
    <x v="162"/>
  </r>
  <r>
    <x v="166"/>
    <x v="166"/>
    <x v="12"/>
    <x v="4"/>
    <x v="166"/>
    <x v="166"/>
    <x v="158"/>
    <x v="164"/>
    <x v="166"/>
    <x v="166"/>
    <x v="0"/>
    <x v="147"/>
    <x v="114"/>
    <x v="3"/>
    <x v="163"/>
  </r>
  <r>
    <x v="167"/>
    <x v="167"/>
    <x v="12"/>
    <x v="7"/>
    <x v="167"/>
    <x v="167"/>
    <x v="159"/>
    <x v="165"/>
    <x v="167"/>
    <x v="167"/>
    <x v="1"/>
    <x v="148"/>
    <x v="9"/>
    <x v="0"/>
    <x v="18"/>
  </r>
  <r>
    <x v="168"/>
    <x v="168"/>
    <x v="2"/>
    <x v="4"/>
    <x v="168"/>
    <x v="168"/>
    <x v="160"/>
    <x v="166"/>
    <x v="168"/>
    <x v="168"/>
    <x v="3"/>
    <x v="149"/>
    <x v="115"/>
    <x v="2"/>
    <x v="164"/>
  </r>
  <r>
    <x v="169"/>
    <x v="169"/>
    <x v="16"/>
    <x v="7"/>
    <x v="169"/>
    <x v="169"/>
    <x v="161"/>
    <x v="167"/>
    <x v="169"/>
    <x v="169"/>
    <x v="0"/>
    <x v="150"/>
    <x v="74"/>
    <x v="2"/>
    <x v="165"/>
  </r>
  <r>
    <x v="170"/>
    <x v="170"/>
    <x v="2"/>
    <x v="7"/>
    <x v="170"/>
    <x v="170"/>
    <x v="162"/>
    <x v="168"/>
    <x v="170"/>
    <x v="170"/>
    <x v="1"/>
    <x v="151"/>
    <x v="56"/>
    <x v="2"/>
    <x v="166"/>
  </r>
  <r>
    <x v="171"/>
    <x v="171"/>
    <x v="4"/>
    <x v="2"/>
    <x v="171"/>
    <x v="171"/>
    <x v="163"/>
    <x v="169"/>
    <x v="171"/>
    <x v="171"/>
    <x v="0"/>
    <x v="152"/>
    <x v="116"/>
    <x v="2"/>
    <x v="167"/>
  </r>
  <r>
    <x v="172"/>
    <x v="172"/>
    <x v="12"/>
    <x v="7"/>
    <x v="172"/>
    <x v="172"/>
    <x v="164"/>
    <x v="61"/>
    <x v="172"/>
    <x v="172"/>
    <x v="1"/>
    <x v="153"/>
    <x v="100"/>
    <x v="2"/>
    <x v="168"/>
  </r>
  <r>
    <x v="173"/>
    <x v="173"/>
    <x v="10"/>
    <x v="4"/>
    <x v="173"/>
    <x v="173"/>
    <x v="165"/>
    <x v="170"/>
    <x v="173"/>
    <x v="173"/>
    <x v="2"/>
    <x v="154"/>
    <x v="37"/>
    <x v="2"/>
    <x v="169"/>
  </r>
  <r>
    <x v="174"/>
    <x v="174"/>
    <x v="17"/>
    <x v="2"/>
    <x v="174"/>
    <x v="174"/>
    <x v="166"/>
    <x v="171"/>
    <x v="174"/>
    <x v="174"/>
    <x v="1"/>
    <x v="155"/>
    <x v="117"/>
    <x v="0"/>
    <x v="170"/>
  </r>
  <r>
    <x v="175"/>
    <x v="175"/>
    <x v="4"/>
    <x v="2"/>
    <x v="175"/>
    <x v="175"/>
    <x v="167"/>
    <x v="172"/>
    <x v="175"/>
    <x v="175"/>
    <x v="0"/>
    <x v="156"/>
    <x v="92"/>
    <x v="0"/>
    <x v="171"/>
  </r>
  <r>
    <x v="176"/>
    <x v="176"/>
    <x v="14"/>
    <x v="6"/>
    <x v="176"/>
    <x v="176"/>
    <x v="168"/>
    <x v="173"/>
    <x v="176"/>
    <x v="176"/>
    <x v="3"/>
    <x v="157"/>
    <x v="20"/>
    <x v="2"/>
    <x v="172"/>
  </r>
  <r>
    <x v="177"/>
    <x v="177"/>
    <x v="13"/>
    <x v="0"/>
    <x v="177"/>
    <x v="177"/>
    <x v="169"/>
    <x v="174"/>
    <x v="177"/>
    <x v="177"/>
    <x v="3"/>
    <x v="158"/>
    <x v="118"/>
    <x v="2"/>
    <x v="173"/>
  </r>
  <r>
    <x v="178"/>
    <x v="178"/>
    <x v="5"/>
    <x v="4"/>
    <x v="178"/>
    <x v="178"/>
    <x v="170"/>
    <x v="175"/>
    <x v="178"/>
    <x v="178"/>
    <x v="3"/>
    <x v="159"/>
    <x v="37"/>
    <x v="1"/>
    <x v="174"/>
  </r>
  <r>
    <x v="179"/>
    <x v="179"/>
    <x v="7"/>
    <x v="2"/>
    <x v="179"/>
    <x v="179"/>
    <x v="21"/>
    <x v="176"/>
    <x v="179"/>
    <x v="179"/>
    <x v="2"/>
    <x v="160"/>
    <x v="119"/>
    <x v="1"/>
    <x v="13"/>
  </r>
  <r>
    <x v="180"/>
    <x v="180"/>
    <x v="1"/>
    <x v="3"/>
    <x v="180"/>
    <x v="180"/>
    <x v="171"/>
    <x v="177"/>
    <x v="180"/>
    <x v="180"/>
    <x v="2"/>
    <x v="161"/>
    <x v="120"/>
    <x v="1"/>
    <x v="175"/>
  </r>
  <r>
    <x v="181"/>
    <x v="181"/>
    <x v="0"/>
    <x v="3"/>
    <x v="181"/>
    <x v="181"/>
    <x v="172"/>
    <x v="178"/>
    <x v="181"/>
    <x v="181"/>
    <x v="2"/>
    <x v="162"/>
    <x v="97"/>
    <x v="3"/>
    <x v="176"/>
  </r>
  <r>
    <x v="182"/>
    <x v="182"/>
    <x v="3"/>
    <x v="6"/>
    <x v="182"/>
    <x v="182"/>
    <x v="173"/>
    <x v="179"/>
    <x v="182"/>
    <x v="182"/>
    <x v="2"/>
    <x v="163"/>
    <x v="121"/>
    <x v="2"/>
    <x v="177"/>
  </r>
  <r>
    <x v="183"/>
    <x v="183"/>
    <x v="1"/>
    <x v="7"/>
    <x v="183"/>
    <x v="183"/>
    <x v="174"/>
    <x v="180"/>
    <x v="183"/>
    <x v="183"/>
    <x v="2"/>
    <x v="164"/>
    <x v="96"/>
    <x v="0"/>
    <x v="178"/>
  </r>
  <r>
    <x v="184"/>
    <x v="184"/>
    <x v="13"/>
    <x v="0"/>
    <x v="184"/>
    <x v="184"/>
    <x v="21"/>
    <x v="181"/>
    <x v="184"/>
    <x v="184"/>
    <x v="1"/>
    <x v="165"/>
    <x v="67"/>
    <x v="2"/>
    <x v="179"/>
  </r>
  <r>
    <x v="185"/>
    <x v="185"/>
    <x v="17"/>
    <x v="2"/>
    <x v="185"/>
    <x v="185"/>
    <x v="175"/>
    <x v="182"/>
    <x v="185"/>
    <x v="185"/>
    <x v="1"/>
    <x v="166"/>
    <x v="122"/>
    <x v="1"/>
    <x v="180"/>
  </r>
  <r>
    <x v="186"/>
    <x v="186"/>
    <x v="11"/>
    <x v="6"/>
    <x v="186"/>
    <x v="186"/>
    <x v="176"/>
    <x v="183"/>
    <x v="186"/>
    <x v="186"/>
    <x v="3"/>
    <x v="167"/>
    <x v="97"/>
    <x v="2"/>
    <x v="181"/>
  </r>
  <r>
    <x v="187"/>
    <x v="187"/>
    <x v="5"/>
    <x v="6"/>
    <x v="187"/>
    <x v="187"/>
    <x v="177"/>
    <x v="184"/>
    <x v="187"/>
    <x v="187"/>
    <x v="2"/>
    <x v="168"/>
    <x v="81"/>
    <x v="0"/>
    <x v="182"/>
  </r>
  <r>
    <x v="188"/>
    <x v="188"/>
    <x v="18"/>
    <x v="6"/>
    <x v="188"/>
    <x v="188"/>
    <x v="178"/>
    <x v="185"/>
    <x v="188"/>
    <x v="188"/>
    <x v="3"/>
    <x v="169"/>
    <x v="123"/>
    <x v="2"/>
    <x v="183"/>
  </r>
  <r>
    <x v="189"/>
    <x v="189"/>
    <x v="7"/>
    <x v="1"/>
    <x v="189"/>
    <x v="189"/>
    <x v="179"/>
    <x v="186"/>
    <x v="189"/>
    <x v="189"/>
    <x v="2"/>
    <x v="170"/>
    <x v="56"/>
    <x v="0"/>
    <x v="184"/>
  </r>
  <r>
    <x v="190"/>
    <x v="190"/>
    <x v="16"/>
    <x v="6"/>
    <x v="190"/>
    <x v="190"/>
    <x v="180"/>
    <x v="187"/>
    <x v="190"/>
    <x v="190"/>
    <x v="2"/>
    <x v="171"/>
    <x v="14"/>
    <x v="1"/>
    <x v="185"/>
  </r>
  <r>
    <x v="191"/>
    <x v="191"/>
    <x v="15"/>
    <x v="3"/>
    <x v="191"/>
    <x v="191"/>
    <x v="181"/>
    <x v="188"/>
    <x v="191"/>
    <x v="191"/>
    <x v="1"/>
    <x v="172"/>
    <x v="124"/>
    <x v="2"/>
    <x v="186"/>
  </r>
  <r>
    <x v="192"/>
    <x v="192"/>
    <x v="6"/>
    <x v="7"/>
    <x v="192"/>
    <x v="192"/>
    <x v="182"/>
    <x v="189"/>
    <x v="192"/>
    <x v="192"/>
    <x v="0"/>
    <x v="173"/>
    <x v="51"/>
    <x v="0"/>
    <x v="187"/>
  </r>
  <r>
    <x v="193"/>
    <x v="193"/>
    <x v="4"/>
    <x v="0"/>
    <x v="193"/>
    <x v="193"/>
    <x v="183"/>
    <x v="190"/>
    <x v="193"/>
    <x v="193"/>
    <x v="2"/>
    <x v="174"/>
    <x v="34"/>
    <x v="0"/>
    <x v="188"/>
  </r>
  <r>
    <x v="194"/>
    <x v="194"/>
    <x v="11"/>
    <x v="2"/>
    <x v="194"/>
    <x v="194"/>
    <x v="184"/>
    <x v="191"/>
    <x v="194"/>
    <x v="194"/>
    <x v="3"/>
    <x v="15"/>
    <x v="34"/>
    <x v="1"/>
    <x v="189"/>
  </r>
  <r>
    <x v="195"/>
    <x v="195"/>
    <x v="15"/>
    <x v="7"/>
    <x v="195"/>
    <x v="195"/>
    <x v="185"/>
    <x v="192"/>
    <x v="195"/>
    <x v="195"/>
    <x v="1"/>
    <x v="175"/>
    <x v="19"/>
    <x v="0"/>
    <x v="190"/>
  </r>
  <r>
    <x v="196"/>
    <x v="196"/>
    <x v="5"/>
    <x v="7"/>
    <x v="196"/>
    <x v="196"/>
    <x v="186"/>
    <x v="193"/>
    <x v="196"/>
    <x v="196"/>
    <x v="2"/>
    <x v="176"/>
    <x v="74"/>
    <x v="2"/>
    <x v="191"/>
  </r>
  <r>
    <x v="197"/>
    <x v="197"/>
    <x v="4"/>
    <x v="0"/>
    <x v="197"/>
    <x v="197"/>
    <x v="187"/>
    <x v="194"/>
    <x v="197"/>
    <x v="197"/>
    <x v="3"/>
    <x v="177"/>
    <x v="89"/>
    <x v="2"/>
    <x v="192"/>
  </r>
  <r>
    <x v="198"/>
    <x v="198"/>
    <x v="19"/>
    <x v="2"/>
    <x v="198"/>
    <x v="198"/>
    <x v="188"/>
    <x v="195"/>
    <x v="198"/>
    <x v="198"/>
    <x v="1"/>
    <x v="178"/>
    <x v="125"/>
    <x v="0"/>
    <x v="193"/>
  </r>
  <r>
    <x v="199"/>
    <x v="199"/>
    <x v="13"/>
    <x v="7"/>
    <x v="199"/>
    <x v="199"/>
    <x v="189"/>
    <x v="196"/>
    <x v="199"/>
    <x v="199"/>
    <x v="1"/>
    <x v="179"/>
    <x v="126"/>
    <x v="2"/>
    <x v="194"/>
  </r>
  <r>
    <x v="200"/>
    <x v="200"/>
    <x v="2"/>
    <x v="7"/>
    <x v="200"/>
    <x v="200"/>
    <x v="190"/>
    <x v="197"/>
    <x v="200"/>
    <x v="200"/>
    <x v="2"/>
    <x v="180"/>
    <x v="81"/>
    <x v="0"/>
    <x v="195"/>
  </r>
  <r>
    <x v="201"/>
    <x v="201"/>
    <x v="14"/>
    <x v="0"/>
    <x v="201"/>
    <x v="201"/>
    <x v="191"/>
    <x v="198"/>
    <x v="201"/>
    <x v="201"/>
    <x v="3"/>
    <x v="181"/>
    <x v="86"/>
    <x v="0"/>
    <x v="196"/>
  </r>
  <r>
    <x v="202"/>
    <x v="202"/>
    <x v="6"/>
    <x v="6"/>
    <x v="202"/>
    <x v="202"/>
    <x v="192"/>
    <x v="199"/>
    <x v="202"/>
    <x v="202"/>
    <x v="3"/>
    <x v="182"/>
    <x v="92"/>
    <x v="0"/>
    <x v="197"/>
  </r>
  <r>
    <x v="203"/>
    <x v="203"/>
    <x v="4"/>
    <x v="5"/>
    <x v="203"/>
    <x v="203"/>
    <x v="193"/>
    <x v="200"/>
    <x v="203"/>
    <x v="203"/>
    <x v="2"/>
    <x v="183"/>
    <x v="24"/>
    <x v="1"/>
    <x v="198"/>
  </r>
  <r>
    <x v="204"/>
    <x v="204"/>
    <x v="16"/>
    <x v="7"/>
    <x v="204"/>
    <x v="204"/>
    <x v="194"/>
    <x v="201"/>
    <x v="204"/>
    <x v="204"/>
    <x v="2"/>
    <x v="184"/>
    <x v="127"/>
    <x v="1"/>
    <x v="199"/>
  </r>
  <r>
    <x v="205"/>
    <x v="205"/>
    <x v="4"/>
    <x v="0"/>
    <x v="205"/>
    <x v="205"/>
    <x v="195"/>
    <x v="202"/>
    <x v="205"/>
    <x v="205"/>
    <x v="3"/>
    <x v="185"/>
    <x v="128"/>
    <x v="1"/>
    <x v="200"/>
  </r>
  <r>
    <x v="206"/>
    <x v="206"/>
    <x v="19"/>
    <x v="1"/>
    <x v="206"/>
    <x v="206"/>
    <x v="196"/>
    <x v="203"/>
    <x v="206"/>
    <x v="206"/>
    <x v="3"/>
    <x v="186"/>
    <x v="101"/>
    <x v="1"/>
    <x v="124"/>
  </r>
  <r>
    <x v="207"/>
    <x v="207"/>
    <x v="17"/>
    <x v="7"/>
    <x v="207"/>
    <x v="207"/>
    <x v="197"/>
    <x v="204"/>
    <x v="207"/>
    <x v="207"/>
    <x v="1"/>
    <x v="187"/>
    <x v="57"/>
    <x v="0"/>
    <x v="201"/>
  </r>
  <r>
    <x v="208"/>
    <x v="208"/>
    <x v="14"/>
    <x v="6"/>
    <x v="208"/>
    <x v="208"/>
    <x v="198"/>
    <x v="205"/>
    <x v="208"/>
    <x v="208"/>
    <x v="1"/>
    <x v="188"/>
    <x v="85"/>
    <x v="1"/>
    <x v="29"/>
  </r>
  <r>
    <x v="209"/>
    <x v="209"/>
    <x v="8"/>
    <x v="3"/>
    <x v="209"/>
    <x v="209"/>
    <x v="199"/>
    <x v="206"/>
    <x v="209"/>
    <x v="209"/>
    <x v="2"/>
    <x v="189"/>
    <x v="110"/>
    <x v="1"/>
    <x v="202"/>
  </r>
  <r>
    <x v="210"/>
    <x v="210"/>
    <x v="12"/>
    <x v="1"/>
    <x v="210"/>
    <x v="210"/>
    <x v="200"/>
    <x v="207"/>
    <x v="210"/>
    <x v="210"/>
    <x v="0"/>
    <x v="190"/>
    <x v="38"/>
    <x v="2"/>
    <x v="203"/>
  </r>
  <r>
    <x v="211"/>
    <x v="211"/>
    <x v="18"/>
    <x v="6"/>
    <x v="211"/>
    <x v="211"/>
    <x v="201"/>
    <x v="208"/>
    <x v="211"/>
    <x v="211"/>
    <x v="1"/>
    <x v="191"/>
    <x v="10"/>
    <x v="1"/>
    <x v="204"/>
  </r>
  <r>
    <x v="212"/>
    <x v="212"/>
    <x v="16"/>
    <x v="5"/>
    <x v="212"/>
    <x v="212"/>
    <x v="202"/>
    <x v="209"/>
    <x v="212"/>
    <x v="212"/>
    <x v="3"/>
    <x v="192"/>
    <x v="38"/>
    <x v="3"/>
    <x v="205"/>
  </r>
  <r>
    <x v="213"/>
    <x v="213"/>
    <x v="14"/>
    <x v="5"/>
    <x v="213"/>
    <x v="213"/>
    <x v="203"/>
    <x v="210"/>
    <x v="213"/>
    <x v="213"/>
    <x v="2"/>
    <x v="193"/>
    <x v="129"/>
    <x v="0"/>
    <x v="206"/>
  </r>
  <r>
    <x v="214"/>
    <x v="214"/>
    <x v="14"/>
    <x v="4"/>
    <x v="214"/>
    <x v="214"/>
    <x v="204"/>
    <x v="211"/>
    <x v="214"/>
    <x v="214"/>
    <x v="3"/>
    <x v="194"/>
    <x v="70"/>
    <x v="0"/>
    <x v="207"/>
  </r>
  <r>
    <x v="215"/>
    <x v="215"/>
    <x v="7"/>
    <x v="2"/>
    <x v="215"/>
    <x v="215"/>
    <x v="205"/>
    <x v="212"/>
    <x v="215"/>
    <x v="215"/>
    <x v="2"/>
    <x v="195"/>
    <x v="92"/>
    <x v="1"/>
    <x v="208"/>
  </r>
  <r>
    <x v="216"/>
    <x v="216"/>
    <x v="8"/>
    <x v="2"/>
    <x v="216"/>
    <x v="216"/>
    <x v="206"/>
    <x v="213"/>
    <x v="216"/>
    <x v="216"/>
    <x v="3"/>
    <x v="196"/>
    <x v="54"/>
    <x v="2"/>
    <x v="209"/>
  </r>
  <r>
    <x v="217"/>
    <x v="217"/>
    <x v="14"/>
    <x v="0"/>
    <x v="217"/>
    <x v="217"/>
    <x v="207"/>
    <x v="214"/>
    <x v="217"/>
    <x v="217"/>
    <x v="0"/>
    <x v="197"/>
    <x v="130"/>
    <x v="0"/>
    <x v="210"/>
  </r>
  <r>
    <x v="218"/>
    <x v="218"/>
    <x v="13"/>
    <x v="2"/>
    <x v="218"/>
    <x v="218"/>
    <x v="208"/>
    <x v="215"/>
    <x v="218"/>
    <x v="218"/>
    <x v="0"/>
    <x v="198"/>
    <x v="86"/>
    <x v="0"/>
    <x v="211"/>
  </r>
  <r>
    <x v="219"/>
    <x v="219"/>
    <x v="19"/>
    <x v="6"/>
    <x v="219"/>
    <x v="219"/>
    <x v="209"/>
    <x v="216"/>
    <x v="219"/>
    <x v="219"/>
    <x v="2"/>
    <x v="199"/>
    <x v="10"/>
    <x v="0"/>
    <x v="212"/>
  </r>
  <r>
    <x v="220"/>
    <x v="220"/>
    <x v="12"/>
    <x v="2"/>
    <x v="220"/>
    <x v="220"/>
    <x v="210"/>
    <x v="217"/>
    <x v="220"/>
    <x v="220"/>
    <x v="1"/>
    <x v="200"/>
    <x v="131"/>
    <x v="0"/>
    <x v="213"/>
  </r>
  <r>
    <x v="221"/>
    <x v="221"/>
    <x v="5"/>
    <x v="2"/>
    <x v="221"/>
    <x v="221"/>
    <x v="211"/>
    <x v="218"/>
    <x v="221"/>
    <x v="221"/>
    <x v="2"/>
    <x v="201"/>
    <x v="37"/>
    <x v="0"/>
    <x v="214"/>
  </r>
  <r>
    <x v="222"/>
    <x v="222"/>
    <x v="14"/>
    <x v="7"/>
    <x v="222"/>
    <x v="222"/>
    <x v="212"/>
    <x v="219"/>
    <x v="222"/>
    <x v="222"/>
    <x v="3"/>
    <x v="202"/>
    <x v="132"/>
    <x v="2"/>
    <x v="215"/>
  </r>
  <r>
    <x v="223"/>
    <x v="223"/>
    <x v="13"/>
    <x v="3"/>
    <x v="223"/>
    <x v="223"/>
    <x v="213"/>
    <x v="220"/>
    <x v="223"/>
    <x v="223"/>
    <x v="3"/>
    <x v="203"/>
    <x v="133"/>
    <x v="1"/>
    <x v="216"/>
  </r>
  <r>
    <x v="224"/>
    <x v="224"/>
    <x v="18"/>
    <x v="3"/>
    <x v="224"/>
    <x v="224"/>
    <x v="214"/>
    <x v="221"/>
    <x v="224"/>
    <x v="224"/>
    <x v="2"/>
    <x v="204"/>
    <x v="39"/>
    <x v="3"/>
    <x v="217"/>
  </r>
  <r>
    <x v="225"/>
    <x v="225"/>
    <x v="8"/>
    <x v="1"/>
    <x v="225"/>
    <x v="225"/>
    <x v="215"/>
    <x v="222"/>
    <x v="225"/>
    <x v="225"/>
    <x v="0"/>
    <x v="205"/>
    <x v="134"/>
    <x v="1"/>
    <x v="218"/>
  </r>
  <r>
    <x v="226"/>
    <x v="226"/>
    <x v="19"/>
    <x v="5"/>
    <x v="226"/>
    <x v="226"/>
    <x v="21"/>
    <x v="223"/>
    <x v="226"/>
    <x v="226"/>
    <x v="2"/>
    <x v="206"/>
    <x v="118"/>
    <x v="1"/>
    <x v="219"/>
  </r>
  <r>
    <x v="227"/>
    <x v="227"/>
    <x v="8"/>
    <x v="1"/>
    <x v="227"/>
    <x v="227"/>
    <x v="216"/>
    <x v="224"/>
    <x v="227"/>
    <x v="227"/>
    <x v="2"/>
    <x v="207"/>
    <x v="65"/>
    <x v="2"/>
    <x v="220"/>
  </r>
  <r>
    <x v="228"/>
    <x v="228"/>
    <x v="2"/>
    <x v="4"/>
    <x v="228"/>
    <x v="228"/>
    <x v="217"/>
    <x v="225"/>
    <x v="228"/>
    <x v="228"/>
    <x v="0"/>
    <x v="208"/>
    <x v="6"/>
    <x v="1"/>
    <x v="221"/>
  </r>
  <r>
    <x v="229"/>
    <x v="229"/>
    <x v="19"/>
    <x v="7"/>
    <x v="229"/>
    <x v="229"/>
    <x v="218"/>
    <x v="226"/>
    <x v="229"/>
    <x v="229"/>
    <x v="3"/>
    <x v="209"/>
    <x v="87"/>
    <x v="1"/>
    <x v="222"/>
  </r>
  <r>
    <x v="230"/>
    <x v="230"/>
    <x v="12"/>
    <x v="3"/>
    <x v="230"/>
    <x v="230"/>
    <x v="219"/>
    <x v="227"/>
    <x v="230"/>
    <x v="230"/>
    <x v="1"/>
    <x v="210"/>
    <x v="135"/>
    <x v="1"/>
    <x v="64"/>
  </r>
  <r>
    <x v="231"/>
    <x v="231"/>
    <x v="7"/>
    <x v="5"/>
    <x v="231"/>
    <x v="231"/>
    <x v="220"/>
    <x v="228"/>
    <x v="231"/>
    <x v="231"/>
    <x v="3"/>
    <x v="211"/>
    <x v="136"/>
    <x v="1"/>
    <x v="223"/>
  </r>
  <r>
    <x v="232"/>
    <x v="232"/>
    <x v="4"/>
    <x v="2"/>
    <x v="232"/>
    <x v="232"/>
    <x v="221"/>
    <x v="229"/>
    <x v="232"/>
    <x v="232"/>
    <x v="2"/>
    <x v="212"/>
    <x v="124"/>
    <x v="1"/>
    <x v="224"/>
  </r>
  <r>
    <x v="233"/>
    <x v="233"/>
    <x v="12"/>
    <x v="6"/>
    <x v="233"/>
    <x v="233"/>
    <x v="222"/>
    <x v="230"/>
    <x v="233"/>
    <x v="233"/>
    <x v="3"/>
    <x v="213"/>
    <x v="137"/>
    <x v="2"/>
    <x v="158"/>
  </r>
  <r>
    <x v="234"/>
    <x v="234"/>
    <x v="9"/>
    <x v="1"/>
    <x v="234"/>
    <x v="234"/>
    <x v="223"/>
    <x v="231"/>
    <x v="234"/>
    <x v="234"/>
    <x v="1"/>
    <x v="214"/>
    <x v="39"/>
    <x v="2"/>
    <x v="225"/>
  </r>
  <r>
    <x v="235"/>
    <x v="235"/>
    <x v="17"/>
    <x v="1"/>
    <x v="235"/>
    <x v="235"/>
    <x v="224"/>
    <x v="232"/>
    <x v="235"/>
    <x v="235"/>
    <x v="3"/>
    <x v="215"/>
    <x v="74"/>
    <x v="2"/>
    <x v="226"/>
  </r>
  <r>
    <x v="236"/>
    <x v="236"/>
    <x v="15"/>
    <x v="0"/>
    <x v="236"/>
    <x v="236"/>
    <x v="225"/>
    <x v="233"/>
    <x v="236"/>
    <x v="236"/>
    <x v="2"/>
    <x v="216"/>
    <x v="119"/>
    <x v="2"/>
    <x v="227"/>
  </r>
  <r>
    <x v="237"/>
    <x v="237"/>
    <x v="5"/>
    <x v="2"/>
    <x v="237"/>
    <x v="237"/>
    <x v="226"/>
    <x v="234"/>
    <x v="237"/>
    <x v="237"/>
    <x v="3"/>
    <x v="217"/>
    <x v="138"/>
    <x v="0"/>
    <x v="228"/>
  </r>
  <r>
    <x v="238"/>
    <x v="238"/>
    <x v="16"/>
    <x v="3"/>
    <x v="238"/>
    <x v="238"/>
    <x v="227"/>
    <x v="235"/>
    <x v="238"/>
    <x v="238"/>
    <x v="2"/>
    <x v="218"/>
    <x v="98"/>
    <x v="0"/>
    <x v="229"/>
  </r>
  <r>
    <x v="239"/>
    <x v="239"/>
    <x v="14"/>
    <x v="3"/>
    <x v="239"/>
    <x v="239"/>
    <x v="228"/>
    <x v="236"/>
    <x v="239"/>
    <x v="239"/>
    <x v="2"/>
    <x v="219"/>
    <x v="15"/>
    <x v="2"/>
    <x v="230"/>
  </r>
  <r>
    <x v="240"/>
    <x v="240"/>
    <x v="15"/>
    <x v="7"/>
    <x v="240"/>
    <x v="240"/>
    <x v="229"/>
    <x v="237"/>
    <x v="240"/>
    <x v="240"/>
    <x v="1"/>
    <x v="220"/>
    <x v="139"/>
    <x v="2"/>
    <x v="231"/>
  </r>
  <r>
    <x v="241"/>
    <x v="241"/>
    <x v="14"/>
    <x v="4"/>
    <x v="241"/>
    <x v="241"/>
    <x v="230"/>
    <x v="238"/>
    <x v="241"/>
    <x v="241"/>
    <x v="3"/>
    <x v="221"/>
    <x v="77"/>
    <x v="1"/>
    <x v="232"/>
  </r>
  <r>
    <x v="242"/>
    <x v="242"/>
    <x v="13"/>
    <x v="2"/>
    <x v="242"/>
    <x v="242"/>
    <x v="231"/>
    <x v="239"/>
    <x v="242"/>
    <x v="242"/>
    <x v="3"/>
    <x v="222"/>
    <x v="140"/>
    <x v="1"/>
    <x v="233"/>
  </r>
  <r>
    <x v="243"/>
    <x v="243"/>
    <x v="10"/>
    <x v="7"/>
    <x v="243"/>
    <x v="243"/>
    <x v="232"/>
    <x v="240"/>
    <x v="243"/>
    <x v="243"/>
    <x v="0"/>
    <x v="223"/>
    <x v="15"/>
    <x v="0"/>
    <x v="234"/>
  </r>
  <r>
    <x v="244"/>
    <x v="244"/>
    <x v="9"/>
    <x v="1"/>
    <x v="244"/>
    <x v="244"/>
    <x v="233"/>
    <x v="241"/>
    <x v="244"/>
    <x v="244"/>
    <x v="0"/>
    <x v="224"/>
    <x v="141"/>
    <x v="0"/>
    <x v="235"/>
  </r>
  <r>
    <x v="245"/>
    <x v="245"/>
    <x v="11"/>
    <x v="1"/>
    <x v="245"/>
    <x v="245"/>
    <x v="234"/>
    <x v="242"/>
    <x v="245"/>
    <x v="245"/>
    <x v="1"/>
    <x v="225"/>
    <x v="142"/>
    <x v="2"/>
    <x v="96"/>
  </r>
  <r>
    <x v="246"/>
    <x v="246"/>
    <x v="2"/>
    <x v="0"/>
    <x v="246"/>
    <x v="246"/>
    <x v="235"/>
    <x v="243"/>
    <x v="246"/>
    <x v="246"/>
    <x v="3"/>
    <x v="226"/>
    <x v="143"/>
    <x v="1"/>
    <x v="236"/>
  </r>
  <r>
    <x v="247"/>
    <x v="247"/>
    <x v="17"/>
    <x v="2"/>
    <x v="247"/>
    <x v="247"/>
    <x v="236"/>
    <x v="244"/>
    <x v="247"/>
    <x v="247"/>
    <x v="3"/>
    <x v="227"/>
    <x v="113"/>
    <x v="1"/>
    <x v="237"/>
  </r>
  <r>
    <x v="248"/>
    <x v="248"/>
    <x v="5"/>
    <x v="3"/>
    <x v="248"/>
    <x v="248"/>
    <x v="237"/>
    <x v="245"/>
    <x v="248"/>
    <x v="248"/>
    <x v="3"/>
    <x v="228"/>
    <x v="21"/>
    <x v="0"/>
    <x v="238"/>
  </r>
  <r>
    <x v="249"/>
    <x v="249"/>
    <x v="6"/>
    <x v="0"/>
    <x v="249"/>
    <x v="249"/>
    <x v="238"/>
    <x v="246"/>
    <x v="249"/>
    <x v="249"/>
    <x v="1"/>
    <x v="229"/>
    <x v="144"/>
    <x v="0"/>
    <x v="239"/>
  </r>
  <r>
    <x v="250"/>
    <x v="250"/>
    <x v="17"/>
    <x v="1"/>
    <x v="250"/>
    <x v="250"/>
    <x v="239"/>
    <x v="247"/>
    <x v="250"/>
    <x v="250"/>
    <x v="0"/>
    <x v="230"/>
    <x v="97"/>
    <x v="0"/>
    <x v="114"/>
  </r>
  <r>
    <x v="251"/>
    <x v="251"/>
    <x v="7"/>
    <x v="0"/>
    <x v="251"/>
    <x v="251"/>
    <x v="240"/>
    <x v="248"/>
    <x v="251"/>
    <x v="251"/>
    <x v="3"/>
    <x v="231"/>
    <x v="145"/>
    <x v="1"/>
    <x v="240"/>
  </r>
  <r>
    <x v="252"/>
    <x v="252"/>
    <x v="16"/>
    <x v="1"/>
    <x v="252"/>
    <x v="252"/>
    <x v="21"/>
    <x v="249"/>
    <x v="252"/>
    <x v="252"/>
    <x v="0"/>
    <x v="232"/>
    <x v="136"/>
    <x v="2"/>
    <x v="80"/>
  </r>
  <r>
    <x v="253"/>
    <x v="253"/>
    <x v="13"/>
    <x v="1"/>
    <x v="253"/>
    <x v="253"/>
    <x v="241"/>
    <x v="250"/>
    <x v="253"/>
    <x v="253"/>
    <x v="2"/>
    <x v="233"/>
    <x v="99"/>
    <x v="1"/>
    <x v="241"/>
  </r>
  <r>
    <x v="254"/>
    <x v="254"/>
    <x v="17"/>
    <x v="1"/>
    <x v="254"/>
    <x v="254"/>
    <x v="242"/>
    <x v="251"/>
    <x v="254"/>
    <x v="254"/>
    <x v="0"/>
    <x v="234"/>
    <x v="146"/>
    <x v="2"/>
    <x v="242"/>
  </r>
  <r>
    <x v="255"/>
    <x v="255"/>
    <x v="4"/>
    <x v="6"/>
    <x v="255"/>
    <x v="255"/>
    <x v="243"/>
    <x v="252"/>
    <x v="255"/>
    <x v="255"/>
    <x v="2"/>
    <x v="235"/>
    <x v="118"/>
    <x v="0"/>
    <x v="243"/>
  </r>
  <r>
    <x v="256"/>
    <x v="256"/>
    <x v="0"/>
    <x v="7"/>
    <x v="256"/>
    <x v="256"/>
    <x v="244"/>
    <x v="253"/>
    <x v="256"/>
    <x v="256"/>
    <x v="2"/>
    <x v="236"/>
    <x v="147"/>
    <x v="2"/>
    <x v="244"/>
  </r>
  <r>
    <x v="257"/>
    <x v="257"/>
    <x v="14"/>
    <x v="3"/>
    <x v="257"/>
    <x v="257"/>
    <x v="245"/>
    <x v="254"/>
    <x v="257"/>
    <x v="257"/>
    <x v="2"/>
    <x v="237"/>
    <x v="24"/>
    <x v="1"/>
    <x v="245"/>
  </r>
  <r>
    <x v="258"/>
    <x v="258"/>
    <x v="14"/>
    <x v="7"/>
    <x v="258"/>
    <x v="258"/>
    <x v="246"/>
    <x v="255"/>
    <x v="258"/>
    <x v="258"/>
    <x v="2"/>
    <x v="238"/>
    <x v="2"/>
    <x v="1"/>
    <x v="246"/>
  </r>
  <r>
    <x v="259"/>
    <x v="259"/>
    <x v="8"/>
    <x v="0"/>
    <x v="259"/>
    <x v="259"/>
    <x v="247"/>
    <x v="256"/>
    <x v="259"/>
    <x v="259"/>
    <x v="3"/>
    <x v="239"/>
    <x v="86"/>
    <x v="0"/>
    <x v="247"/>
  </r>
  <r>
    <x v="260"/>
    <x v="260"/>
    <x v="15"/>
    <x v="5"/>
    <x v="260"/>
    <x v="260"/>
    <x v="248"/>
    <x v="257"/>
    <x v="260"/>
    <x v="260"/>
    <x v="3"/>
    <x v="240"/>
    <x v="89"/>
    <x v="0"/>
    <x v="248"/>
  </r>
  <r>
    <x v="261"/>
    <x v="261"/>
    <x v="15"/>
    <x v="5"/>
    <x v="261"/>
    <x v="261"/>
    <x v="21"/>
    <x v="258"/>
    <x v="261"/>
    <x v="261"/>
    <x v="1"/>
    <x v="241"/>
    <x v="140"/>
    <x v="1"/>
    <x v="249"/>
  </r>
  <r>
    <x v="262"/>
    <x v="262"/>
    <x v="19"/>
    <x v="3"/>
    <x v="262"/>
    <x v="262"/>
    <x v="249"/>
    <x v="259"/>
    <x v="262"/>
    <x v="262"/>
    <x v="0"/>
    <x v="242"/>
    <x v="148"/>
    <x v="1"/>
    <x v="250"/>
  </r>
  <r>
    <x v="263"/>
    <x v="263"/>
    <x v="0"/>
    <x v="7"/>
    <x v="263"/>
    <x v="263"/>
    <x v="250"/>
    <x v="260"/>
    <x v="263"/>
    <x v="263"/>
    <x v="1"/>
    <x v="243"/>
    <x v="111"/>
    <x v="0"/>
    <x v="251"/>
  </r>
  <r>
    <x v="264"/>
    <x v="264"/>
    <x v="4"/>
    <x v="0"/>
    <x v="264"/>
    <x v="264"/>
    <x v="21"/>
    <x v="261"/>
    <x v="264"/>
    <x v="264"/>
    <x v="0"/>
    <x v="244"/>
    <x v="18"/>
    <x v="0"/>
    <x v="252"/>
  </r>
  <r>
    <x v="265"/>
    <x v="265"/>
    <x v="5"/>
    <x v="4"/>
    <x v="265"/>
    <x v="265"/>
    <x v="251"/>
    <x v="262"/>
    <x v="265"/>
    <x v="265"/>
    <x v="3"/>
    <x v="245"/>
    <x v="145"/>
    <x v="1"/>
    <x v="253"/>
  </r>
  <r>
    <x v="266"/>
    <x v="266"/>
    <x v="0"/>
    <x v="0"/>
    <x v="266"/>
    <x v="266"/>
    <x v="252"/>
    <x v="263"/>
    <x v="266"/>
    <x v="266"/>
    <x v="0"/>
    <x v="246"/>
    <x v="32"/>
    <x v="2"/>
    <x v="254"/>
  </r>
  <r>
    <x v="267"/>
    <x v="267"/>
    <x v="1"/>
    <x v="0"/>
    <x v="267"/>
    <x v="267"/>
    <x v="253"/>
    <x v="264"/>
    <x v="267"/>
    <x v="267"/>
    <x v="0"/>
    <x v="247"/>
    <x v="24"/>
    <x v="1"/>
    <x v="255"/>
  </r>
  <r>
    <x v="268"/>
    <x v="268"/>
    <x v="19"/>
    <x v="3"/>
    <x v="268"/>
    <x v="268"/>
    <x v="254"/>
    <x v="265"/>
    <x v="268"/>
    <x v="268"/>
    <x v="2"/>
    <x v="248"/>
    <x v="90"/>
    <x v="2"/>
    <x v="256"/>
  </r>
  <r>
    <x v="269"/>
    <x v="269"/>
    <x v="15"/>
    <x v="6"/>
    <x v="269"/>
    <x v="269"/>
    <x v="255"/>
    <x v="266"/>
    <x v="269"/>
    <x v="269"/>
    <x v="1"/>
    <x v="249"/>
    <x v="21"/>
    <x v="1"/>
    <x v="257"/>
  </r>
  <r>
    <x v="270"/>
    <x v="270"/>
    <x v="10"/>
    <x v="5"/>
    <x v="270"/>
    <x v="270"/>
    <x v="256"/>
    <x v="267"/>
    <x v="270"/>
    <x v="270"/>
    <x v="1"/>
    <x v="250"/>
    <x v="149"/>
    <x v="1"/>
    <x v="258"/>
  </r>
  <r>
    <x v="271"/>
    <x v="271"/>
    <x v="6"/>
    <x v="4"/>
    <x v="271"/>
    <x v="271"/>
    <x v="257"/>
    <x v="268"/>
    <x v="271"/>
    <x v="271"/>
    <x v="0"/>
    <x v="251"/>
    <x v="79"/>
    <x v="1"/>
    <x v="259"/>
  </r>
  <r>
    <x v="272"/>
    <x v="272"/>
    <x v="19"/>
    <x v="4"/>
    <x v="272"/>
    <x v="272"/>
    <x v="258"/>
    <x v="269"/>
    <x v="272"/>
    <x v="272"/>
    <x v="0"/>
    <x v="252"/>
    <x v="150"/>
    <x v="2"/>
    <x v="260"/>
  </r>
  <r>
    <x v="273"/>
    <x v="273"/>
    <x v="5"/>
    <x v="1"/>
    <x v="273"/>
    <x v="273"/>
    <x v="259"/>
    <x v="270"/>
    <x v="273"/>
    <x v="273"/>
    <x v="1"/>
    <x v="253"/>
    <x v="24"/>
    <x v="1"/>
    <x v="261"/>
  </r>
  <r>
    <x v="274"/>
    <x v="274"/>
    <x v="5"/>
    <x v="5"/>
    <x v="274"/>
    <x v="274"/>
    <x v="260"/>
    <x v="271"/>
    <x v="274"/>
    <x v="274"/>
    <x v="2"/>
    <x v="254"/>
    <x v="151"/>
    <x v="1"/>
    <x v="262"/>
  </r>
  <r>
    <x v="275"/>
    <x v="275"/>
    <x v="13"/>
    <x v="2"/>
    <x v="275"/>
    <x v="275"/>
    <x v="261"/>
    <x v="272"/>
    <x v="275"/>
    <x v="275"/>
    <x v="0"/>
    <x v="255"/>
    <x v="74"/>
    <x v="2"/>
    <x v="263"/>
  </r>
  <r>
    <x v="276"/>
    <x v="276"/>
    <x v="15"/>
    <x v="7"/>
    <x v="276"/>
    <x v="276"/>
    <x v="262"/>
    <x v="273"/>
    <x v="276"/>
    <x v="276"/>
    <x v="3"/>
    <x v="256"/>
    <x v="91"/>
    <x v="1"/>
    <x v="264"/>
  </r>
  <r>
    <x v="277"/>
    <x v="277"/>
    <x v="3"/>
    <x v="2"/>
    <x v="277"/>
    <x v="277"/>
    <x v="263"/>
    <x v="274"/>
    <x v="277"/>
    <x v="277"/>
    <x v="0"/>
    <x v="257"/>
    <x v="40"/>
    <x v="1"/>
    <x v="168"/>
  </r>
  <r>
    <x v="278"/>
    <x v="278"/>
    <x v="17"/>
    <x v="1"/>
    <x v="278"/>
    <x v="278"/>
    <x v="264"/>
    <x v="275"/>
    <x v="278"/>
    <x v="278"/>
    <x v="0"/>
    <x v="258"/>
    <x v="152"/>
    <x v="2"/>
    <x v="265"/>
  </r>
  <r>
    <x v="279"/>
    <x v="279"/>
    <x v="11"/>
    <x v="3"/>
    <x v="279"/>
    <x v="279"/>
    <x v="265"/>
    <x v="61"/>
    <x v="279"/>
    <x v="279"/>
    <x v="3"/>
    <x v="259"/>
    <x v="102"/>
    <x v="0"/>
    <x v="266"/>
  </r>
  <r>
    <x v="280"/>
    <x v="280"/>
    <x v="2"/>
    <x v="1"/>
    <x v="280"/>
    <x v="280"/>
    <x v="266"/>
    <x v="276"/>
    <x v="280"/>
    <x v="280"/>
    <x v="0"/>
    <x v="260"/>
    <x v="29"/>
    <x v="1"/>
    <x v="267"/>
  </r>
  <r>
    <x v="281"/>
    <x v="281"/>
    <x v="5"/>
    <x v="3"/>
    <x v="281"/>
    <x v="281"/>
    <x v="267"/>
    <x v="277"/>
    <x v="281"/>
    <x v="281"/>
    <x v="1"/>
    <x v="261"/>
    <x v="153"/>
    <x v="1"/>
    <x v="268"/>
  </r>
  <r>
    <x v="282"/>
    <x v="282"/>
    <x v="14"/>
    <x v="3"/>
    <x v="282"/>
    <x v="282"/>
    <x v="268"/>
    <x v="278"/>
    <x v="282"/>
    <x v="282"/>
    <x v="2"/>
    <x v="262"/>
    <x v="3"/>
    <x v="0"/>
    <x v="269"/>
  </r>
  <r>
    <x v="283"/>
    <x v="283"/>
    <x v="13"/>
    <x v="4"/>
    <x v="283"/>
    <x v="283"/>
    <x v="269"/>
    <x v="279"/>
    <x v="283"/>
    <x v="283"/>
    <x v="3"/>
    <x v="263"/>
    <x v="10"/>
    <x v="0"/>
    <x v="270"/>
  </r>
  <r>
    <x v="284"/>
    <x v="284"/>
    <x v="14"/>
    <x v="3"/>
    <x v="284"/>
    <x v="284"/>
    <x v="270"/>
    <x v="280"/>
    <x v="284"/>
    <x v="284"/>
    <x v="0"/>
    <x v="264"/>
    <x v="118"/>
    <x v="1"/>
    <x v="271"/>
  </r>
  <r>
    <x v="285"/>
    <x v="285"/>
    <x v="12"/>
    <x v="7"/>
    <x v="285"/>
    <x v="285"/>
    <x v="271"/>
    <x v="281"/>
    <x v="285"/>
    <x v="285"/>
    <x v="1"/>
    <x v="265"/>
    <x v="120"/>
    <x v="1"/>
    <x v="272"/>
  </r>
  <r>
    <x v="286"/>
    <x v="286"/>
    <x v="14"/>
    <x v="4"/>
    <x v="286"/>
    <x v="286"/>
    <x v="272"/>
    <x v="282"/>
    <x v="286"/>
    <x v="286"/>
    <x v="2"/>
    <x v="266"/>
    <x v="0"/>
    <x v="2"/>
    <x v="273"/>
  </r>
  <r>
    <x v="287"/>
    <x v="287"/>
    <x v="13"/>
    <x v="7"/>
    <x v="287"/>
    <x v="287"/>
    <x v="273"/>
    <x v="283"/>
    <x v="287"/>
    <x v="287"/>
    <x v="1"/>
    <x v="267"/>
    <x v="91"/>
    <x v="0"/>
    <x v="274"/>
  </r>
  <r>
    <x v="288"/>
    <x v="288"/>
    <x v="3"/>
    <x v="3"/>
    <x v="288"/>
    <x v="288"/>
    <x v="274"/>
    <x v="284"/>
    <x v="288"/>
    <x v="288"/>
    <x v="3"/>
    <x v="268"/>
    <x v="6"/>
    <x v="1"/>
    <x v="275"/>
  </r>
  <r>
    <x v="289"/>
    <x v="289"/>
    <x v="8"/>
    <x v="7"/>
    <x v="289"/>
    <x v="289"/>
    <x v="275"/>
    <x v="285"/>
    <x v="289"/>
    <x v="289"/>
    <x v="2"/>
    <x v="269"/>
    <x v="149"/>
    <x v="0"/>
    <x v="276"/>
  </r>
  <r>
    <x v="290"/>
    <x v="290"/>
    <x v="18"/>
    <x v="5"/>
    <x v="290"/>
    <x v="290"/>
    <x v="276"/>
    <x v="286"/>
    <x v="290"/>
    <x v="290"/>
    <x v="0"/>
    <x v="270"/>
    <x v="153"/>
    <x v="1"/>
    <x v="277"/>
  </r>
  <r>
    <x v="291"/>
    <x v="291"/>
    <x v="8"/>
    <x v="5"/>
    <x v="291"/>
    <x v="291"/>
    <x v="277"/>
    <x v="287"/>
    <x v="291"/>
    <x v="291"/>
    <x v="3"/>
    <x v="271"/>
    <x v="105"/>
    <x v="2"/>
    <x v="61"/>
  </r>
  <r>
    <x v="292"/>
    <x v="292"/>
    <x v="11"/>
    <x v="6"/>
    <x v="292"/>
    <x v="292"/>
    <x v="278"/>
    <x v="288"/>
    <x v="292"/>
    <x v="292"/>
    <x v="3"/>
    <x v="272"/>
    <x v="68"/>
    <x v="0"/>
    <x v="278"/>
  </r>
  <r>
    <x v="293"/>
    <x v="293"/>
    <x v="3"/>
    <x v="6"/>
    <x v="293"/>
    <x v="293"/>
    <x v="279"/>
    <x v="289"/>
    <x v="293"/>
    <x v="293"/>
    <x v="2"/>
    <x v="273"/>
    <x v="109"/>
    <x v="2"/>
    <x v="142"/>
  </r>
  <r>
    <x v="294"/>
    <x v="294"/>
    <x v="7"/>
    <x v="0"/>
    <x v="294"/>
    <x v="294"/>
    <x v="280"/>
    <x v="290"/>
    <x v="294"/>
    <x v="294"/>
    <x v="2"/>
    <x v="274"/>
    <x v="86"/>
    <x v="2"/>
    <x v="279"/>
  </r>
  <r>
    <x v="295"/>
    <x v="295"/>
    <x v="6"/>
    <x v="0"/>
    <x v="295"/>
    <x v="295"/>
    <x v="281"/>
    <x v="291"/>
    <x v="295"/>
    <x v="295"/>
    <x v="1"/>
    <x v="275"/>
    <x v="154"/>
    <x v="0"/>
    <x v="280"/>
  </r>
  <r>
    <x v="296"/>
    <x v="296"/>
    <x v="7"/>
    <x v="4"/>
    <x v="296"/>
    <x v="296"/>
    <x v="282"/>
    <x v="292"/>
    <x v="296"/>
    <x v="296"/>
    <x v="1"/>
    <x v="276"/>
    <x v="155"/>
    <x v="0"/>
    <x v="281"/>
  </r>
  <r>
    <x v="297"/>
    <x v="297"/>
    <x v="13"/>
    <x v="2"/>
    <x v="297"/>
    <x v="297"/>
    <x v="283"/>
    <x v="293"/>
    <x v="297"/>
    <x v="297"/>
    <x v="3"/>
    <x v="277"/>
    <x v="86"/>
    <x v="1"/>
    <x v="282"/>
  </r>
  <r>
    <x v="298"/>
    <x v="298"/>
    <x v="9"/>
    <x v="1"/>
    <x v="298"/>
    <x v="298"/>
    <x v="284"/>
    <x v="294"/>
    <x v="298"/>
    <x v="298"/>
    <x v="1"/>
    <x v="278"/>
    <x v="27"/>
    <x v="3"/>
    <x v="283"/>
  </r>
  <r>
    <x v="299"/>
    <x v="299"/>
    <x v="7"/>
    <x v="4"/>
    <x v="299"/>
    <x v="299"/>
    <x v="285"/>
    <x v="295"/>
    <x v="299"/>
    <x v="299"/>
    <x v="1"/>
    <x v="279"/>
    <x v="156"/>
    <x v="1"/>
    <x v="284"/>
  </r>
  <r>
    <x v="300"/>
    <x v="300"/>
    <x v="5"/>
    <x v="6"/>
    <x v="300"/>
    <x v="300"/>
    <x v="286"/>
    <x v="296"/>
    <x v="300"/>
    <x v="300"/>
    <x v="3"/>
    <x v="280"/>
    <x v="10"/>
    <x v="2"/>
    <x v="285"/>
  </r>
  <r>
    <x v="301"/>
    <x v="301"/>
    <x v="4"/>
    <x v="2"/>
    <x v="301"/>
    <x v="301"/>
    <x v="287"/>
    <x v="297"/>
    <x v="301"/>
    <x v="301"/>
    <x v="1"/>
    <x v="281"/>
    <x v="130"/>
    <x v="1"/>
    <x v="286"/>
  </r>
  <r>
    <x v="302"/>
    <x v="302"/>
    <x v="6"/>
    <x v="5"/>
    <x v="302"/>
    <x v="302"/>
    <x v="288"/>
    <x v="298"/>
    <x v="302"/>
    <x v="302"/>
    <x v="1"/>
    <x v="282"/>
    <x v="55"/>
    <x v="0"/>
    <x v="287"/>
  </r>
  <r>
    <x v="303"/>
    <x v="303"/>
    <x v="9"/>
    <x v="3"/>
    <x v="303"/>
    <x v="303"/>
    <x v="289"/>
    <x v="299"/>
    <x v="303"/>
    <x v="303"/>
    <x v="3"/>
    <x v="283"/>
    <x v="81"/>
    <x v="0"/>
    <x v="288"/>
  </r>
  <r>
    <x v="304"/>
    <x v="304"/>
    <x v="11"/>
    <x v="2"/>
    <x v="304"/>
    <x v="304"/>
    <x v="290"/>
    <x v="300"/>
    <x v="304"/>
    <x v="304"/>
    <x v="2"/>
    <x v="284"/>
    <x v="119"/>
    <x v="2"/>
    <x v="289"/>
  </r>
  <r>
    <x v="305"/>
    <x v="305"/>
    <x v="7"/>
    <x v="4"/>
    <x v="305"/>
    <x v="305"/>
    <x v="291"/>
    <x v="301"/>
    <x v="305"/>
    <x v="305"/>
    <x v="3"/>
    <x v="285"/>
    <x v="27"/>
    <x v="0"/>
    <x v="290"/>
  </r>
  <r>
    <x v="306"/>
    <x v="306"/>
    <x v="15"/>
    <x v="0"/>
    <x v="306"/>
    <x v="306"/>
    <x v="292"/>
    <x v="302"/>
    <x v="306"/>
    <x v="306"/>
    <x v="2"/>
    <x v="286"/>
    <x v="56"/>
    <x v="0"/>
    <x v="291"/>
  </r>
  <r>
    <x v="307"/>
    <x v="307"/>
    <x v="8"/>
    <x v="7"/>
    <x v="307"/>
    <x v="307"/>
    <x v="293"/>
    <x v="303"/>
    <x v="307"/>
    <x v="307"/>
    <x v="1"/>
    <x v="287"/>
    <x v="157"/>
    <x v="1"/>
    <x v="292"/>
  </r>
  <r>
    <x v="308"/>
    <x v="308"/>
    <x v="1"/>
    <x v="0"/>
    <x v="308"/>
    <x v="308"/>
    <x v="294"/>
    <x v="304"/>
    <x v="308"/>
    <x v="308"/>
    <x v="2"/>
    <x v="288"/>
    <x v="158"/>
    <x v="3"/>
    <x v="173"/>
  </r>
  <r>
    <x v="309"/>
    <x v="309"/>
    <x v="13"/>
    <x v="7"/>
    <x v="309"/>
    <x v="309"/>
    <x v="295"/>
    <x v="305"/>
    <x v="309"/>
    <x v="309"/>
    <x v="0"/>
    <x v="289"/>
    <x v="142"/>
    <x v="2"/>
    <x v="94"/>
  </r>
  <r>
    <x v="310"/>
    <x v="310"/>
    <x v="14"/>
    <x v="4"/>
    <x v="310"/>
    <x v="310"/>
    <x v="296"/>
    <x v="306"/>
    <x v="310"/>
    <x v="310"/>
    <x v="3"/>
    <x v="290"/>
    <x v="21"/>
    <x v="0"/>
    <x v="293"/>
  </r>
  <r>
    <x v="311"/>
    <x v="311"/>
    <x v="3"/>
    <x v="7"/>
    <x v="311"/>
    <x v="311"/>
    <x v="297"/>
    <x v="307"/>
    <x v="311"/>
    <x v="311"/>
    <x v="2"/>
    <x v="291"/>
    <x v="8"/>
    <x v="2"/>
    <x v="294"/>
  </r>
  <r>
    <x v="312"/>
    <x v="312"/>
    <x v="10"/>
    <x v="7"/>
    <x v="312"/>
    <x v="312"/>
    <x v="298"/>
    <x v="308"/>
    <x v="312"/>
    <x v="312"/>
    <x v="2"/>
    <x v="292"/>
    <x v="135"/>
    <x v="1"/>
    <x v="295"/>
  </r>
  <r>
    <x v="313"/>
    <x v="313"/>
    <x v="15"/>
    <x v="1"/>
    <x v="313"/>
    <x v="313"/>
    <x v="299"/>
    <x v="309"/>
    <x v="313"/>
    <x v="313"/>
    <x v="2"/>
    <x v="293"/>
    <x v="158"/>
    <x v="2"/>
    <x v="296"/>
  </r>
  <r>
    <x v="314"/>
    <x v="314"/>
    <x v="1"/>
    <x v="7"/>
    <x v="314"/>
    <x v="314"/>
    <x v="300"/>
    <x v="310"/>
    <x v="314"/>
    <x v="314"/>
    <x v="1"/>
    <x v="294"/>
    <x v="159"/>
    <x v="3"/>
    <x v="297"/>
  </r>
  <r>
    <x v="315"/>
    <x v="315"/>
    <x v="14"/>
    <x v="4"/>
    <x v="315"/>
    <x v="315"/>
    <x v="21"/>
    <x v="311"/>
    <x v="315"/>
    <x v="315"/>
    <x v="3"/>
    <x v="124"/>
    <x v="160"/>
    <x v="1"/>
    <x v="206"/>
  </r>
  <r>
    <x v="316"/>
    <x v="316"/>
    <x v="5"/>
    <x v="5"/>
    <x v="316"/>
    <x v="316"/>
    <x v="301"/>
    <x v="312"/>
    <x v="316"/>
    <x v="316"/>
    <x v="1"/>
    <x v="295"/>
    <x v="161"/>
    <x v="1"/>
    <x v="298"/>
  </r>
  <r>
    <x v="317"/>
    <x v="317"/>
    <x v="14"/>
    <x v="3"/>
    <x v="317"/>
    <x v="317"/>
    <x v="302"/>
    <x v="313"/>
    <x v="317"/>
    <x v="317"/>
    <x v="2"/>
    <x v="296"/>
    <x v="124"/>
    <x v="0"/>
    <x v="299"/>
  </r>
  <r>
    <x v="318"/>
    <x v="318"/>
    <x v="3"/>
    <x v="2"/>
    <x v="318"/>
    <x v="318"/>
    <x v="303"/>
    <x v="314"/>
    <x v="318"/>
    <x v="318"/>
    <x v="2"/>
    <x v="297"/>
    <x v="2"/>
    <x v="1"/>
    <x v="300"/>
  </r>
  <r>
    <x v="319"/>
    <x v="319"/>
    <x v="10"/>
    <x v="0"/>
    <x v="319"/>
    <x v="319"/>
    <x v="304"/>
    <x v="315"/>
    <x v="319"/>
    <x v="319"/>
    <x v="2"/>
    <x v="298"/>
    <x v="103"/>
    <x v="0"/>
    <x v="301"/>
  </r>
  <r>
    <x v="320"/>
    <x v="320"/>
    <x v="5"/>
    <x v="6"/>
    <x v="320"/>
    <x v="320"/>
    <x v="305"/>
    <x v="316"/>
    <x v="320"/>
    <x v="320"/>
    <x v="0"/>
    <x v="299"/>
    <x v="162"/>
    <x v="0"/>
    <x v="302"/>
  </r>
  <r>
    <x v="321"/>
    <x v="321"/>
    <x v="12"/>
    <x v="6"/>
    <x v="321"/>
    <x v="321"/>
    <x v="306"/>
    <x v="317"/>
    <x v="321"/>
    <x v="321"/>
    <x v="1"/>
    <x v="300"/>
    <x v="147"/>
    <x v="0"/>
    <x v="303"/>
  </r>
  <r>
    <x v="322"/>
    <x v="322"/>
    <x v="19"/>
    <x v="6"/>
    <x v="322"/>
    <x v="322"/>
    <x v="307"/>
    <x v="318"/>
    <x v="322"/>
    <x v="322"/>
    <x v="2"/>
    <x v="301"/>
    <x v="144"/>
    <x v="1"/>
    <x v="304"/>
  </r>
  <r>
    <x v="323"/>
    <x v="323"/>
    <x v="11"/>
    <x v="4"/>
    <x v="323"/>
    <x v="323"/>
    <x v="308"/>
    <x v="61"/>
    <x v="323"/>
    <x v="323"/>
    <x v="3"/>
    <x v="302"/>
    <x v="163"/>
    <x v="0"/>
    <x v="305"/>
  </r>
  <r>
    <x v="324"/>
    <x v="324"/>
    <x v="11"/>
    <x v="2"/>
    <x v="324"/>
    <x v="324"/>
    <x v="309"/>
    <x v="319"/>
    <x v="324"/>
    <x v="324"/>
    <x v="1"/>
    <x v="303"/>
    <x v="112"/>
    <x v="3"/>
    <x v="306"/>
  </r>
  <r>
    <x v="325"/>
    <x v="325"/>
    <x v="15"/>
    <x v="1"/>
    <x v="325"/>
    <x v="325"/>
    <x v="310"/>
    <x v="320"/>
    <x v="325"/>
    <x v="325"/>
    <x v="2"/>
    <x v="304"/>
    <x v="74"/>
    <x v="2"/>
    <x v="307"/>
  </r>
  <r>
    <x v="326"/>
    <x v="326"/>
    <x v="14"/>
    <x v="4"/>
    <x v="326"/>
    <x v="326"/>
    <x v="311"/>
    <x v="321"/>
    <x v="326"/>
    <x v="326"/>
    <x v="3"/>
    <x v="124"/>
    <x v="12"/>
    <x v="1"/>
    <x v="56"/>
  </r>
  <r>
    <x v="327"/>
    <x v="327"/>
    <x v="17"/>
    <x v="5"/>
    <x v="327"/>
    <x v="327"/>
    <x v="312"/>
    <x v="322"/>
    <x v="327"/>
    <x v="327"/>
    <x v="1"/>
    <x v="305"/>
    <x v="111"/>
    <x v="0"/>
    <x v="308"/>
  </r>
  <r>
    <x v="328"/>
    <x v="328"/>
    <x v="19"/>
    <x v="4"/>
    <x v="328"/>
    <x v="328"/>
    <x v="313"/>
    <x v="323"/>
    <x v="328"/>
    <x v="328"/>
    <x v="0"/>
    <x v="306"/>
    <x v="77"/>
    <x v="2"/>
    <x v="309"/>
  </r>
  <r>
    <x v="329"/>
    <x v="329"/>
    <x v="17"/>
    <x v="4"/>
    <x v="329"/>
    <x v="329"/>
    <x v="314"/>
    <x v="324"/>
    <x v="329"/>
    <x v="329"/>
    <x v="3"/>
    <x v="9"/>
    <x v="163"/>
    <x v="2"/>
    <x v="310"/>
  </r>
  <r>
    <x v="330"/>
    <x v="330"/>
    <x v="13"/>
    <x v="7"/>
    <x v="330"/>
    <x v="330"/>
    <x v="315"/>
    <x v="325"/>
    <x v="330"/>
    <x v="330"/>
    <x v="2"/>
    <x v="307"/>
    <x v="49"/>
    <x v="1"/>
    <x v="311"/>
  </r>
  <r>
    <x v="331"/>
    <x v="331"/>
    <x v="14"/>
    <x v="2"/>
    <x v="331"/>
    <x v="331"/>
    <x v="316"/>
    <x v="326"/>
    <x v="331"/>
    <x v="331"/>
    <x v="0"/>
    <x v="308"/>
    <x v="164"/>
    <x v="0"/>
    <x v="312"/>
  </r>
  <r>
    <x v="332"/>
    <x v="332"/>
    <x v="10"/>
    <x v="0"/>
    <x v="332"/>
    <x v="332"/>
    <x v="317"/>
    <x v="327"/>
    <x v="332"/>
    <x v="332"/>
    <x v="3"/>
    <x v="309"/>
    <x v="64"/>
    <x v="2"/>
    <x v="313"/>
  </r>
  <r>
    <x v="333"/>
    <x v="333"/>
    <x v="11"/>
    <x v="3"/>
    <x v="333"/>
    <x v="333"/>
    <x v="318"/>
    <x v="328"/>
    <x v="333"/>
    <x v="333"/>
    <x v="1"/>
    <x v="310"/>
    <x v="25"/>
    <x v="0"/>
    <x v="314"/>
  </r>
  <r>
    <x v="334"/>
    <x v="334"/>
    <x v="10"/>
    <x v="1"/>
    <x v="334"/>
    <x v="334"/>
    <x v="319"/>
    <x v="329"/>
    <x v="334"/>
    <x v="334"/>
    <x v="2"/>
    <x v="311"/>
    <x v="133"/>
    <x v="0"/>
    <x v="315"/>
  </r>
  <r>
    <x v="335"/>
    <x v="335"/>
    <x v="3"/>
    <x v="1"/>
    <x v="335"/>
    <x v="335"/>
    <x v="320"/>
    <x v="330"/>
    <x v="335"/>
    <x v="335"/>
    <x v="2"/>
    <x v="312"/>
    <x v="131"/>
    <x v="0"/>
    <x v="316"/>
  </r>
  <r>
    <x v="336"/>
    <x v="336"/>
    <x v="2"/>
    <x v="6"/>
    <x v="336"/>
    <x v="336"/>
    <x v="321"/>
    <x v="331"/>
    <x v="336"/>
    <x v="336"/>
    <x v="2"/>
    <x v="313"/>
    <x v="4"/>
    <x v="2"/>
    <x v="317"/>
  </r>
  <r>
    <x v="337"/>
    <x v="337"/>
    <x v="19"/>
    <x v="3"/>
    <x v="337"/>
    <x v="337"/>
    <x v="322"/>
    <x v="332"/>
    <x v="337"/>
    <x v="337"/>
    <x v="0"/>
    <x v="314"/>
    <x v="133"/>
    <x v="1"/>
    <x v="318"/>
  </r>
  <r>
    <x v="338"/>
    <x v="338"/>
    <x v="19"/>
    <x v="6"/>
    <x v="338"/>
    <x v="338"/>
    <x v="323"/>
    <x v="333"/>
    <x v="338"/>
    <x v="338"/>
    <x v="1"/>
    <x v="315"/>
    <x v="37"/>
    <x v="2"/>
    <x v="319"/>
  </r>
  <r>
    <x v="339"/>
    <x v="339"/>
    <x v="4"/>
    <x v="4"/>
    <x v="339"/>
    <x v="339"/>
    <x v="324"/>
    <x v="334"/>
    <x v="339"/>
    <x v="339"/>
    <x v="2"/>
    <x v="316"/>
    <x v="64"/>
    <x v="1"/>
    <x v="320"/>
  </r>
  <r>
    <x v="340"/>
    <x v="340"/>
    <x v="14"/>
    <x v="0"/>
    <x v="340"/>
    <x v="340"/>
    <x v="325"/>
    <x v="335"/>
    <x v="340"/>
    <x v="340"/>
    <x v="1"/>
    <x v="317"/>
    <x v="159"/>
    <x v="2"/>
    <x v="321"/>
  </r>
  <r>
    <x v="341"/>
    <x v="341"/>
    <x v="7"/>
    <x v="5"/>
    <x v="341"/>
    <x v="341"/>
    <x v="326"/>
    <x v="336"/>
    <x v="341"/>
    <x v="341"/>
    <x v="1"/>
    <x v="318"/>
    <x v="113"/>
    <x v="1"/>
    <x v="322"/>
  </r>
  <r>
    <x v="342"/>
    <x v="342"/>
    <x v="18"/>
    <x v="7"/>
    <x v="342"/>
    <x v="342"/>
    <x v="327"/>
    <x v="337"/>
    <x v="342"/>
    <x v="342"/>
    <x v="2"/>
    <x v="319"/>
    <x v="34"/>
    <x v="0"/>
    <x v="323"/>
  </r>
  <r>
    <x v="343"/>
    <x v="343"/>
    <x v="17"/>
    <x v="1"/>
    <x v="343"/>
    <x v="343"/>
    <x v="328"/>
    <x v="338"/>
    <x v="343"/>
    <x v="343"/>
    <x v="0"/>
    <x v="320"/>
    <x v="69"/>
    <x v="2"/>
    <x v="324"/>
  </r>
  <r>
    <x v="344"/>
    <x v="344"/>
    <x v="11"/>
    <x v="5"/>
    <x v="344"/>
    <x v="344"/>
    <x v="329"/>
    <x v="339"/>
    <x v="344"/>
    <x v="344"/>
    <x v="1"/>
    <x v="321"/>
    <x v="54"/>
    <x v="1"/>
    <x v="325"/>
  </r>
  <r>
    <x v="345"/>
    <x v="345"/>
    <x v="15"/>
    <x v="2"/>
    <x v="345"/>
    <x v="345"/>
    <x v="330"/>
    <x v="340"/>
    <x v="345"/>
    <x v="345"/>
    <x v="2"/>
    <x v="322"/>
    <x v="140"/>
    <x v="0"/>
    <x v="326"/>
  </r>
  <r>
    <x v="346"/>
    <x v="346"/>
    <x v="8"/>
    <x v="5"/>
    <x v="346"/>
    <x v="346"/>
    <x v="331"/>
    <x v="341"/>
    <x v="346"/>
    <x v="346"/>
    <x v="3"/>
    <x v="323"/>
    <x v="19"/>
    <x v="0"/>
    <x v="327"/>
  </r>
  <r>
    <x v="347"/>
    <x v="347"/>
    <x v="7"/>
    <x v="3"/>
    <x v="347"/>
    <x v="347"/>
    <x v="332"/>
    <x v="342"/>
    <x v="347"/>
    <x v="347"/>
    <x v="2"/>
    <x v="324"/>
    <x v="127"/>
    <x v="2"/>
    <x v="328"/>
  </r>
  <r>
    <x v="348"/>
    <x v="348"/>
    <x v="19"/>
    <x v="0"/>
    <x v="348"/>
    <x v="348"/>
    <x v="333"/>
    <x v="343"/>
    <x v="348"/>
    <x v="348"/>
    <x v="3"/>
    <x v="325"/>
    <x v="0"/>
    <x v="0"/>
    <x v="329"/>
  </r>
  <r>
    <x v="349"/>
    <x v="349"/>
    <x v="2"/>
    <x v="3"/>
    <x v="349"/>
    <x v="349"/>
    <x v="334"/>
    <x v="344"/>
    <x v="349"/>
    <x v="349"/>
    <x v="2"/>
    <x v="326"/>
    <x v="8"/>
    <x v="0"/>
    <x v="330"/>
  </r>
  <r>
    <x v="350"/>
    <x v="350"/>
    <x v="8"/>
    <x v="5"/>
    <x v="350"/>
    <x v="350"/>
    <x v="335"/>
    <x v="345"/>
    <x v="350"/>
    <x v="350"/>
    <x v="2"/>
    <x v="327"/>
    <x v="10"/>
    <x v="1"/>
    <x v="331"/>
  </r>
  <r>
    <x v="351"/>
    <x v="351"/>
    <x v="3"/>
    <x v="7"/>
    <x v="351"/>
    <x v="351"/>
    <x v="336"/>
    <x v="346"/>
    <x v="351"/>
    <x v="351"/>
    <x v="0"/>
    <x v="328"/>
    <x v="106"/>
    <x v="0"/>
    <x v="113"/>
  </r>
  <r>
    <x v="352"/>
    <x v="352"/>
    <x v="17"/>
    <x v="2"/>
    <x v="352"/>
    <x v="352"/>
    <x v="337"/>
    <x v="347"/>
    <x v="352"/>
    <x v="352"/>
    <x v="3"/>
    <x v="329"/>
    <x v="3"/>
    <x v="0"/>
    <x v="93"/>
  </r>
  <r>
    <x v="353"/>
    <x v="353"/>
    <x v="16"/>
    <x v="6"/>
    <x v="353"/>
    <x v="353"/>
    <x v="338"/>
    <x v="348"/>
    <x v="353"/>
    <x v="353"/>
    <x v="2"/>
    <x v="330"/>
    <x v="159"/>
    <x v="0"/>
    <x v="332"/>
  </r>
  <r>
    <x v="354"/>
    <x v="354"/>
    <x v="4"/>
    <x v="7"/>
    <x v="354"/>
    <x v="354"/>
    <x v="339"/>
    <x v="349"/>
    <x v="354"/>
    <x v="354"/>
    <x v="2"/>
    <x v="331"/>
    <x v="41"/>
    <x v="0"/>
    <x v="333"/>
  </r>
  <r>
    <x v="355"/>
    <x v="355"/>
    <x v="5"/>
    <x v="3"/>
    <x v="355"/>
    <x v="355"/>
    <x v="340"/>
    <x v="350"/>
    <x v="355"/>
    <x v="355"/>
    <x v="2"/>
    <x v="332"/>
    <x v="112"/>
    <x v="2"/>
    <x v="334"/>
  </r>
  <r>
    <x v="356"/>
    <x v="356"/>
    <x v="10"/>
    <x v="3"/>
    <x v="356"/>
    <x v="356"/>
    <x v="341"/>
    <x v="351"/>
    <x v="356"/>
    <x v="356"/>
    <x v="3"/>
    <x v="333"/>
    <x v="75"/>
    <x v="0"/>
    <x v="335"/>
  </r>
  <r>
    <x v="357"/>
    <x v="357"/>
    <x v="1"/>
    <x v="0"/>
    <x v="357"/>
    <x v="357"/>
    <x v="342"/>
    <x v="352"/>
    <x v="357"/>
    <x v="357"/>
    <x v="0"/>
    <x v="334"/>
    <x v="130"/>
    <x v="0"/>
    <x v="336"/>
  </r>
  <r>
    <x v="358"/>
    <x v="358"/>
    <x v="16"/>
    <x v="6"/>
    <x v="358"/>
    <x v="358"/>
    <x v="343"/>
    <x v="353"/>
    <x v="358"/>
    <x v="358"/>
    <x v="2"/>
    <x v="335"/>
    <x v="165"/>
    <x v="1"/>
    <x v="337"/>
  </r>
  <r>
    <x v="359"/>
    <x v="359"/>
    <x v="7"/>
    <x v="4"/>
    <x v="359"/>
    <x v="359"/>
    <x v="344"/>
    <x v="354"/>
    <x v="359"/>
    <x v="359"/>
    <x v="1"/>
    <x v="336"/>
    <x v="147"/>
    <x v="2"/>
    <x v="201"/>
  </r>
  <r>
    <x v="360"/>
    <x v="360"/>
    <x v="6"/>
    <x v="6"/>
    <x v="360"/>
    <x v="360"/>
    <x v="345"/>
    <x v="355"/>
    <x v="360"/>
    <x v="360"/>
    <x v="0"/>
    <x v="337"/>
    <x v="4"/>
    <x v="0"/>
    <x v="338"/>
  </r>
  <r>
    <x v="361"/>
    <x v="361"/>
    <x v="5"/>
    <x v="3"/>
    <x v="361"/>
    <x v="361"/>
    <x v="346"/>
    <x v="356"/>
    <x v="361"/>
    <x v="361"/>
    <x v="1"/>
    <x v="14"/>
    <x v="102"/>
    <x v="1"/>
    <x v="339"/>
  </r>
  <r>
    <x v="362"/>
    <x v="362"/>
    <x v="15"/>
    <x v="4"/>
    <x v="362"/>
    <x v="362"/>
    <x v="347"/>
    <x v="357"/>
    <x v="362"/>
    <x v="362"/>
    <x v="0"/>
    <x v="338"/>
    <x v="81"/>
    <x v="0"/>
    <x v="340"/>
  </r>
  <r>
    <x v="363"/>
    <x v="363"/>
    <x v="0"/>
    <x v="3"/>
    <x v="363"/>
    <x v="363"/>
    <x v="348"/>
    <x v="358"/>
    <x v="363"/>
    <x v="363"/>
    <x v="1"/>
    <x v="339"/>
    <x v="29"/>
    <x v="0"/>
    <x v="341"/>
  </r>
  <r>
    <x v="364"/>
    <x v="364"/>
    <x v="3"/>
    <x v="6"/>
    <x v="364"/>
    <x v="364"/>
    <x v="349"/>
    <x v="359"/>
    <x v="364"/>
    <x v="364"/>
    <x v="1"/>
    <x v="340"/>
    <x v="112"/>
    <x v="0"/>
    <x v="119"/>
  </r>
  <r>
    <x v="365"/>
    <x v="365"/>
    <x v="2"/>
    <x v="7"/>
    <x v="365"/>
    <x v="365"/>
    <x v="350"/>
    <x v="360"/>
    <x v="365"/>
    <x v="365"/>
    <x v="2"/>
    <x v="341"/>
    <x v="166"/>
    <x v="2"/>
    <x v="342"/>
  </r>
  <r>
    <x v="366"/>
    <x v="366"/>
    <x v="9"/>
    <x v="4"/>
    <x v="366"/>
    <x v="366"/>
    <x v="351"/>
    <x v="361"/>
    <x v="366"/>
    <x v="366"/>
    <x v="1"/>
    <x v="342"/>
    <x v="19"/>
    <x v="0"/>
    <x v="343"/>
  </r>
  <r>
    <x v="367"/>
    <x v="367"/>
    <x v="17"/>
    <x v="0"/>
    <x v="367"/>
    <x v="367"/>
    <x v="352"/>
    <x v="362"/>
    <x v="367"/>
    <x v="367"/>
    <x v="1"/>
    <x v="343"/>
    <x v="167"/>
    <x v="3"/>
    <x v="181"/>
  </r>
  <r>
    <x v="368"/>
    <x v="368"/>
    <x v="9"/>
    <x v="4"/>
    <x v="368"/>
    <x v="368"/>
    <x v="353"/>
    <x v="363"/>
    <x v="368"/>
    <x v="368"/>
    <x v="3"/>
    <x v="344"/>
    <x v="94"/>
    <x v="0"/>
    <x v="344"/>
  </r>
  <r>
    <x v="369"/>
    <x v="369"/>
    <x v="10"/>
    <x v="5"/>
    <x v="369"/>
    <x v="369"/>
    <x v="354"/>
    <x v="364"/>
    <x v="369"/>
    <x v="369"/>
    <x v="1"/>
    <x v="345"/>
    <x v="0"/>
    <x v="3"/>
    <x v="345"/>
  </r>
  <r>
    <x v="370"/>
    <x v="370"/>
    <x v="19"/>
    <x v="4"/>
    <x v="370"/>
    <x v="370"/>
    <x v="355"/>
    <x v="61"/>
    <x v="370"/>
    <x v="370"/>
    <x v="1"/>
    <x v="346"/>
    <x v="127"/>
    <x v="1"/>
    <x v="272"/>
  </r>
  <r>
    <x v="371"/>
    <x v="371"/>
    <x v="0"/>
    <x v="6"/>
    <x v="371"/>
    <x v="371"/>
    <x v="356"/>
    <x v="365"/>
    <x v="371"/>
    <x v="371"/>
    <x v="1"/>
    <x v="55"/>
    <x v="69"/>
    <x v="0"/>
    <x v="89"/>
  </r>
  <r>
    <x v="372"/>
    <x v="372"/>
    <x v="18"/>
    <x v="5"/>
    <x v="372"/>
    <x v="372"/>
    <x v="357"/>
    <x v="366"/>
    <x v="372"/>
    <x v="372"/>
    <x v="0"/>
    <x v="347"/>
    <x v="159"/>
    <x v="0"/>
    <x v="346"/>
  </r>
  <r>
    <x v="373"/>
    <x v="373"/>
    <x v="9"/>
    <x v="5"/>
    <x v="373"/>
    <x v="373"/>
    <x v="358"/>
    <x v="367"/>
    <x v="373"/>
    <x v="373"/>
    <x v="3"/>
    <x v="348"/>
    <x v="41"/>
    <x v="1"/>
    <x v="14"/>
  </r>
  <r>
    <x v="374"/>
    <x v="374"/>
    <x v="3"/>
    <x v="7"/>
    <x v="374"/>
    <x v="374"/>
    <x v="359"/>
    <x v="368"/>
    <x v="374"/>
    <x v="374"/>
    <x v="2"/>
    <x v="13"/>
    <x v="168"/>
    <x v="0"/>
    <x v="347"/>
  </r>
  <r>
    <x v="375"/>
    <x v="375"/>
    <x v="3"/>
    <x v="1"/>
    <x v="375"/>
    <x v="375"/>
    <x v="360"/>
    <x v="369"/>
    <x v="375"/>
    <x v="375"/>
    <x v="2"/>
    <x v="349"/>
    <x v="15"/>
    <x v="2"/>
    <x v="348"/>
  </r>
  <r>
    <x v="376"/>
    <x v="376"/>
    <x v="19"/>
    <x v="4"/>
    <x v="376"/>
    <x v="376"/>
    <x v="361"/>
    <x v="370"/>
    <x v="376"/>
    <x v="376"/>
    <x v="3"/>
    <x v="350"/>
    <x v="24"/>
    <x v="0"/>
    <x v="349"/>
  </r>
  <r>
    <x v="377"/>
    <x v="377"/>
    <x v="0"/>
    <x v="2"/>
    <x v="377"/>
    <x v="377"/>
    <x v="362"/>
    <x v="371"/>
    <x v="377"/>
    <x v="377"/>
    <x v="1"/>
    <x v="15"/>
    <x v="163"/>
    <x v="1"/>
    <x v="350"/>
  </r>
  <r>
    <x v="378"/>
    <x v="378"/>
    <x v="12"/>
    <x v="7"/>
    <x v="378"/>
    <x v="378"/>
    <x v="363"/>
    <x v="372"/>
    <x v="378"/>
    <x v="378"/>
    <x v="0"/>
    <x v="351"/>
    <x v="123"/>
    <x v="1"/>
    <x v="351"/>
  </r>
  <r>
    <x v="379"/>
    <x v="379"/>
    <x v="16"/>
    <x v="2"/>
    <x v="379"/>
    <x v="379"/>
    <x v="21"/>
    <x v="373"/>
    <x v="379"/>
    <x v="379"/>
    <x v="1"/>
    <x v="352"/>
    <x v="169"/>
    <x v="1"/>
    <x v="352"/>
  </r>
  <r>
    <x v="380"/>
    <x v="380"/>
    <x v="17"/>
    <x v="2"/>
    <x v="380"/>
    <x v="380"/>
    <x v="364"/>
    <x v="374"/>
    <x v="380"/>
    <x v="380"/>
    <x v="1"/>
    <x v="353"/>
    <x v="42"/>
    <x v="2"/>
    <x v="10"/>
  </r>
  <r>
    <x v="381"/>
    <x v="381"/>
    <x v="12"/>
    <x v="6"/>
    <x v="381"/>
    <x v="381"/>
    <x v="365"/>
    <x v="375"/>
    <x v="381"/>
    <x v="381"/>
    <x v="3"/>
    <x v="354"/>
    <x v="104"/>
    <x v="2"/>
    <x v="183"/>
  </r>
  <r>
    <x v="382"/>
    <x v="382"/>
    <x v="1"/>
    <x v="1"/>
    <x v="382"/>
    <x v="382"/>
    <x v="366"/>
    <x v="376"/>
    <x v="382"/>
    <x v="382"/>
    <x v="3"/>
    <x v="355"/>
    <x v="29"/>
    <x v="2"/>
    <x v="353"/>
  </r>
  <r>
    <x v="383"/>
    <x v="383"/>
    <x v="6"/>
    <x v="0"/>
    <x v="383"/>
    <x v="383"/>
    <x v="367"/>
    <x v="377"/>
    <x v="383"/>
    <x v="383"/>
    <x v="3"/>
    <x v="356"/>
    <x v="94"/>
    <x v="1"/>
    <x v="354"/>
  </r>
  <r>
    <x v="384"/>
    <x v="384"/>
    <x v="11"/>
    <x v="3"/>
    <x v="384"/>
    <x v="384"/>
    <x v="368"/>
    <x v="378"/>
    <x v="384"/>
    <x v="384"/>
    <x v="2"/>
    <x v="357"/>
    <x v="170"/>
    <x v="1"/>
    <x v="355"/>
  </r>
  <r>
    <x v="385"/>
    <x v="385"/>
    <x v="12"/>
    <x v="6"/>
    <x v="385"/>
    <x v="385"/>
    <x v="369"/>
    <x v="379"/>
    <x v="385"/>
    <x v="385"/>
    <x v="2"/>
    <x v="358"/>
    <x v="130"/>
    <x v="1"/>
    <x v="356"/>
  </r>
  <r>
    <x v="386"/>
    <x v="386"/>
    <x v="0"/>
    <x v="1"/>
    <x v="386"/>
    <x v="386"/>
    <x v="370"/>
    <x v="380"/>
    <x v="386"/>
    <x v="386"/>
    <x v="2"/>
    <x v="359"/>
    <x v="83"/>
    <x v="2"/>
    <x v="180"/>
  </r>
  <r>
    <x v="387"/>
    <x v="387"/>
    <x v="16"/>
    <x v="7"/>
    <x v="387"/>
    <x v="387"/>
    <x v="371"/>
    <x v="381"/>
    <x v="387"/>
    <x v="387"/>
    <x v="3"/>
    <x v="360"/>
    <x v="105"/>
    <x v="0"/>
    <x v="357"/>
  </r>
  <r>
    <x v="388"/>
    <x v="388"/>
    <x v="18"/>
    <x v="4"/>
    <x v="388"/>
    <x v="388"/>
    <x v="372"/>
    <x v="382"/>
    <x v="388"/>
    <x v="388"/>
    <x v="3"/>
    <x v="9"/>
    <x v="18"/>
    <x v="1"/>
    <x v="358"/>
  </r>
  <r>
    <x v="389"/>
    <x v="389"/>
    <x v="8"/>
    <x v="6"/>
    <x v="389"/>
    <x v="389"/>
    <x v="373"/>
    <x v="383"/>
    <x v="389"/>
    <x v="389"/>
    <x v="3"/>
    <x v="361"/>
    <x v="61"/>
    <x v="2"/>
    <x v="359"/>
  </r>
  <r>
    <x v="390"/>
    <x v="390"/>
    <x v="12"/>
    <x v="6"/>
    <x v="390"/>
    <x v="390"/>
    <x v="374"/>
    <x v="384"/>
    <x v="390"/>
    <x v="390"/>
    <x v="3"/>
    <x v="362"/>
    <x v="140"/>
    <x v="1"/>
    <x v="360"/>
  </r>
  <r>
    <x v="391"/>
    <x v="391"/>
    <x v="19"/>
    <x v="1"/>
    <x v="391"/>
    <x v="391"/>
    <x v="375"/>
    <x v="385"/>
    <x v="391"/>
    <x v="391"/>
    <x v="1"/>
    <x v="363"/>
    <x v="171"/>
    <x v="0"/>
    <x v="361"/>
  </r>
  <r>
    <x v="392"/>
    <x v="392"/>
    <x v="9"/>
    <x v="6"/>
    <x v="392"/>
    <x v="392"/>
    <x v="376"/>
    <x v="386"/>
    <x v="392"/>
    <x v="392"/>
    <x v="3"/>
    <x v="364"/>
    <x v="126"/>
    <x v="3"/>
    <x v="362"/>
  </r>
  <r>
    <x v="393"/>
    <x v="393"/>
    <x v="12"/>
    <x v="1"/>
    <x v="393"/>
    <x v="393"/>
    <x v="377"/>
    <x v="387"/>
    <x v="393"/>
    <x v="393"/>
    <x v="2"/>
    <x v="365"/>
    <x v="98"/>
    <x v="1"/>
    <x v="363"/>
  </r>
  <r>
    <x v="394"/>
    <x v="394"/>
    <x v="17"/>
    <x v="6"/>
    <x v="394"/>
    <x v="394"/>
    <x v="378"/>
    <x v="388"/>
    <x v="394"/>
    <x v="394"/>
    <x v="0"/>
    <x v="55"/>
    <x v="172"/>
    <x v="0"/>
    <x v="364"/>
  </r>
  <r>
    <x v="395"/>
    <x v="395"/>
    <x v="14"/>
    <x v="4"/>
    <x v="395"/>
    <x v="395"/>
    <x v="379"/>
    <x v="389"/>
    <x v="395"/>
    <x v="395"/>
    <x v="0"/>
    <x v="366"/>
    <x v="92"/>
    <x v="1"/>
    <x v="365"/>
  </r>
  <r>
    <x v="396"/>
    <x v="396"/>
    <x v="7"/>
    <x v="5"/>
    <x v="396"/>
    <x v="396"/>
    <x v="380"/>
    <x v="390"/>
    <x v="396"/>
    <x v="396"/>
    <x v="0"/>
    <x v="367"/>
    <x v="23"/>
    <x v="2"/>
    <x v="366"/>
  </r>
  <r>
    <x v="397"/>
    <x v="397"/>
    <x v="12"/>
    <x v="2"/>
    <x v="397"/>
    <x v="397"/>
    <x v="381"/>
    <x v="391"/>
    <x v="397"/>
    <x v="397"/>
    <x v="3"/>
    <x v="368"/>
    <x v="148"/>
    <x v="0"/>
    <x v="367"/>
  </r>
  <r>
    <x v="398"/>
    <x v="398"/>
    <x v="10"/>
    <x v="4"/>
    <x v="398"/>
    <x v="398"/>
    <x v="382"/>
    <x v="392"/>
    <x v="398"/>
    <x v="398"/>
    <x v="2"/>
    <x v="369"/>
    <x v="56"/>
    <x v="2"/>
    <x v="368"/>
  </r>
  <r>
    <x v="399"/>
    <x v="399"/>
    <x v="8"/>
    <x v="3"/>
    <x v="399"/>
    <x v="399"/>
    <x v="21"/>
    <x v="393"/>
    <x v="399"/>
    <x v="399"/>
    <x v="2"/>
    <x v="370"/>
    <x v="51"/>
    <x v="2"/>
    <x v="369"/>
  </r>
  <r>
    <x v="400"/>
    <x v="400"/>
    <x v="15"/>
    <x v="7"/>
    <x v="400"/>
    <x v="400"/>
    <x v="383"/>
    <x v="394"/>
    <x v="400"/>
    <x v="400"/>
    <x v="2"/>
    <x v="13"/>
    <x v="173"/>
    <x v="3"/>
    <x v="370"/>
  </r>
  <r>
    <x v="401"/>
    <x v="401"/>
    <x v="7"/>
    <x v="4"/>
    <x v="401"/>
    <x v="401"/>
    <x v="384"/>
    <x v="395"/>
    <x v="401"/>
    <x v="401"/>
    <x v="2"/>
    <x v="371"/>
    <x v="38"/>
    <x v="0"/>
    <x v="371"/>
  </r>
  <r>
    <x v="402"/>
    <x v="402"/>
    <x v="17"/>
    <x v="7"/>
    <x v="402"/>
    <x v="402"/>
    <x v="385"/>
    <x v="396"/>
    <x v="402"/>
    <x v="402"/>
    <x v="3"/>
    <x v="372"/>
    <x v="54"/>
    <x v="1"/>
    <x v="372"/>
  </r>
  <r>
    <x v="403"/>
    <x v="403"/>
    <x v="12"/>
    <x v="1"/>
    <x v="403"/>
    <x v="403"/>
    <x v="386"/>
    <x v="397"/>
    <x v="403"/>
    <x v="403"/>
    <x v="2"/>
    <x v="373"/>
    <x v="35"/>
    <x v="2"/>
    <x v="373"/>
  </r>
  <r>
    <x v="404"/>
    <x v="404"/>
    <x v="1"/>
    <x v="0"/>
    <x v="404"/>
    <x v="404"/>
    <x v="387"/>
    <x v="398"/>
    <x v="404"/>
    <x v="404"/>
    <x v="0"/>
    <x v="374"/>
    <x v="71"/>
    <x v="1"/>
    <x v="374"/>
  </r>
  <r>
    <x v="405"/>
    <x v="405"/>
    <x v="11"/>
    <x v="6"/>
    <x v="405"/>
    <x v="405"/>
    <x v="388"/>
    <x v="399"/>
    <x v="405"/>
    <x v="405"/>
    <x v="1"/>
    <x v="375"/>
    <x v="174"/>
    <x v="2"/>
    <x v="375"/>
  </r>
  <r>
    <x v="406"/>
    <x v="406"/>
    <x v="15"/>
    <x v="4"/>
    <x v="406"/>
    <x v="406"/>
    <x v="389"/>
    <x v="400"/>
    <x v="406"/>
    <x v="406"/>
    <x v="0"/>
    <x v="9"/>
    <x v="12"/>
    <x v="2"/>
    <x v="376"/>
  </r>
  <r>
    <x v="407"/>
    <x v="407"/>
    <x v="6"/>
    <x v="1"/>
    <x v="407"/>
    <x v="407"/>
    <x v="390"/>
    <x v="401"/>
    <x v="407"/>
    <x v="407"/>
    <x v="2"/>
    <x v="376"/>
    <x v="175"/>
    <x v="2"/>
    <x v="377"/>
  </r>
  <r>
    <x v="408"/>
    <x v="408"/>
    <x v="6"/>
    <x v="7"/>
    <x v="408"/>
    <x v="408"/>
    <x v="391"/>
    <x v="402"/>
    <x v="408"/>
    <x v="408"/>
    <x v="0"/>
    <x v="13"/>
    <x v="176"/>
    <x v="2"/>
    <x v="378"/>
  </r>
  <r>
    <x v="409"/>
    <x v="409"/>
    <x v="19"/>
    <x v="7"/>
    <x v="409"/>
    <x v="409"/>
    <x v="392"/>
    <x v="403"/>
    <x v="409"/>
    <x v="409"/>
    <x v="3"/>
    <x v="377"/>
    <x v="52"/>
    <x v="0"/>
    <x v="379"/>
  </r>
  <r>
    <x v="410"/>
    <x v="410"/>
    <x v="2"/>
    <x v="1"/>
    <x v="410"/>
    <x v="410"/>
    <x v="393"/>
    <x v="404"/>
    <x v="410"/>
    <x v="410"/>
    <x v="2"/>
    <x v="378"/>
    <x v="106"/>
    <x v="1"/>
    <x v="380"/>
  </r>
  <r>
    <x v="411"/>
    <x v="411"/>
    <x v="1"/>
    <x v="6"/>
    <x v="411"/>
    <x v="411"/>
    <x v="394"/>
    <x v="405"/>
    <x v="411"/>
    <x v="411"/>
    <x v="0"/>
    <x v="379"/>
    <x v="35"/>
    <x v="1"/>
    <x v="381"/>
  </r>
  <r>
    <x v="412"/>
    <x v="412"/>
    <x v="16"/>
    <x v="6"/>
    <x v="412"/>
    <x v="412"/>
    <x v="395"/>
    <x v="406"/>
    <x v="412"/>
    <x v="412"/>
    <x v="3"/>
    <x v="380"/>
    <x v="177"/>
    <x v="1"/>
    <x v="382"/>
  </r>
  <r>
    <x v="413"/>
    <x v="413"/>
    <x v="10"/>
    <x v="5"/>
    <x v="413"/>
    <x v="413"/>
    <x v="396"/>
    <x v="407"/>
    <x v="413"/>
    <x v="413"/>
    <x v="3"/>
    <x v="381"/>
    <x v="110"/>
    <x v="2"/>
    <x v="383"/>
  </r>
  <r>
    <x v="414"/>
    <x v="414"/>
    <x v="3"/>
    <x v="0"/>
    <x v="414"/>
    <x v="414"/>
    <x v="397"/>
    <x v="408"/>
    <x v="414"/>
    <x v="414"/>
    <x v="2"/>
    <x v="382"/>
    <x v="178"/>
    <x v="0"/>
    <x v="384"/>
  </r>
  <r>
    <x v="415"/>
    <x v="415"/>
    <x v="3"/>
    <x v="3"/>
    <x v="415"/>
    <x v="415"/>
    <x v="398"/>
    <x v="409"/>
    <x v="415"/>
    <x v="415"/>
    <x v="0"/>
    <x v="383"/>
    <x v="37"/>
    <x v="0"/>
    <x v="385"/>
  </r>
  <r>
    <x v="416"/>
    <x v="416"/>
    <x v="11"/>
    <x v="3"/>
    <x v="416"/>
    <x v="416"/>
    <x v="399"/>
    <x v="410"/>
    <x v="416"/>
    <x v="416"/>
    <x v="2"/>
    <x v="384"/>
    <x v="178"/>
    <x v="3"/>
    <x v="386"/>
  </r>
  <r>
    <x v="417"/>
    <x v="417"/>
    <x v="5"/>
    <x v="0"/>
    <x v="417"/>
    <x v="417"/>
    <x v="400"/>
    <x v="411"/>
    <x v="417"/>
    <x v="417"/>
    <x v="2"/>
    <x v="385"/>
    <x v="110"/>
    <x v="2"/>
    <x v="387"/>
  </r>
  <r>
    <x v="418"/>
    <x v="418"/>
    <x v="11"/>
    <x v="2"/>
    <x v="418"/>
    <x v="418"/>
    <x v="21"/>
    <x v="412"/>
    <x v="418"/>
    <x v="418"/>
    <x v="3"/>
    <x v="386"/>
    <x v="179"/>
    <x v="2"/>
    <x v="388"/>
  </r>
  <r>
    <x v="419"/>
    <x v="419"/>
    <x v="1"/>
    <x v="5"/>
    <x v="419"/>
    <x v="419"/>
    <x v="401"/>
    <x v="413"/>
    <x v="419"/>
    <x v="419"/>
    <x v="3"/>
    <x v="387"/>
    <x v="148"/>
    <x v="0"/>
    <x v="389"/>
  </r>
  <r>
    <x v="420"/>
    <x v="420"/>
    <x v="19"/>
    <x v="5"/>
    <x v="420"/>
    <x v="420"/>
    <x v="402"/>
    <x v="414"/>
    <x v="420"/>
    <x v="420"/>
    <x v="3"/>
    <x v="388"/>
    <x v="158"/>
    <x v="2"/>
    <x v="179"/>
  </r>
  <r>
    <x v="421"/>
    <x v="421"/>
    <x v="2"/>
    <x v="2"/>
    <x v="421"/>
    <x v="421"/>
    <x v="403"/>
    <x v="415"/>
    <x v="421"/>
    <x v="421"/>
    <x v="0"/>
    <x v="389"/>
    <x v="42"/>
    <x v="3"/>
    <x v="390"/>
  </r>
  <r>
    <x v="422"/>
    <x v="422"/>
    <x v="3"/>
    <x v="2"/>
    <x v="422"/>
    <x v="422"/>
    <x v="404"/>
    <x v="416"/>
    <x v="422"/>
    <x v="422"/>
    <x v="0"/>
    <x v="390"/>
    <x v="54"/>
    <x v="1"/>
    <x v="391"/>
  </r>
  <r>
    <x v="423"/>
    <x v="423"/>
    <x v="11"/>
    <x v="0"/>
    <x v="423"/>
    <x v="423"/>
    <x v="21"/>
    <x v="417"/>
    <x v="423"/>
    <x v="423"/>
    <x v="1"/>
    <x v="391"/>
    <x v="72"/>
    <x v="1"/>
    <x v="392"/>
  </r>
  <r>
    <x v="424"/>
    <x v="424"/>
    <x v="15"/>
    <x v="2"/>
    <x v="424"/>
    <x v="424"/>
    <x v="405"/>
    <x v="418"/>
    <x v="424"/>
    <x v="424"/>
    <x v="1"/>
    <x v="392"/>
    <x v="20"/>
    <x v="2"/>
    <x v="290"/>
  </r>
  <r>
    <x v="425"/>
    <x v="425"/>
    <x v="0"/>
    <x v="1"/>
    <x v="425"/>
    <x v="425"/>
    <x v="406"/>
    <x v="419"/>
    <x v="425"/>
    <x v="425"/>
    <x v="2"/>
    <x v="393"/>
    <x v="180"/>
    <x v="0"/>
    <x v="393"/>
  </r>
  <r>
    <x v="426"/>
    <x v="426"/>
    <x v="11"/>
    <x v="7"/>
    <x v="426"/>
    <x v="426"/>
    <x v="407"/>
    <x v="420"/>
    <x v="426"/>
    <x v="426"/>
    <x v="1"/>
    <x v="394"/>
    <x v="19"/>
    <x v="1"/>
    <x v="394"/>
  </r>
  <r>
    <x v="427"/>
    <x v="427"/>
    <x v="11"/>
    <x v="4"/>
    <x v="427"/>
    <x v="427"/>
    <x v="408"/>
    <x v="421"/>
    <x v="427"/>
    <x v="427"/>
    <x v="0"/>
    <x v="395"/>
    <x v="181"/>
    <x v="1"/>
    <x v="395"/>
  </r>
  <r>
    <x v="428"/>
    <x v="428"/>
    <x v="16"/>
    <x v="4"/>
    <x v="428"/>
    <x v="428"/>
    <x v="409"/>
    <x v="422"/>
    <x v="428"/>
    <x v="428"/>
    <x v="3"/>
    <x v="396"/>
    <x v="116"/>
    <x v="1"/>
    <x v="396"/>
  </r>
  <r>
    <x v="429"/>
    <x v="429"/>
    <x v="13"/>
    <x v="0"/>
    <x v="429"/>
    <x v="429"/>
    <x v="410"/>
    <x v="423"/>
    <x v="429"/>
    <x v="429"/>
    <x v="3"/>
    <x v="397"/>
    <x v="37"/>
    <x v="0"/>
    <x v="157"/>
  </r>
  <r>
    <x v="430"/>
    <x v="430"/>
    <x v="7"/>
    <x v="6"/>
    <x v="430"/>
    <x v="430"/>
    <x v="411"/>
    <x v="424"/>
    <x v="430"/>
    <x v="430"/>
    <x v="3"/>
    <x v="398"/>
    <x v="119"/>
    <x v="1"/>
    <x v="397"/>
  </r>
  <r>
    <x v="431"/>
    <x v="431"/>
    <x v="5"/>
    <x v="4"/>
    <x v="431"/>
    <x v="431"/>
    <x v="412"/>
    <x v="425"/>
    <x v="431"/>
    <x v="431"/>
    <x v="3"/>
    <x v="399"/>
    <x v="142"/>
    <x v="1"/>
    <x v="398"/>
  </r>
  <r>
    <x v="432"/>
    <x v="432"/>
    <x v="16"/>
    <x v="3"/>
    <x v="432"/>
    <x v="432"/>
    <x v="413"/>
    <x v="426"/>
    <x v="432"/>
    <x v="432"/>
    <x v="1"/>
    <x v="400"/>
    <x v="89"/>
    <x v="0"/>
    <x v="399"/>
  </r>
  <r>
    <x v="433"/>
    <x v="433"/>
    <x v="3"/>
    <x v="1"/>
    <x v="433"/>
    <x v="433"/>
    <x v="414"/>
    <x v="427"/>
    <x v="433"/>
    <x v="433"/>
    <x v="2"/>
    <x v="401"/>
    <x v="92"/>
    <x v="1"/>
    <x v="400"/>
  </r>
  <r>
    <x v="434"/>
    <x v="434"/>
    <x v="13"/>
    <x v="1"/>
    <x v="434"/>
    <x v="434"/>
    <x v="415"/>
    <x v="428"/>
    <x v="434"/>
    <x v="434"/>
    <x v="0"/>
    <x v="402"/>
    <x v="30"/>
    <x v="0"/>
    <x v="401"/>
  </r>
  <r>
    <x v="435"/>
    <x v="435"/>
    <x v="0"/>
    <x v="0"/>
    <x v="435"/>
    <x v="435"/>
    <x v="416"/>
    <x v="429"/>
    <x v="435"/>
    <x v="435"/>
    <x v="2"/>
    <x v="403"/>
    <x v="24"/>
    <x v="1"/>
    <x v="107"/>
  </r>
  <r>
    <x v="436"/>
    <x v="436"/>
    <x v="14"/>
    <x v="2"/>
    <x v="436"/>
    <x v="436"/>
    <x v="417"/>
    <x v="430"/>
    <x v="436"/>
    <x v="436"/>
    <x v="2"/>
    <x v="404"/>
    <x v="7"/>
    <x v="0"/>
    <x v="184"/>
  </r>
  <r>
    <x v="437"/>
    <x v="437"/>
    <x v="2"/>
    <x v="5"/>
    <x v="437"/>
    <x v="437"/>
    <x v="418"/>
    <x v="431"/>
    <x v="437"/>
    <x v="437"/>
    <x v="1"/>
    <x v="405"/>
    <x v="151"/>
    <x v="0"/>
    <x v="402"/>
  </r>
  <r>
    <x v="438"/>
    <x v="438"/>
    <x v="5"/>
    <x v="0"/>
    <x v="438"/>
    <x v="438"/>
    <x v="419"/>
    <x v="432"/>
    <x v="438"/>
    <x v="438"/>
    <x v="0"/>
    <x v="406"/>
    <x v="94"/>
    <x v="2"/>
    <x v="403"/>
  </r>
  <r>
    <x v="439"/>
    <x v="439"/>
    <x v="9"/>
    <x v="1"/>
    <x v="439"/>
    <x v="439"/>
    <x v="420"/>
    <x v="433"/>
    <x v="439"/>
    <x v="439"/>
    <x v="2"/>
    <x v="407"/>
    <x v="182"/>
    <x v="0"/>
    <x v="404"/>
  </r>
  <r>
    <x v="440"/>
    <x v="440"/>
    <x v="17"/>
    <x v="3"/>
    <x v="440"/>
    <x v="440"/>
    <x v="421"/>
    <x v="434"/>
    <x v="440"/>
    <x v="440"/>
    <x v="0"/>
    <x v="408"/>
    <x v="75"/>
    <x v="0"/>
    <x v="139"/>
  </r>
  <r>
    <x v="441"/>
    <x v="441"/>
    <x v="8"/>
    <x v="3"/>
    <x v="441"/>
    <x v="441"/>
    <x v="422"/>
    <x v="435"/>
    <x v="441"/>
    <x v="441"/>
    <x v="2"/>
    <x v="409"/>
    <x v="37"/>
    <x v="2"/>
    <x v="405"/>
  </r>
  <r>
    <x v="442"/>
    <x v="442"/>
    <x v="12"/>
    <x v="3"/>
    <x v="442"/>
    <x v="442"/>
    <x v="21"/>
    <x v="436"/>
    <x v="442"/>
    <x v="442"/>
    <x v="1"/>
    <x v="410"/>
    <x v="110"/>
    <x v="3"/>
    <x v="269"/>
  </r>
  <r>
    <x v="443"/>
    <x v="443"/>
    <x v="18"/>
    <x v="3"/>
    <x v="443"/>
    <x v="443"/>
    <x v="423"/>
    <x v="437"/>
    <x v="443"/>
    <x v="443"/>
    <x v="3"/>
    <x v="411"/>
    <x v="154"/>
    <x v="0"/>
    <x v="406"/>
  </r>
  <r>
    <x v="444"/>
    <x v="444"/>
    <x v="15"/>
    <x v="1"/>
    <x v="444"/>
    <x v="444"/>
    <x v="424"/>
    <x v="438"/>
    <x v="444"/>
    <x v="444"/>
    <x v="2"/>
    <x v="412"/>
    <x v="183"/>
    <x v="1"/>
    <x v="407"/>
  </r>
  <r>
    <x v="445"/>
    <x v="445"/>
    <x v="6"/>
    <x v="6"/>
    <x v="445"/>
    <x v="445"/>
    <x v="21"/>
    <x v="439"/>
    <x v="445"/>
    <x v="445"/>
    <x v="2"/>
    <x v="413"/>
    <x v="184"/>
    <x v="2"/>
    <x v="408"/>
  </r>
  <r>
    <x v="446"/>
    <x v="446"/>
    <x v="18"/>
    <x v="1"/>
    <x v="446"/>
    <x v="446"/>
    <x v="425"/>
    <x v="440"/>
    <x v="446"/>
    <x v="446"/>
    <x v="3"/>
    <x v="414"/>
    <x v="57"/>
    <x v="1"/>
    <x v="409"/>
  </r>
  <r>
    <x v="447"/>
    <x v="447"/>
    <x v="12"/>
    <x v="4"/>
    <x v="447"/>
    <x v="447"/>
    <x v="426"/>
    <x v="441"/>
    <x v="447"/>
    <x v="447"/>
    <x v="3"/>
    <x v="415"/>
    <x v="51"/>
    <x v="2"/>
    <x v="410"/>
  </r>
  <r>
    <x v="448"/>
    <x v="448"/>
    <x v="13"/>
    <x v="0"/>
    <x v="448"/>
    <x v="448"/>
    <x v="427"/>
    <x v="442"/>
    <x v="448"/>
    <x v="448"/>
    <x v="3"/>
    <x v="416"/>
    <x v="185"/>
    <x v="1"/>
    <x v="411"/>
  </r>
  <r>
    <x v="449"/>
    <x v="449"/>
    <x v="8"/>
    <x v="4"/>
    <x v="449"/>
    <x v="449"/>
    <x v="428"/>
    <x v="443"/>
    <x v="449"/>
    <x v="449"/>
    <x v="3"/>
    <x v="417"/>
    <x v="153"/>
    <x v="0"/>
    <x v="412"/>
  </r>
  <r>
    <x v="450"/>
    <x v="450"/>
    <x v="17"/>
    <x v="4"/>
    <x v="450"/>
    <x v="450"/>
    <x v="429"/>
    <x v="444"/>
    <x v="450"/>
    <x v="450"/>
    <x v="2"/>
    <x v="9"/>
    <x v="147"/>
    <x v="0"/>
    <x v="101"/>
  </r>
  <r>
    <x v="451"/>
    <x v="451"/>
    <x v="2"/>
    <x v="2"/>
    <x v="451"/>
    <x v="451"/>
    <x v="430"/>
    <x v="445"/>
    <x v="451"/>
    <x v="451"/>
    <x v="0"/>
    <x v="418"/>
    <x v="186"/>
    <x v="2"/>
    <x v="413"/>
  </r>
  <r>
    <x v="452"/>
    <x v="452"/>
    <x v="7"/>
    <x v="3"/>
    <x v="452"/>
    <x v="452"/>
    <x v="431"/>
    <x v="446"/>
    <x v="452"/>
    <x v="452"/>
    <x v="0"/>
    <x v="419"/>
    <x v="93"/>
    <x v="0"/>
    <x v="414"/>
  </r>
  <r>
    <x v="453"/>
    <x v="453"/>
    <x v="11"/>
    <x v="3"/>
    <x v="453"/>
    <x v="453"/>
    <x v="21"/>
    <x v="447"/>
    <x v="453"/>
    <x v="453"/>
    <x v="2"/>
    <x v="420"/>
    <x v="116"/>
    <x v="2"/>
    <x v="415"/>
  </r>
  <r>
    <x v="454"/>
    <x v="454"/>
    <x v="15"/>
    <x v="7"/>
    <x v="454"/>
    <x v="454"/>
    <x v="432"/>
    <x v="448"/>
    <x v="454"/>
    <x v="454"/>
    <x v="2"/>
    <x v="421"/>
    <x v="8"/>
    <x v="1"/>
    <x v="416"/>
  </r>
  <r>
    <x v="455"/>
    <x v="455"/>
    <x v="17"/>
    <x v="6"/>
    <x v="455"/>
    <x v="455"/>
    <x v="433"/>
    <x v="61"/>
    <x v="455"/>
    <x v="455"/>
    <x v="1"/>
    <x v="422"/>
    <x v="86"/>
    <x v="0"/>
    <x v="417"/>
  </r>
  <r>
    <x v="456"/>
    <x v="456"/>
    <x v="5"/>
    <x v="0"/>
    <x v="456"/>
    <x v="456"/>
    <x v="434"/>
    <x v="449"/>
    <x v="456"/>
    <x v="456"/>
    <x v="2"/>
    <x v="423"/>
    <x v="119"/>
    <x v="1"/>
    <x v="418"/>
  </r>
  <r>
    <x v="457"/>
    <x v="457"/>
    <x v="2"/>
    <x v="3"/>
    <x v="457"/>
    <x v="457"/>
    <x v="435"/>
    <x v="450"/>
    <x v="457"/>
    <x v="457"/>
    <x v="3"/>
    <x v="424"/>
    <x v="50"/>
    <x v="2"/>
    <x v="333"/>
  </r>
  <r>
    <x v="458"/>
    <x v="458"/>
    <x v="17"/>
    <x v="5"/>
    <x v="458"/>
    <x v="458"/>
    <x v="436"/>
    <x v="451"/>
    <x v="458"/>
    <x v="458"/>
    <x v="1"/>
    <x v="425"/>
    <x v="165"/>
    <x v="1"/>
    <x v="419"/>
  </r>
  <r>
    <x v="459"/>
    <x v="459"/>
    <x v="3"/>
    <x v="1"/>
    <x v="459"/>
    <x v="459"/>
    <x v="437"/>
    <x v="452"/>
    <x v="459"/>
    <x v="459"/>
    <x v="1"/>
    <x v="426"/>
    <x v="86"/>
    <x v="0"/>
    <x v="420"/>
  </r>
  <r>
    <x v="460"/>
    <x v="460"/>
    <x v="10"/>
    <x v="7"/>
    <x v="460"/>
    <x v="460"/>
    <x v="438"/>
    <x v="453"/>
    <x v="460"/>
    <x v="460"/>
    <x v="3"/>
    <x v="427"/>
    <x v="187"/>
    <x v="0"/>
    <x v="421"/>
  </r>
  <r>
    <x v="461"/>
    <x v="461"/>
    <x v="8"/>
    <x v="1"/>
    <x v="461"/>
    <x v="461"/>
    <x v="439"/>
    <x v="454"/>
    <x v="461"/>
    <x v="461"/>
    <x v="0"/>
    <x v="428"/>
    <x v="188"/>
    <x v="2"/>
    <x v="422"/>
  </r>
  <r>
    <x v="462"/>
    <x v="462"/>
    <x v="11"/>
    <x v="4"/>
    <x v="462"/>
    <x v="462"/>
    <x v="440"/>
    <x v="455"/>
    <x v="462"/>
    <x v="462"/>
    <x v="3"/>
    <x v="429"/>
    <x v="189"/>
    <x v="1"/>
    <x v="234"/>
  </r>
  <r>
    <x v="463"/>
    <x v="463"/>
    <x v="15"/>
    <x v="2"/>
    <x v="463"/>
    <x v="463"/>
    <x v="441"/>
    <x v="456"/>
    <x v="463"/>
    <x v="463"/>
    <x v="1"/>
    <x v="430"/>
    <x v="190"/>
    <x v="0"/>
    <x v="423"/>
  </r>
  <r>
    <x v="464"/>
    <x v="464"/>
    <x v="6"/>
    <x v="2"/>
    <x v="464"/>
    <x v="464"/>
    <x v="442"/>
    <x v="457"/>
    <x v="464"/>
    <x v="464"/>
    <x v="3"/>
    <x v="431"/>
    <x v="191"/>
    <x v="0"/>
    <x v="424"/>
  </r>
  <r>
    <x v="465"/>
    <x v="465"/>
    <x v="10"/>
    <x v="0"/>
    <x v="465"/>
    <x v="465"/>
    <x v="443"/>
    <x v="458"/>
    <x v="465"/>
    <x v="465"/>
    <x v="0"/>
    <x v="432"/>
    <x v="32"/>
    <x v="0"/>
    <x v="425"/>
  </r>
  <r>
    <x v="466"/>
    <x v="466"/>
    <x v="0"/>
    <x v="3"/>
    <x v="466"/>
    <x v="466"/>
    <x v="444"/>
    <x v="459"/>
    <x v="466"/>
    <x v="466"/>
    <x v="3"/>
    <x v="433"/>
    <x v="131"/>
    <x v="0"/>
    <x v="426"/>
  </r>
  <r>
    <x v="467"/>
    <x v="467"/>
    <x v="12"/>
    <x v="7"/>
    <x v="467"/>
    <x v="467"/>
    <x v="445"/>
    <x v="460"/>
    <x v="467"/>
    <x v="467"/>
    <x v="3"/>
    <x v="434"/>
    <x v="90"/>
    <x v="1"/>
    <x v="427"/>
  </r>
  <r>
    <x v="468"/>
    <x v="468"/>
    <x v="14"/>
    <x v="3"/>
    <x v="468"/>
    <x v="468"/>
    <x v="446"/>
    <x v="461"/>
    <x v="468"/>
    <x v="468"/>
    <x v="3"/>
    <x v="435"/>
    <x v="192"/>
    <x v="1"/>
    <x v="428"/>
  </r>
  <r>
    <x v="469"/>
    <x v="469"/>
    <x v="10"/>
    <x v="6"/>
    <x v="469"/>
    <x v="469"/>
    <x v="447"/>
    <x v="462"/>
    <x v="469"/>
    <x v="469"/>
    <x v="2"/>
    <x v="436"/>
    <x v="67"/>
    <x v="2"/>
    <x v="429"/>
  </r>
  <r>
    <x v="470"/>
    <x v="470"/>
    <x v="15"/>
    <x v="5"/>
    <x v="470"/>
    <x v="470"/>
    <x v="448"/>
    <x v="463"/>
    <x v="470"/>
    <x v="470"/>
    <x v="3"/>
    <x v="437"/>
    <x v="85"/>
    <x v="2"/>
    <x v="430"/>
  </r>
  <r>
    <x v="471"/>
    <x v="471"/>
    <x v="12"/>
    <x v="1"/>
    <x v="471"/>
    <x v="471"/>
    <x v="449"/>
    <x v="464"/>
    <x v="471"/>
    <x v="471"/>
    <x v="2"/>
    <x v="438"/>
    <x v="24"/>
    <x v="1"/>
    <x v="431"/>
  </r>
  <r>
    <x v="472"/>
    <x v="472"/>
    <x v="14"/>
    <x v="7"/>
    <x v="472"/>
    <x v="472"/>
    <x v="21"/>
    <x v="465"/>
    <x v="472"/>
    <x v="472"/>
    <x v="1"/>
    <x v="439"/>
    <x v="24"/>
    <x v="1"/>
    <x v="42"/>
  </r>
  <r>
    <x v="473"/>
    <x v="473"/>
    <x v="2"/>
    <x v="1"/>
    <x v="473"/>
    <x v="473"/>
    <x v="450"/>
    <x v="466"/>
    <x v="473"/>
    <x v="473"/>
    <x v="2"/>
    <x v="440"/>
    <x v="166"/>
    <x v="2"/>
    <x v="428"/>
  </r>
  <r>
    <x v="474"/>
    <x v="474"/>
    <x v="17"/>
    <x v="5"/>
    <x v="474"/>
    <x v="474"/>
    <x v="451"/>
    <x v="467"/>
    <x v="474"/>
    <x v="474"/>
    <x v="3"/>
    <x v="441"/>
    <x v="66"/>
    <x v="2"/>
    <x v="432"/>
  </r>
  <r>
    <x v="475"/>
    <x v="475"/>
    <x v="19"/>
    <x v="6"/>
    <x v="475"/>
    <x v="475"/>
    <x v="452"/>
    <x v="468"/>
    <x v="475"/>
    <x v="475"/>
    <x v="0"/>
    <x v="442"/>
    <x v="167"/>
    <x v="0"/>
    <x v="433"/>
  </r>
  <r>
    <x v="476"/>
    <x v="476"/>
    <x v="9"/>
    <x v="1"/>
    <x v="476"/>
    <x v="476"/>
    <x v="453"/>
    <x v="469"/>
    <x v="476"/>
    <x v="476"/>
    <x v="0"/>
    <x v="443"/>
    <x v="13"/>
    <x v="1"/>
    <x v="434"/>
  </r>
  <r>
    <x v="477"/>
    <x v="477"/>
    <x v="5"/>
    <x v="5"/>
    <x v="477"/>
    <x v="477"/>
    <x v="454"/>
    <x v="470"/>
    <x v="477"/>
    <x v="477"/>
    <x v="1"/>
    <x v="444"/>
    <x v="97"/>
    <x v="2"/>
    <x v="435"/>
  </r>
  <r>
    <x v="478"/>
    <x v="478"/>
    <x v="13"/>
    <x v="2"/>
    <x v="478"/>
    <x v="478"/>
    <x v="455"/>
    <x v="471"/>
    <x v="478"/>
    <x v="478"/>
    <x v="3"/>
    <x v="445"/>
    <x v="3"/>
    <x v="0"/>
    <x v="436"/>
  </r>
  <r>
    <x v="479"/>
    <x v="479"/>
    <x v="4"/>
    <x v="4"/>
    <x v="479"/>
    <x v="479"/>
    <x v="456"/>
    <x v="472"/>
    <x v="479"/>
    <x v="479"/>
    <x v="3"/>
    <x v="446"/>
    <x v="33"/>
    <x v="0"/>
    <x v="437"/>
  </r>
  <r>
    <x v="480"/>
    <x v="480"/>
    <x v="14"/>
    <x v="6"/>
    <x v="480"/>
    <x v="480"/>
    <x v="21"/>
    <x v="473"/>
    <x v="480"/>
    <x v="480"/>
    <x v="0"/>
    <x v="447"/>
    <x v="106"/>
    <x v="1"/>
    <x v="438"/>
  </r>
  <r>
    <x v="481"/>
    <x v="481"/>
    <x v="3"/>
    <x v="5"/>
    <x v="481"/>
    <x v="481"/>
    <x v="457"/>
    <x v="474"/>
    <x v="481"/>
    <x v="481"/>
    <x v="1"/>
    <x v="448"/>
    <x v="136"/>
    <x v="2"/>
    <x v="439"/>
  </r>
  <r>
    <x v="482"/>
    <x v="482"/>
    <x v="7"/>
    <x v="7"/>
    <x v="482"/>
    <x v="482"/>
    <x v="458"/>
    <x v="475"/>
    <x v="482"/>
    <x v="482"/>
    <x v="1"/>
    <x v="449"/>
    <x v="176"/>
    <x v="0"/>
    <x v="440"/>
  </r>
  <r>
    <x v="483"/>
    <x v="483"/>
    <x v="3"/>
    <x v="0"/>
    <x v="483"/>
    <x v="483"/>
    <x v="459"/>
    <x v="476"/>
    <x v="483"/>
    <x v="483"/>
    <x v="1"/>
    <x v="450"/>
    <x v="8"/>
    <x v="0"/>
    <x v="441"/>
  </r>
  <r>
    <x v="484"/>
    <x v="484"/>
    <x v="8"/>
    <x v="5"/>
    <x v="484"/>
    <x v="484"/>
    <x v="460"/>
    <x v="477"/>
    <x v="484"/>
    <x v="484"/>
    <x v="1"/>
    <x v="451"/>
    <x v="193"/>
    <x v="1"/>
    <x v="442"/>
  </r>
  <r>
    <x v="485"/>
    <x v="485"/>
    <x v="2"/>
    <x v="1"/>
    <x v="485"/>
    <x v="485"/>
    <x v="461"/>
    <x v="478"/>
    <x v="485"/>
    <x v="485"/>
    <x v="1"/>
    <x v="452"/>
    <x v="194"/>
    <x v="1"/>
    <x v="443"/>
  </r>
  <r>
    <x v="486"/>
    <x v="486"/>
    <x v="15"/>
    <x v="3"/>
    <x v="486"/>
    <x v="486"/>
    <x v="462"/>
    <x v="479"/>
    <x v="486"/>
    <x v="486"/>
    <x v="1"/>
    <x v="453"/>
    <x v="37"/>
    <x v="2"/>
    <x v="444"/>
  </r>
  <r>
    <x v="487"/>
    <x v="487"/>
    <x v="3"/>
    <x v="6"/>
    <x v="487"/>
    <x v="487"/>
    <x v="463"/>
    <x v="480"/>
    <x v="487"/>
    <x v="487"/>
    <x v="1"/>
    <x v="161"/>
    <x v="84"/>
    <x v="1"/>
    <x v="445"/>
  </r>
  <r>
    <x v="488"/>
    <x v="488"/>
    <x v="19"/>
    <x v="0"/>
    <x v="488"/>
    <x v="488"/>
    <x v="464"/>
    <x v="481"/>
    <x v="488"/>
    <x v="488"/>
    <x v="1"/>
    <x v="454"/>
    <x v="112"/>
    <x v="0"/>
    <x v="157"/>
  </r>
  <r>
    <x v="489"/>
    <x v="489"/>
    <x v="5"/>
    <x v="2"/>
    <x v="489"/>
    <x v="489"/>
    <x v="465"/>
    <x v="482"/>
    <x v="489"/>
    <x v="489"/>
    <x v="2"/>
    <x v="455"/>
    <x v="4"/>
    <x v="0"/>
    <x v="446"/>
  </r>
  <r>
    <x v="490"/>
    <x v="490"/>
    <x v="1"/>
    <x v="0"/>
    <x v="490"/>
    <x v="490"/>
    <x v="466"/>
    <x v="483"/>
    <x v="490"/>
    <x v="490"/>
    <x v="1"/>
    <x v="456"/>
    <x v="133"/>
    <x v="0"/>
    <x v="447"/>
  </r>
  <r>
    <x v="491"/>
    <x v="491"/>
    <x v="16"/>
    <x v="1"/>
    <x v="491"/>
    <x v="491"/>
    <x v="467"/>
    <x v="484"/>
    <x v="491"/>
    <x v="491"/>
    <x v="0"/>
    <x v="457"/>
    <x v="92"/>
    <x v="1"/>
    <x v="448"/>
  </r>
  <r>
    <x v="492"/>
    <x v="492"/>
    <x v="11"/>
    <x v="0"/>
    <x v="492"/>
    <x v="492"/>
    <x v="468"/>
    <x v="485"/>
    <x v="492"/>
    <x v="492"/>
    <x v="3"/>
    <x v="458"/>
    <x v="133"/>
    <x v="1"/>
    <x v="449"/>
  </r>
  <r>
    <x v="493"/>
    <x v="493"/>
    <x v="10"/>
    <x v="2"/>
    <x v="493"/>
    <x v="493"/>
    <x v="469"/>
    <x v="486"/>
    <x v="493"/>
    <x v="493"/>
    <x v="0"/>
    <x v="459"/>
    <x v="16"/>
    <x v="1"/>
    <x v="450"/>
  </r>
  <r>
    <x v="494"/>
    <x v="494"/>
    <x v="16"/>
    <x v="1"/>
    <x v="494"/>
    <x v="494"/>
    <x v="470"/>
    <x v="487"/>
    <x v="494"/>
    <x v="494"/>
    <x v="2"/>
    <x v="460"/>
    <x v="116"/>
    <x v="0"/>
    <x v="451"/>
  </r>
  <r>
    <x v="495"/>
    <x v="495"/>
    <x v="3"/>
    <x v="3"/>
    <x v="495"/>
    <x v="495"/>
    <x v="471"/>
    <x v="488"/>
    <x v="495"/>
    <x v="495"/>
    <x v="0"/>
    <x v="14"/>
    <x v="39"/>
    <x v="0"/>
    <x v="452"/>
  </r>
  <r>
    <x v="496"/>
    <x v="496"/>
    <x v="0"/>
    <x v="4"/>
    <x v="496"/>
    <x v="496"/>
    <x v="472"/>
    <x v="489"/>
    <x v="496"/>
    <x v="496"/>
    <x v="3"/>
    <x v="461"/>
    <x v="195"/>
    <x v="1"/>
    <x v="453"/>
  </r>
  <r>
    <x v="497"/>
    <x v="497"/>
    <x v="6"/>
    <x v="1"/>
    <x v="497"/>
    <x v="497"/>
    <x v="21"/>
    <x v="490"/>
    <x v="497"/>
    <x v="497"/>
    <x v="0"/>
    <x v="462"/>
    <x v="18"/>
    <x v="1"/>
    <x v="218"/>
  </r>
  <r>
    <x v="498"/>
    <x v="498"/>
    <x v="13"/>
    <x v="4"/>
    <x v="498"/>
    <x v="498"/>
    <x v="473"/>
    <x v="491"/>
    <x v="498"/>
    <x v="498"/>
    <x v="1"/>
    <x v="463"/>
    <x v="86"/>
    <x v="2"/>
    <x v="454"/>
  </r>
  <r>
    <x v="499"/>
    <x v="499"/>
    <x v="19"/>
    <x v="4"/>
    <x v="499"/>
    <x v="499"/>
    <x v="474"/>
    <x v="492"/>
    <x v="499"/>
    <x v="499"/>
    <x v="0"/>
    <x v="464"/>
    <x v="21"/>
    <x v="2"/>
    <x v="455"/>
  </r>
</pivotCacheRecords>
</file>

<file path=xl/pivotCache/pivotCacheRecords3.xml><?xml version="1.0" encoding="utf-8"?>
<pivotCacheRecords xmlns="http://schemas.openxmlformats.org/spreadsheetml/2006/main" xmlns:r="http://schemas.openxmlformats.org/officeDocument/2006/relationships" count="500">
  <r>
    <x v="0"/>
    <x v="0"/>
    <x v="0"/>
    <x v="0"/>
    <x v="0"/>
    <x v="0"/>
    <x v="0"/>
    <x v="0"/>
    <x v="0"/>
    <x v="0"/>
    <x v="0"/>
    <x v="0"/>
    <x v="0"/>
    <x v="0"/>
    <x v="0"/>
    <x v="0"/>
    <x v="0"/>
    <x v="0"/>
    <x v="0"/>
    <x v="0"/>
  </r>
  <r>
    <x v="1"/>
    <x v="1"/>
    <x v="1"/>
    <x v="1"/>
    <x v="1"/>
    <x v="1"/>
    <x v="1"/>
    <x v="1"/>
    <x v="1"/>
    <x v="1"/>
    <x v="1"/>
    <x v="1"/>
    <x v="1"/>
    <x v="0"/>
    <x v="1"/>
    <x v="1"/>
    <x v="1"/>
    <x v="0"/>
    <x v="1"/>
    <x v="0"/>
  </r>
  <r>
    <x v="2"/>
    <x v="2"/>
    <x v="0"/>
    <x v="2"/>
    <x v="2"/>
    <x v="2"/>
    <x v="2"/>
    <x v="2"/>
    <x v="2"/>
    <x v="2"/>
    <x v="2"/>
    <x v="2"/>
    <x v="2"/>
    <x v="1"/>
    <x v="2"/>
    <x v="2"/>
    <x v="2"/>
    <x v="0"/>
    <x v="2"/>
    <x v="0"/>
  </r>
  <r>
    <x v="3"/>
    <x v="3"/>
    <x v="2"/>
    <x v="3"/>
    <x v="3"/>
    <x v="3"/>
    <x v="3"/>
    <x v="3"/>
    <x v="3"/>
    <x v="3"/>
    <x v="3"/>
    <x v="3"/>
    <x v="3"/>
    <x v="1"/>
    <x v="3"/>
    <x v="3"/>
    <x v="3"/>
    <x v="0"/>
    <x v="3"/>
    <x v="0"/>
  </r>
  <r>
    <x v="4"/>
    <x v="4"/>
    <x v="1"/>
    <x v="4"/>
    <x v="4"/>
    <x v="4"/>
    <x v="4"/>
    <x v="4"/>
    <x v="4"/>
    <x v="4"/>
    <x v="4"/>
    <x v="4"/>
    <x v="4"/>
    <x v="2"/>
    <x v="4"/>
    <x v="4"/>
    <x v="4"/>
    <x v="0"/>
    <x v="3"/>
    <x v="0"/>
  </r>
  <r>
    <x v="5"/>
    <x v="5"/>
    <x v="3"/>
    <x v="5"/>
    <x v="5"/>
    <x v="5"/>
    <x v="5"/>
    <x v="5"/>
    <x v="5"/>
    <x v="5"/>
    <x v="5"/>
    <x v="5"/>
    <x v="5"/>
    <x v="0"/>
    <x v="5"/>
    <x v="5"/>
    <x v="5"/>
    <x v="1"/>
    <x v="3"/>
    <x v="1"/>
  </r>
  <r>
    <x v="6"/>
    <x v="6"/>
    <x v="4"/>
    <x v="0"/>
    <x v="0"/>
    <x v="6"/>
    <x v="6"/>
    <x v="6"/>
    <x v="6"/>
    <x v="6"/>
    <x v="6"/>
    <x v="6"/>
    <x v="6"/>
    <x v="1"/>
    <x v="6"/>
    <x v="5"/>
    <x v="6"/>
    <x v="0"/>
    <x v="4"/>
    <x v="0"/>
  </r>
  <r>
    <x v="7"/>
    <x v="7"/>
    <x v="1"/>
    <x v="6"/>
    <x v="6"/>
    <x v="5"/>
    <x v="7"/>
    <x v="5"/>
    <x v="7"/>
    <x v="7"/>
    <x v="7"/>
    <x v="7"/>
    <x v="7"/>
    <x v="0"/>
    <x v="7"/>
    <x v="6"/>
    <x v="7"/>
    <x v="0"/>
    <x v="5"/>
    <x v="0"/>
  </r>
  <r>
    <x v="8"/>
    <x v="8"/>
    <x v="4"/>
    <x v="5"/>
    <x v="5"/>
    <x v="0"/>
    <x v="8"/>
    <x v="0"/>
    <x v="8"/>
    <x v="8"/>
    <x v="8"/>
    <x v="8"/>
    <x v="8"/>
    <x v="2"/>
    <x v="8"/>
    <x v="7"/>
    <x v="8"/>
    <x v="1"/>
    <x v="6"/>
    <x v="2"/>
  </r>
  <r>
    <x v="9"/>
    <x v="9"/>
    <x v="4"/>
    <x v="7"/>
    <x v="7"/>
    <x v="7"/>
    <x v="9"/>
    <x v="7"/>
    <x v="9"/>
    <x v="9"/>
    <x v="9"/>
    <x v="9"/>
    <x v="9"/>
    <x v="2"/>
    <x v="9"/>
    <x v="6"/>
    <x v="9"/>
    <x v="1"/>
    <x v="7"/>
    <x v="3"/>
  </r>
  <r>
    <x v="10"/>
    <x v="10"/>
    <x v="5"/>
    <x v="8"/>
    <x v="8"/>
    <x v="2"/>
    <x v="10"/>
    <x v="2"/>
    <x v="10"/>
    <x v="10"/>
    <x v="10"/>
    <x v="10"/>
    <x v="9"/>
    <x v="2"/>
    <x v="10"/>
    <x v="8"/>
    <x v="10"/>
    <x v="1"/>
    <x v="8"/>
    <x v="4"/>
  </r>
  <r>
    <x v="11"/>
    <x v="11"/>
    <x v="1"/>
    <x v="9"/>
    <x v="9"/>
    <x v="5"/>
    <x v="11"/>
    <x v="5"/>
    <x v="11"/>
    <x v="11"/>
    <x v="11"/>
    <x v="11"/>
    <x v="10"/>
    <x v="2"/>
    <x v="11"/>
    <x v="9"/>
    <x v="11"/>
    <x v="1"/>
    <x v="9"/>
    <x v="5"/>
  </r>
  <r>
    <x v="12"/>
    <x v="12"/>
    <x v="0"/>
    <x v="1"/>
    <x v="1"/>
    <x v="8"/>
    <x v="12"/>
    <x v="8"/>
    <x v="12"/>
    <x v="12"/>
    <x v="12"/>
    <x v="12"/>
    <x v="9"/>
    <x v="0"/>
    <x v="12"/>
    <x v="10"/>
    <x v="12"/>
    <x v="0"/>
    <x v="10"/>
    <x v="0"/>
  </r>
  <r>
    <x v="13"/>
    <x v="13"/>
    <x v="3"/>
    <x v="0"/>
    <x v="0"/>
    <x v="1"/>
    <x v="13"/>
    <x v="1"/>
    <x v="13"/>
    <x v="13"/>
    <x v="13"/>
    <x v="13"/>
    <x v="11"/>
    <x v="0"/>
    <x v="13"/>
    <x v="11"/>
    <x v="13"/>
    <x v="0"/>
    <x v="4"/>
    <x v="0"/>
  </r>
  <r>
    <x v="14"/>
    <x v="14"/>
    <x v="6"/>
    <x v="10"/>
    <x v="10"/>
    <x v="2"/>
    <x v="14"/>
    <x v="2"/>
    <x v="14"/>
    <x v="14"/>
    <x v="14"/>
    <x v="14"/>
    <x v="12"/>
    <x v="0"/>
    <x v="14"/>
    <x v="12"/>
    <x v="14"/>
    <x v="0"/>
    <x v="11"/>
    <x v="0"/>
  </r>
  <r>
    <x v="15"/>
    <x v="15"/>
    <x v="5"/>
    <x v="11"/>
    <x v="11"/>
    <x v="3"/>
    <x v="15"/>
    <x v="3"/>
    <x v="12"/>
    <x v="15"/>
    <x v="15"/>
    <x v="15"/>
    <x v="13"/>
    <x v="1"/>
    <x v="15"/>
    <x v="13"/>
    <x v="15"/>
    <x v="0"/>
    <x v="12"/>
    <x v="0"/>
  </r>
  <r>
    <x v="16"/>
    <x v="16"/>
    <x v="6"/>
    <x v="1"/>
    <x v="1"/>
    <x v="9"/>
    <x v="16"/>
    <x v="9"/>
    <x v="15"/>
    <x v="16"/>
    <x v="16"/>
    <x v="16"/>
    <x v="14"/>
    <x v="1"/>
    <x v="16"/>
    <x v="14"/>
    <x v="16"/>
    <x v="0"/>
    <x v="13"/>
    <x v="0"/>
  </r>
  <r>
    <x v="17"/>
    <x v="17"/>
    <x v="5"/>
    <x v="11"/>
    <x v="11"/>
    <x v="10"/>
    <x v="17"/>
    <x v="10"/>
    <x v="16"/>
    <x v="17"/>
    <x v="17"/>
    <x v="17"/>
    <x v="15"/>
    <x v="0"/>
    <x v="17"/>
    <x v="15"/>
    <x v="17"/>
    <x v="0"/>
    <x v="14"/>
    <x v="0"/>
  </r>
  <r>
    <x v="18"/>
    <x v="18"/>
    <x v="6"/>
    <x v="1"/>
    <x v="1"/>
    <x v="6"/>
    <x v="18"/>
    <x v="11"/>
    <x v="17"/>
    <x v="18"/>
    <x v="18"/>
    <x v="18"/>
    <x v="16"/>
    <x v="2"/>
    <x v="18"/>
    <x v="16"/>
    <x v="18"/>
    <x v="1"/>
    <x v="2"/>
    <x v="6"/>
  </r>
  <r>
    <x v="19"/>
    <x v="19"/>
    <x v="4"/>
    <x v="6"/>
    <x v="6"/>
    <x v="9"/>
    <x v="19"/>
    <x v="9"/>
    <x v="18"/>
    <x v="19"/>
    <x v="19"/>
    <x v="19"/>
    <x v="14"/>
    <x v="1"/>
    <x v="19"/>
    <x v="17"/>
    <x v="19"/>
    <x v="1"/>
    <x v="15"/>
    <x v="7"/>
  </r>
  <r>
    <x v="20"/>
    <x v="20"/>
    <x v="6"/>
    <x v="9"/>
    <x v="9"/>
    <x v="0"/>
    <x v="20"/>
    <x v="0"/>
    <x v="19"/>
    <x v="20"/>
    <x v="20"/>
    <x v="20"/>
    <x v="10"/>
    <x v="2"/>
    <x v="20"/>
    <x v="18"/>
    <x v="20"/>
    <x v="0"/>
    <x v="6"/>
    <x v="0"/>
  </r>
  <r>
    <x v="21"/>
    <x v="21"/>
    <x v="3"/>
    <x v="11"/>
    <x v="11"/>
    <x v="1"/>
    <x v="21"/>
    <x v="1"/>
    <x v="20"/>
    <x v="21"/>
    <x v="21"/>
    <x v="21"/>
    <x v="13"/>
    <x v="2"/>
    <x v="21"/>
    <x v="19"/>
    <x v="21"/>
    <x v="2"/>
    <x v="16"/>
    <x v="0"/>
  </r>
  <r>
    <x v="22"/>
    <x v="22"/>
    <x v="0"/>
    <x v="3"/>
    <x v="3"/>
    <x v="6"/>
    <x v="22"/>
    <x v="11"/>
    <x v="21"/>
    <x v="22"/>
    <x v="22"/>
    <x v="22"/>
    <x v="15"/>
    <x v="1"/>
    <x v="22"/>
    <x v="20"/>
    <x v="22"/>
    <x v="0"/>
    <x v="10"/>
    <x v="0"/>
  </r>
  <r>
    <x v="23"/>
    <x v="23"/>
    <x v="6"/>
    <x v="12"/>
    <x v="12"/>
    <x v="6"/>
    <x v="23"/>
    <x v="11"/>
    <x v="22"/>
    <x v="23"/>
    <x v="23"/>
    <x v="23"/>
    <x v="9"/>
    <x v="2"/>
    <x v="23"/>
    <x v="0"/>
    <x v="23"/>
    <x v="0"/>
    <x v="17"/>
    <x v="0"/>
  </r>
  <r>
    <x v="24"/>
    <x v="24"/>
    <x v="2"/>
    <x v="4"/>
    <x v="4"/>
    <x v="3"/>
    <x v="24"/>
    <x v="3"/>
    <x v="23"/>
    <x v="24"/>
    <x v="24"/>
    <x v="24"/>
    <x v="10"/>
    <x v="0"/>
    <x v="24"/>
    <x v="21"/>
    <x v="24"/>
    <x v="1"/>
    <x v="13"/>
    <x v="8"/>
  </r>
  <r>
    <x v="25"/>
    <x v="25"/>
    <x v="5"/>
    <x v="9"/>
    <x v="9"/>
    <x v="11"/>
    <x v="25"/>
    <x v="12"/>
    <x v="24"/>
    <x v="25"/>
    <x v="25"/>
    <x v="25"/>
    <x v="9"/>
    <x v="1"/>
    <x v="25"/>
    <x v="22"/>
    <x v="25"/>
    <x v="1"/>
    <x v="17"/>
    <x v="9"/>
  </r>
  <r>
    <x v="26"/>
    <x v="26"/>
    <x v="6"/>
    <x v="0"/>
    <x v="0"/>
    <x v="4"/>
    <x v="26"/>
    <x v="4"/>
    <x v="25"/>
    <x v="26"/>
    <x v="26"/>
    <x v="26"/>
    <x v="13"/>
    <x v="2"/>
    <x v="26"/>
    <x v="23"/>
    <x v="26"/>
    <x v="0"/>
    <x v="18"/>
    <x v="0"/>
  </r>
  <r>
    <x v="27"/>
    <x v="27"/>
    <x v="4"/>
    <x v="13"/>
    <x v="13"/>
    <x v="12"/>
    <x v="27"/>
    <x v="13"/>
    <x v="24"/>
    <x v="27"/>
    <x v="27"/>
    <x v="27"/>
    <x v="9"/>
    <x v="1"/>
    <x v="27"/>
    <x v="24"/>
    <x v="27"/>
    <x v="0"/>
    <x v="19"/>
    <x v="0"/>
  </r>
  <r>
    <x v="28"/>
    <x v="28"/>
    <x v="0"/>
    <x v="8"/>
    <x v="8"/>
    <x v="5"/>
    <x v="28"/>
    <x v="5"/>
    <x v="26"/>
    <x v="28"/>
    <x v="28"/>
    <x v="28"/>
    <x v="14"/>
    <x v="1"/>
    <x v="28"/>
    <x v="25"/>
    <x v="28"/>
    <x v="1"/>
    <x v="13"/>
    <x v="10"/>
  </r>
  <r>
    <x v="29"/>
    <x v="29"/>
    <x v="1"/>
    <x v="2"/>
    <x v="2"/>
    <x v="13"/>
    <x v="29"/>
    <x v="14"/>
    <x v="27"/>
    <x v="29"/>
    <x v="29"/>
    <x v="29"/>
    <x v="17"/>
    <x v="1"/>
    <x v="29"/>
    <x v="26"/>
    <x v="29"/>
    <x v="0"/>
    <x v="20"/>
    <x v="0"/>
  </r>
  <r>
    <x v="30"/>
    <x v="30"/>
    <x v="4"/>
    <x v="11"/>
    <x v="11"/>
    <x v="9"/>
    <x v="30"/>
    <x v="9"/>
    <x v="0"/>
    <x v="30"/>
    <x v="30"/>
    <x v="30"/>
    <x v="9"/>
    <x v="2"/>
    <x v="30"/>
    <x v="27"/>
    <x v="30"/>
    <x v="1"/>
    <x v="0"/>
    <x v="11"/>
  </r>
  <r>
    <x v="31"/>
    <x v="31"/>
    <x v="7"/>
    <x v="4"/>
    <x v="4"/>
    <x v="11"/>
    <x v="31"/>
    <x v="12"/>
    <x v="28"/>
    <x v="31"/>
    <x v="31"/>
    <x v="31"/>
    <x v="18"/>
    <x v="2"/>
    <x v="31"/>
    <x v="20"/>
    <x v="31"/>
    <x v="0"/>
    <x v="8"/>
    <x v="0"/>
  </r>
  <r>
    <x v="32"/>
    <x v="32"/>
    <x v="0"/>
    <x v="14"/>
    <x v="14"/>
    <x v="2"/>
    <x v="32"/>
    <x v="2"/>
    <x v="23"/>
    <x v="32"/>
    <x v="32"/>
    <x v="32"/>
    <x v="19"/>
    <x v="2"/>
    <x v="32"/>
    <x v="28"/>
    <x v="32"/>
    <x v="0"/>
    <x v="18"/>
    <x v="0"/>
  </r>
  <r>
    <x v="33"/>
    <x v="33"/>
    <x v="4"/>
    <x v="15"/>
    <x v="15"/>
    <x v="1"/>
    <x v="33"/>
    <x v="1"/>
    <x v="29"/>
    <x v="33"/>
    <x v="33"/>
    <x v="33"/>
    <x v="20"/>
    <x v="0"/>
    <x v="33"/>
    <x v="29"/>
    <x v="33"/>
    <x v="0"/>
    <x v="14"/>
    <x v="0"/>
  </r>
  <r>
    <x v="34"/>
    <x v="34"/>
    <x v="7"/>
    <x v="10"/>
    <x v="10"/>
    <x v="11"/>
    <x v="34"/>
    <x v="12"/>
    <x v="30"/>
    <x v="34"/>
    <x v="34"/>
    <x v="34"/>
    <x v="21"/>
    <x v="0"/>
    <x v="34"/>
    <x v="30"/>
    <x v="34"/>
    <x v="0"/>
    <x v="13"/>
    <x v="0"/>
  </r>
  <r>
    <x v="35"/>
    <x v="35"/>
    <x v="3"/>
    <x v="3"/>
    <x v="3"/>
    <x v="6"/>
    <x v="22"/>
    <x v="6"/>
    <x v="31"/>
    <x v="18"/>
    <x v="35"/>
    <x v="35"/>
    <x v="22"/>
    <x v="2"/>
    <x v="35"/>
    <x v="31"/>
    <x v="35"/>
    <x v="0"/>
    <x v="11"/>
    <x v="0"/>
  </r>
  <r>
    <x v="36"/>
    <x v="36"/>
    <x v="6"/>
    <x v="16"/>
    <x v="16"/>
    <x v="7"/>
    <x v="35"/>
    <x v="7"/>
    <x v="4"/>
    <x v="35"/>
    <x v="36"/>
    <x v="36"/>
    <x v="23"/>
    <x v="0"/>
    <x v="5"/>
    <x v="32"/>
    <x v="36"/>
    <x v="0"/>
    <x v="5"/>
    <x v="0"/>
  </r>
  <r>
    <x v="37"/>
    <x v="37"/>
    <x v="2"/>
    <x v="4"/>
    <x v="4"/>
    <x v="3"/>
    <x v="24"/>
    <x v="3"/>
    <x v="32"/>
    <x v="36"/>
    <x v="14"/>
    <x v="37"/>
    <x v="24"/>
    <x v="2"/>
    <x v="36"/>
    <x v="33"/>
    <x v="37"/>
    <x v="0"/>
    <x v="9"/>
    <x v="0"/>
  </r>
  <r>
    <x v="38"/>
    <x v="38"/>
    <x v="6"/>
    <x v="17"/>
    <x v="17"/>
    <x v="8"/>
    <x v="36"/>
    <x v="8"/>
    <x v="18"/>
    <x v="37"/>
    <x v="37"/>
    <x v="38"/>
    <x v="25"/>
    <x v="0"/>
    <x v="37"/>
    <x v="34"/>
    <x v="38"/>
    <x v="1"/>
    <x v="7"/>
    <x v="12"/>
  </r>
  <r>
    <x v="39"/>
    <x v="39"/>
    <x v="1"/>
    <x v="2"/>
    <x v="2"/>
    <x v="1"/>
    <x v="37"/>
    <x v="1"/>
    <x v="17"/>
    <x v="38"/>
    <x v="38"/>
    <x v="39"/>
    <x v="26"/>
    <x v="2"/>
    <x v="38"/>
    <x v="35"/>
    <x v="39"/>
    <x v="1"/>
    <x v="6"/>
    <x v="13"/>
  </r>
  <r>
    <x v="40"/>
    <x v="40"/>
    <x v="6"/>
    <x v="3"/>
    <x v="3"/>
    <x v="9"/>
    <x v="38"/>
    <x v="9"/>
    <x v="33"/>
    <x v="39"/>
    <x v="39"/>
    <x v="40"/>
    <x v="27"/>
    <x v="2"/>
    <x v="39"/>
    <x v="36"/>
    <x v="40"/>
    <x v="1"/>
    <x v="5"/>
    <x v="14"/>
  </r>
  <r>
    <x v="41"/>
    <x v="41"/>
    <x v="1"/>
    <x v="0"/>
    <x v="0"/>
    <x v="7"/>
    <x v="39"/>
    <x v="7"/>
    <x v="34"/>
    <x v="40"/>
    <x v="40"/>
    <x v="41"/>
    <x v="28"/>
    <x v="0"/>
    <x v="3"/>
    <x v="37"/>
    <x v="41"/>
    <x v="0"/>
    <x v="16"/>
    <x v="0"/>
  </r>
  <r>
    <x v="42"/>
    <x v="42"/>
    <x v="3"/>
    <x v="18"/>
    <x v="18"/>
    <x v="6"/>
    <x v="40"/>
    <x v="11"/>
    <x v="33"/>
    <x v="41"/>
    <x v="15"/>
    <x v="42"/>
    <x v="29"/>
    <x v="3"/>
    <x v="40"/>
    <x v="22"/>
    <x v="42"/>
    <x v="0"/>
    <x v="11"/>
    <x v="0"/>
  </r>
  <r>
    <x v="43"/>
    <x v="43"/>
    <x v="4"/>
    <x v="6"/>
    <x v="6"/>
    <x v="12"/>
    <x v="41"/>
    <x v="13"/>
    <x v="23"/>
    <x v="42"/>
    <x v="41"/>
    <x v="43"/>
    <x v="30"/>
    <x v="1"/>
    <x v="23"/>
    <x v="38"/>
    <x v="43"/>
    <x v="1"/>
    <x v="21"/>
    <x v="15"/>
  </r>
  <r>
    <x v="44"/>
    <x v="44"/>
    <x v="1"/>
    <x v="0"/>
    <x v="0"/>
    <x v="2"/>
    <x v="42"/>
    <x v="2"/>
    <x v="35"/>
    <x v="43"/>
    <x v="42"/>
    <x v="44"/>
    <x v="31"/>
    <x v="1"/>
    <x v="41"/>
    <x v="39"/>
    <x v="44"/>
    <x v="1"/>
    <x v="16"/>
    <x v="16"/>
  </r>
  <r>
    <x v="45"/>
    <x v="45"/>
    <x v="0"/>
    <x v="7"/>
    <x v="7"/>
    <x v="8"/>
    <x v="43"/>
    <x v="8"/>
    <x v="36"/>
    <x v="44"/>
    <x v="43"/>
    <x v="45"/>
    <x v="32"/>
    <x v="1"/>
    <x v="42"/>
    <x v="40"/>
    <x v="45"/>
    <x v="0"/>
    <x v="22"/>
    <x v="0"/>
  </r>
  <r>
    <x v="46"/>
    <x v="46"/>
    <x v="1"/>
    <x v="16"/>
    <x v="16"/>
    <x v="14"/>
    <x v="44"/>
    <x v="15"/>
    <x v="37"/>
    <x v="45"/>
    <x v="44"/>
    <x v="46"/>
    <x v="33"/>
    <x v="2"/>
    <x v="43"/>
    <x v="41"/>
    <x v="46"/>
    <x v="1"/>
    <x v="8"/>
    <x v="17"/>
  </r>
  <r>
    <x v="47"/>
    <x v="47"/>
    <x v="1"/>
    <x v="4"/>
    <x v="4"/>
    <x v="4"/>
    <x v="4"/>
    <x v="4"/>
    <x v="38"/>
    <x v="46"/>
    <x v="45"/>
    <x v="47"/>
    <x v="34"/>
    <x v="3"/>
    <x v="34"/>
    <x v="42"/>
    <x v="47"/>
    <x v="1"/>
    <x v="23"/>
    <x v="18"/>
  </r>
  <r>
    <x v="48"/>
    <x v="48"/>
    <x v="6"/>
    <x v="0"/>
    <x v="0"/>
    <x v="5"/>
    <x v="45"/>
    <x v="5"/>
    <x v="11"/>
    <x v="47"/>
    <x v="46"/>
    <x v="48"/>
    <x v="35"/>
    <x v="2"/>
    <x v="11"/>
    <x v="43"/>
    <x v="48"/>
    <x v="0"/>
    <x v="24"/>
    <x v="0"/>
  </r>
  <r>
    <x v="49"/>
    <x v="49"/>
    <x v="4"/>
    <x v="18"/>
    <x v="18"/>
    <x v="6"/>
    <x v="40"/>
    <x v="11"/>
    <x v="39"/>
    <x v="48"/>
    <x v="47"/>
    <x v="49"/>
    <x v="36"/>
    <x v="0"/>
    <x v="44"/>
    <x v="44"/>
    <x v="49"/>
    <x v="1"/>
    <x v="11"/>
    <x v="18"/>
  </r>
  <r>
    <x v="50"/>
    <x v="50"/>
    <x v="2"/>
    <x v="13"/>
    <x v="13"/>
    <x v="10"/>
    <x v="46"/>
    <x v="10"/>
    <x v="32"/>
    <x v="49"/>
    <x v="21"/>
    <x v="50"/>
    <x v="37"/>
    <x v="2"/>
    <x v="45"/>
    <x v="45"/>
    <x v="50"/>
    <x v="1"/>
    <x v="25"/>
    <x v="12"/>
  </r>
  <r>
    <x v="51"/>
    <x v="51"/>
    <x v="2"/>
    <x v="16"/>
    <x v="16"/>
    <x v="15"/>
    <x v="47"/>
    <x v="16"/>
    <x v="15"/>
    <x v="50"/>
    <x v="48"/>
    <x v="51"/>
    <x v="38"/>
    <x v="1"/>
    <x v="46"/>
    <x v="46"/>
    <x v="51"/>
    <x v="1"/>
    <x v="19"/>
    <x v="19"/>
  </r>
  <r>
    <x v="52"/>
    <x v="52"/>
    <x v="4"/>
    <x v="4"/>
    <x v="19"/>
    <x v="3"/>
    <x v="24"/>
    <x v="3"/>
    <x v="40"/>
    <x v="51"/>
    <x v="49"/>
    <x v="52"/>
    <x v="39"/>
    <x v="2"/>
    <x v="47"/>
    <x v="47"/>
    <x v="52"/>
    <x v="0"/>
    <x v="4"/>
    <x v="0"/>
  </r>
  <r>
    <x v="53"/>
    <x v="35"/>
    <x v="2"/>
    <x v="15"/>
    <x v="15"/>
    <x v="9"/>
    <x v="48"/>
    <x v="9"/>
    <x v="40"/>
    <x v="52"/>
    <x v="50"/>
    <x v="53"/>
    <x v="40"/>
    <x v="1"/>
    <x v="48"/>
    <x v="4"/>
    <x v="53"/>
    <x v="1"/>
    <x v="11"/>
    <x v="20"/>
  </r>
  <r>
    <x v="54"/>
    <x v="53"/>
    <x v="1"/>
    <x v="4"/>
    <x v="4"/>
    <x v="3"/>
    <x v="24"/>
    <x v="3"/>
    <x v="41"/>
    <x v="53"/>
    <x v="51"/>
    <x v="54"/>
    <x v="41"/>
    <x v="0"/>
    <x v="49"/>
    <x v="48"/>
    <x v="54"/>
    <x v="1"/>
    <x v="12"/>
    <x v="21"/>
  </r>
  <r>
    <x v="55"/>
    <x v="54"/>
    <x v="5"/>
    <x v="8"/>
    <x v="8"/>
    <x v="0"/>
    <x v="49"/>
    <x v="0"/>
    <x v="42"/>
    <x v="54"/>
    <x v="52"/>
    <x v="55"/>
    <x v="42"/>
    <x v="0"/>
    <x v="50"/>
    <x v="49"/>
    <x v="55"/>
    <x v="0"/>
    <x v="21"/>
    <x v="0"/>
  </r>
  <r>
    <x v="56"/>
    <x v="55"/>
    <x v="2"/>
    <x v="16"/>
    <x v="16"/>
    <x v="3"/>
    <x v="50"/>
    <x v="3"/>
    <x v="43"/>
    <x v="55"/>
    <x v="53"/>
    <x v="56"/>
    <x v="43"/>
    <x v="3"/>
    <x v="51"/>
    <x v="5"/>
    <x v="56"/>
    <x v="2"/>
    <x v="8"/>
    <x v="0"/>
  </r>
  <r>
    <x v="57"/>
    <x v="56"/>
    <x v="1"/>
    <x v="18"/>
    <x v="18"/>
    <x v="9"/>
    <x v="51"/>
    <x v="9"/>
    <x v="44"/>
    <x v="56"/>
    <x v="54"/>
    <x v="57"/>
    <x v="44"/>
    <x v="1"/>
    <x v="52"/>
    <x v="50"/>
    <x v="57"/>
    <x v="0"/>
    <x v="26"/>
    <x v="0"/>
  </r>
  <r>
    <x v="58"/>
    <x v="45"/>
    <x v="3"/>
    <x v="0"/>
    <x v="0"/>
    <x v="4"/>
    <x v="26"/>
    <x v="4"/>
    <x v="26"/>
    <x v="57"/>
    <x v="55"/>
    <x v="58"/>
    <x v="45"/>
    <x v="1"/>
    <x v="2"/>
    <x v="34"/>
    <x v="58"/>
    <x v="0"/>
    <x v="22"/>
    <x v="0"/>
  </r>
  <r>
    <x v="59"/>
    <x v="57"/>
    <x v="6"/>
    <x v="16"/>
    <x v="16"/>
    <x v="14"/>
    <x v="44"/>
    <x v="15"/>
    <x v="11"/>
    <x v="58"/>
    <x v="56"/>
    <x v="59"/>
    <x v="46"/>
    <x v="2"/>
    <x v="6"/>
    <x v="51"/>
    <x v="59"/>
    <x v="0"/>
    <x v="4"/>
    <x v="0"/>
  </r>
  <r>
    <x v="60"/>
    <x v="58"/>
    <x v="3"/>
    <x v="9"/>
    <x v="9"/>
    <x v="8"/>
    <x v="52"/>
    <x v="8"/>
    <x v="45"/>
    <x v="59"/>
    <x v="57"/>
    <x v="60"/>
    <x v="47"/>
    <x v="1"/>
    <x v="53"/>
    <x v="52"/>
    <x v="60"/>
    <x v="1"/>
    <x v="14"/>
    <x v="22"/>
  </r>
  <r>
    <x v="61"/>
    <x v="59"/>
    <x v="4"/>
    <x v="16"/>
    <x v="16"/>
    <x v="7"/>
    <x v="35"/>
    <x v="7"/>
    <x v="31"/>
    <x v="60"/>
    <x v="52"/>
    <x v="61"/>
    <x v="48"/>
    <x v="0"/>
    <x v="54"/>
    <x v="53"/>
    <x v="61"/>
    <x v="2"/>
    <x v="22"/>
    <x v="0"/>
  </r>
  <r>
    <x v="62"/>
    <x v="60"/>
    <x v="1"/>
    <x v="0"/>
    <x v="0"/>
    <x v="6"/>
    <x v="6"/>
    <x v="11"/>
    <x v="46"/>
    <x v="61"/>
    <x v="58"/>
    <x v="62"/>
    <x v="49"/>
    <x v="2"/>
    <x v="55"/>
    <x v="54"/>
    <x v="62"/>
    <x v="1"/>
    <x v="24"/>
    <x v="23"/>
  </r>
  <r>
    <x v="63"/>
    <x v="61"/>
    <x v="0"/>
    <x v="1"/>
    <x v="1"/>
    <x v="14"/>
    <x v="53"/>
    <x v="15"/>
    <x v="47"/>
    <x v="62"/>
    <x v="5"/>
    <x v="63"/>
    <x v="50"/>
    <x v="2"/>
    <x v="56"/>
    <x v="55"/>
    <x v="63"/>
    <x v="1"/>
    <x v="27"/>
    <x v="24"/>
  </r>
  <r>
    <x v="64"/>
    <x v="62"/>
    <x v="4"/>
    <x v="14"/>
    <x v="14"/>
    <x v="6"/>
    <x v="54"/>
    <x v="6"/>
    <x v="0"/>
    <x v="63"/>
    <x v="59"/>
    <x v="64"/>
    <x v="51"/>
    <x v="2"/>
    <x v="57"/>
    <x v="56"/>
    <x v="64"/>
    <x v="0"/>
    <x v="28"/>
    <x v="0"/>
  </r>
  <r>
    <x v="65"/>
    <x v="63"/>
    <x v="6"/>
    <x v="14"/>
    <x v="14"/>
    <x v="7"/>
    <x v="55"/>
    <x v="7"/>
    <x v="47"/>
    <x v="64"/>
    <x v="60"/>
    <x v="34"/>
    <x v="52"/>
    <x v="0"/>
    <x v="58"/>
    <x v="57"/>
    <x v="65"/>
    <x v="0"/>
    <x v="27"/>
    <x v="0"/>
  </r>
  <r>
    <x v="66"/>
    <x v="64"/>
    <x v="4"/>
    <x v="12"/>
    <x v="12"/>
    <x v="3"/>
    <x v="56"/>
    <x v="3"/>
    <x v="48"/>
    <x v="46"/>
    <x v="61"/>
    <x v="65"/>
    <x v="53"/>
    <x v="2"/>
    <x v="59"/>
    <x v="58"/>
    <x v="66"/>
    <x v="1"/>
    <x v="25"/>
    <x v="0"/>
  </r>
  <r>
    <x v="67"/>
    <x v="65"/>
    <x v="3"/>
    <x v="6"/>
    <x v="6"/>
    <x v="1"/>
    <x v="57"/>
    <x v="1"/>
    <x v="7"/>
    <x v="65"/>
    <x v="44"/>
    <x v="66"/>
    <x v="54"/>
    <x v="1"/>
    <x v="60"/>
    <x v="59"/>
    <x v="67"/>
    <x v="0"/>
    <x v="25"/>
    <x v="0"/>
  </r>
  <r>
    <x v="68"/>
    <x v="66"/>
    <x v="6"/>
    <x v="5"/>
    <x v="5"/>
    <x v="2"/>
    <x v="58"/>
    <x v="2"/>
    <x v="2"/>
    <x v="66"/>
    <x v="62"/>
    <x v="67"/>
    <x v="55"/>
    <x v="1"/>
    <x v="61"/>
    <x v="57"/>
    <x v="68"/>
    <x v="0"/>
    <x v="1"/>
    <x v="0"/>
  </r>
  <r>
    <x v="69"/>
    <x v="67"/>
    <x v="0"/>
    <x v="16"/>
    <x v="16"/>
    <x v="6"/>
    <x v="59"/>
    <x v="11"/>
    <x v="2"/>
    <x v="67"/>
    <x v="63"/>
    <x v="68"/>
    <x v="56"/>
    <x v="1"/>
    <x v="62"/>
    <x v="60"/>
    <x v="69"/>
    <x v="1"/>
    <x v="29"/>
    <x v="25"/>
  </r>
  <r>
    <x v="70"/>
    <x v="6"/>
    <x v="4"/>
    <x v="11"/>
    <x v="11"/>
    <x v="0"/>
    <x v="60"/>
    <x v="0"/>
    <x v="9"/>
    <x v="68"/>
    <x v="23"/>
    <x v="69"/>
    <x v="57"/>
    <x v="2"/>
    <x v="40"/>
    <x v="35"/>
    <x v="70"/>
    <x v="0"/>
    <x v="4"/>
    <x v="0"/>
  </r>
  <r>
    <x v="71"/>
    <x v="68"/>
    <x v="6"/>
    <x v="6"/>
    <x v="6"/>
    <x v="16"/>
    <x v="61"/>
    <x v="17"/>
    <x v="38"/>
    <x v="69"/>
    <x v="64"/>
    <x v="70"/>
    <x v="58"/>
    <x v="2"/>
    <x v="14"/>
    <x v="61"/>
    <x v="71"/>
    <x v="0"/>
    <x v="27"/>
    <x v="0"/>
  </r>
  <r>
    <x v="72"/>
    <x v="69"/>
    <x v="6"/>
    <x v="14"/>
    <x v="14"/>
    <x v="17"/>
    <x v="62"/>
    <x v="18"/>
    <x v="49"/>
    <x v="70"/>
    <x v="65"/>
    <x v="71"/>
    <x v="59"/>
    <x v="1"/>
    <x v="63"/>
    <x v="62"/>
    <x v="72"/>
    <x v="0"/>
    <x v="0"/>
    <x v="0"/>
  </r>
  <r>
    <x v="73"/>
    <x v="70"/>
    <x v="4"/>
    <x v="18"/>
    <x v="18"/>
    <x v="1"/>
    <x v="63"/>
    <x v="1"/>
    <x v="50"/>
    <x v="71"/>
    <x v="21"/>
    <x v="72"/>
    <x v="9"/>
    <x v="1"/>
    <x v="48"/>
    <x v="63"/>
    <x v="73"/>
    <x v="0"/>
    <x v="30"/>
    <x v="0"/>
  </r>
  <r>
    <x v="74"/>
    <x v="71"/>
    <x v="7"/>
    <x v="8"/>
    <x v="8"/>
    <x v="8"/>
    <x v="64"/>
    <x v="8"/>
    <x v="51"/>
    <x v="72"/>
    <x v="66"/>
    <x v="73"/>
    <x v="60"/>
    <x v="1"/>
    <x v="64"/>
    <x v="64"/>
    <x v="74"/>
    <x v="0"/>
    <x v="12"/>
    <x v="0"/>
  </r>
  <r>
    <x v="75"/>
    <x v="36"/>
    <x v="1"/>
    <x v="1"/>
    <x v="1"/>
    <x v="8"/>
    <x v="12"/>
    <x v="8"/>
    <x v="42"/>
    <x v="73"/>
    <x v="67"/>
    <x v="74"/>
    <x v="61"/>
    <x v="1"/>
    <x v="65"/>
    <x v="65"/>
    <x v="75"/>
    <x v="0"/>
    <x v="5"/>
    <x v="0"/>
  </r>
  <r>
    <x v="76"/>
    <x v="72"/>
    <x v="6"/>
    <x v="11"/>
    <x v="11"/>
    <x v="17"/>
    <x v="65"/>
    <x v="18"/>
    <x v="9"/>
    <x v="74"/>
    <x v="54"/>
    <x v="75"/>
    <x v="62"/>
    <x v="1"/>
    <x v="66"/>
    <x v="24"/>
    <x v="76"/>
    <x v="0"/>
    <x v="20"/>
    <x v="0"/>
  </r>
  <r>
    <x v="77"/>
    <x v="29"/>
    <x v="5"/>
    <x v="6"/>
    <x v="6"/>
    <x v="3"/>
    <x v="66"/>
    <x v="3"/>
    <x v="37"/>
    <x v="75"/>
    <x v="68"/>
    <x v="76"/>
    <x v="63"/>
    <x v="0"/>
    <x v="67"/>
    <x v="66"/>
    <x v="77"/>
    <x v="2"/>
    <x v="20"/>
    <x v="0"/>
  </r>
  <r>
    <x v="78"/>
    <x v="44"/>
    <x v="0"/>
    <x v="3"/>
    <x v="3"/>
    <x v="6"/>
    <x v="22"/>
    <x v="11"/>
    <x v="6"/>
    <x v="76"/>
    <x v="69"/>
    <x v="77"/>
    <x v="64"/>
    <x v="2"/>
    <x v="68"/>
    <x v="67"/>
    <x v="78"/>
    <x v="1"/>
    <x v="16"/>
    <x v="26"/>
  </r>
  <r>
    <x v="79"/>
    <x v="73"/>
    <x v="3"/>
    <x v="8"/>
    <x v="8"/>
    <x v="12"/>
    <x v="67"/>
    <x v="13"/>
    <x v="26"/>
    <x v="77"/>
    <x v="6"/>
    <x v="78"/>
    <x v="65"/>
    <x v="1"/>
    <x v="69"/>
    <x v="68"/>
    <x v="79"/>
    <x v="0"/>
    <x v="19"/>
    <x v="0"/>
  </r>
  <r>
    <x v="80"/>
    <x v="74"/>
    <x v="3"/>
    <x v="2"/>
    <x v="2"/>
    <x v="6"/>
    <x v="68"/>
    <x v="11"/>
    <x v="13"/>
    <x v="78"/>
    <x v="70"/>
    <x v="79"/>
    <x v="66"/>
    <x v="0"/>
    <x v="70"/>
    <x v="69"/>
    <x v="80"/>
    <x v="0"/>
    <x v="26"/>
    <x v="0"/>
  </r>
  <r>
    <x v="81"/>
    <x v="75"/>
    <x v="6"/>
    <x v="0"/>
    <x v="0"/>
    <x v="12"/>
    <x v="69"/>
    <x v="13"/>
    <x v="52"/>
    <x v="79"/>
    <x v="71"/>
    <x v="80"/>
    <x v="67"/>
    <x v="1"/>
    <x v="71"/>
    <x v="70"/>
    <x v="81"/>
    <x v="2"/>
    <x v="18"/>
    <x v="0"/>
  </r>
  <r>
    <x v="82"/>
    <x v="76"/>
    <x v="4"/>
    <x v="0"/>
    <x v="0"/>
    <x v="7"/>
    <x v="39"/>
    <x v="7"/>
    <x v="19"/>
    <x v="80"/>
    <x v="72"/>
    <x v="81"/>
    <x v="68"/>
    <x v="3"/>
    <x v="72"/>
    <x v="11"/>
    <x v="82"/>
    <x v="0"/>
    <x v="17"/>
    <x v="0"/>
  </r>
  <r>
    <x v="83"/>
    <x v="77"/>
    <x v="0"/>
    <x v="7"/>
    <x v="7"/>
    <x v="3"/>
    <x v="70"/>
    <x v="3"/>
    <x v="48"/>
    <x v="14"/>
    <x v="73"/>
    <x v="82"/>
    <x v="69"/>
    <x v="1"/>
    <x v="73"/>
    <x v="71"/>
    <x v="83"/>
    <x v="0"/>
    <x v="27"/>
    <x v="0"/>
  </r>
  <r>
    <x v="84"/>
    <x v="78"/>
    <x v="1"/>
    <x v="18"/>
    <x v="18"/>
    <x v="11"/>
    <x v="71"/>
    <x v="12"/>
    <x v="4"/>
    <x v="81"/>
    <x v="74"/>
    <x v="16"/>
    <x v="11"/>
    <x v="0"/>
    <x v="74"/>
    <x v="72"/>
    <x v="84"/>
    <x v="1"/>
    <x v="23"/>
    <x v="27"/>
  </r>
  <r>
    <x v="85"/>
    <x v="5"/>
    <x v="3"/>
    <x v="4"/>
    <x v="4"/>
    <x v="14"/>
    <x v="72"/>
    <x v="15"/>
    <x v="37"/>
    <x v="82"/>
    <x v="75"/>
    <x v="83"/>
    <x v="70"/>
    <x v="0"/>
    <x v="75"/>
    <x v="73"/>
    <x v="85"/>
    <x v="0"/>
    <x v="3"/>
    <x v="0"/>
  </r>
  <r>
    <x v="86"/>
    <x v="79"/>
    <x v="3"/>
    <x v="0"/>
    <x v="0"/>
    <x v="9"/>
    <x v="73"/>
    <x v="9"/>
    <x v="43"/>
    <x v="83"/>
    <x v="76"/>
    <x v="84"/>
    <x v="71"/>
    <x v="2"/>
    <x v="76"/>
    <x v="74"/>
    <x v="86"/>
    <x v="1"/>
    <x v="2"/>
    <x v="28"/>
  </r>
  <r>
    <x v="87"/>
    <x v="80"/>
    <x v="5"/>
    <x v="7"/>
    <x v="7"/>
    <x v="12"/>
    <x v="74"/>
    <x v="13"/>
    <x v="53"/>
    <x v="84"/>
    <x v="77"/>
    <x v="85"/>
    <x v="72"/>
    <x v="0"/>
    <x v="19"/>
    <x v="75"/>
    <x v="87"/>
    <x v="0"/>
    <x v="3"/>
    <x v="0"/>
  </r>
  <r>
    <x v="88"/>
    <x v="81"/>
    <x v="5"/>
    <x v="1"/>
    <x v="1"/>
    <x v="9"/>
    <x v="16"/>
    <x v="9"/>
    <x v="54"/>
    <x v="85"/>
    <x v="78"/>
    <x v="86"/>
    <x v="73"/>
    <x v="0"/>
    <x v="77"/>
    <x v="76"/>
    <x v="88"/>
    <x v="1"/>
    <x v="3"/>
    <x v="29"/>
  </r>
  <r>
    <x v="89"/>
    <x v="82"/>
    <x v="5"/>
    <x v="9"/>
    <x v="9"/>
    <x v="4"/>
    <x v="75"/>
    <x v="4"/>
    <x v="26"/>
    <x v="85"/>
    <x v="79"/>
    <x v="87"/>
    <x v="74"/>
    <x v="0"/>
    <x v="78"/>
    <x v="77"/>
    <x v="89"/>
    <x v="0"/>
    <x v="31"/>
    <x v="0"/>
  </r>
  <r>
    <x v="90"/>
    <x v="83"/>
    <x v="3"/>
    <x v="17"/>
    <x v="17"/>
    <x v="16"/>
    <x v="76"/>
    <x v="17"/>
    <x v="55"/>
    <x v="86"/>
    <x v="80"/>
    <x v="88"/>
    <x v="75"/>
    <x v="2"/>
    <x v="79"/>
    <x v="67"/>
    <x v="90"/>
    <x v="2"/>
    <x v="6"/>
    <x v="0"/>
  </r>
  <r>
    <x v="91"/>
    <x v="84"/>
    <x v="5"/>
    <x v="5"/>
    <x v="5"/>
    <x v="6"/>
    <x v="77"/>
    <x v="6"/>
    <x v="56"/>
    <x v="87"/>
    <x v="81"/>
    <x v="89"/>
    <x v="76"/>
    <x v="2"/>
    <x v="80"/>
    <x v="78"/>
    <x v="91"/>
    <x v="0"/>
    <x v="3"/>
    <x v="0"/>
  </r>
  <r>
    <x v="92"/>
    <x v="85"/>
    <x v="0"/>
    <x v="11"/>
    <x v="11"/>
    <x v="18"/>
    <x v="78"/>
    <x v="19"/>
    <x v="0"/>
    <x v="88"/>
    <x v="82"/>
    <x v="90"/>
    <x v="77"/>
    <x v="0"/>
    <x v="81"/>
    <x v="79"/>
    <x v="92"/>
    <x v="0"/>
    <x v="24"/>
    <x v="0"/>
  </r>
  <r>
    <x v="93"/>
    <x v="86"/>
    <x v="2"/>
    <x v="9"/>
    <x v="9"/>
    <x v="12"/>
    <x v="79"/>
    <x v="13"/>
    <x v="57"/>
    <x v="56"/>
    <x v="83"/>
    <x v="91"/>
    <x v="78"/>
    <x v="2"/>
    <x v="82"/>
    <x v="27"/>
    <x v="93"/>
    <x v="0"/>
    <x v="32"/>
    <x v="0"/>
  </r>
  <r>
    <x v="94"/>
    <x v="87"/>
    <x v="1"/>
    <x v="4"/>
    <x v="19"/>
    <x v="14"/>
    <x v="72"/>
    <x v="15"/>
    <x v="38"/>
    <x v="89"/>
    <x v="84"/>
    <x v="92"/>
    <x v="79"/>
    <x v="1"/>
    <x v="83"/>
    <x v="69"/>
    <x v="94"/>
    <x v="1"/>
    <x v="3"/>
    <x v="30"/>
  </r>
  <r>
    <x v="95"/>
    <x v="88"/>
    <x v="2"/>
    <x v="10"/>
    <x v="10"/>
    <x v="8"/>
    <x v="80"/>
    <x v="8"/>
    <x v="58"/>
    <x v="90"/>
    <x v="85"/>
    <x v="93"/>
    <x v="80"/>
    <x v="2"/>
    <x v="84"/>
    <x v="80"/>
    <x v="95"/>
    <x v="1"/>
    <x v="33"/>
    <x v="14"/>
  </r>
  <r>
    <x v="96"/>
    <x v="89"/>
    <x v="6"/>
    <x v="15"/>
    <x v="15"/>
    <x v="6"/>
    <x v="81"/>
    <x v="11"/>
    <x v="55"/>
    <x v="91"/>
    <x v="86"/>
    <x v="94"/>
    <x v="81"/>
    <x v="1"/>
    <x v="85"/>
    <x v="81"/>
    <x v="96"/>
    <x v="0"/>
    <x v="17"/>
    <x v="0"/>
  </r>
  <r>
    <x v="97"/>
    <x v="90"/>
    <x v="5"/>
    <x v="9"/>
    <x v="9"/>
    <x v="11"/>
    <x v="25"/>
    <x v="12"/>
    <x v="59"/>
    <x v="92"/>
    <x v="87"/>
    <x v="95"/>
    <x v="82"/>
    <x v="1"/>
    <x v="10"/>
    <x v="82"/>
    <x v="97"/>
    <x v="0"/>
    <x v="30"/>
    <x v="0"/>
  </r>
  <r>
    <x v="98"/>
    <x v="91"/>
    <x v="1"/>
    <x v="17"/>
    <x v="17"/>
    <x v="7"/>
    <x v="82"/>
    <x v="7"/>
    <x v="60"/>
    <x v="93"/>
    <x v="88"/>
    <x v="96"/>
    <x v="83"/>
    <x v="0"/>
    <x v="86"/>
    <x v="7"/>
    <x v="98"/>
    <x v="0"/>
    <x v="0"/>
    <x v="0"/>
  </r>
  <r>
    <x v="99"/>
    <x v="92"/>
    <x v="2"/>
    <x v="9"/>
    <x v="9"/>
    <x v="9"/>
    <x v="83"/>
    <x v="9"/>
    <x v="12"/>
    <x v="94"/>
    <x v="89"/>
    <x v="97"/>
    <x v="84"/>
    <x v="0"/>
    <x v="87"/>
    <x v="83"/>
    <x v="99"/>
    <x v="1"/>
    <x v="18"/>
    <x v="31"/>
  </r>
  <r>
    <x v="100"/>
    <x v="93"/>
    <x v="2"/>
    <x v="14"/>
    <x v="14"/>
    <x v="2"/>
    <x v="32"/>
    <x v="2"/>
    <x v="28"/>
    <x v="95"/>
    <x v="90"/>
    <x v="98"/>
    <x v="85"/>
    <x v="0"/>
    <x v="88"/>
    <x v="84"/>
    <x v="100"/>
    <x v="0"/>
    <x v="7"/>
    <x v="0"/>
  </r>
  <r>
    <x v="101"/>
    <x v="11"/>
    <x v="1"/>
    <x v="9"/>
    <x v="9"/>
    <x v="9"/>
    <x v="83"/>
    <x v="9"/>
    <x v="61"/>
    <x v="96"/>
    <x v="91"/>
    <x v="99"/>
    <x v="86"/>
    <x v="1"/>
    <x v="72"/>
    <x v="24"/>
    <x v="101"/>
    <x v="1"/>
    <x v="9"/>
    <x v="32"/>
  </r>
  <r>
    <x v="102"/>
    <x v="94"/>
    <x v="7"/>
    <x v="15"/>
    <x v="15"/>
    <x v="13"/>
    <x v="84"/>
    <x v="14"/>
    <x v="44"/>
    <x v="97"/>
    <x v="88"/>
    <x v="100"/>
    <x v="87"/>
    <x v="2"/>
    <x v="89"/>
    <x v="85"/>
    <x v="102"/>
    <x v="0"/>
    <x v="21"/>
    <x v="0"/>
  </r>
  <r>
    <x v="103"/>
    <x v="95"/>
    <x v="0"/>
    <x v="4"/>
    <x v="4"/>
    <x v="1"/>
    <x v="85"/>
    <x v="1"/>
    <x v="18"/>
    <x v="98"/>
    <x v="92"/>
    <x v="101"/>
    <x v="88"/>
    <x v="1"/>
    <x v="88"/>
    <x v="86"/>
    <x v="103"/>
    <x v="1"/>
    <x v="30"/>
    <x v="33"/>
  </r>
  <r>
    <x v="104"/>
    <x v="96"/>
    <x v="0"/>
    <x v="9"/>
    <x v="9"/>
    <x v="13"/>
    <x v="86"/>
    <x v="14"/>
    <x v="1"/>
    <x v="99"/>
    <x v="93"/>
    <x v="102"/>
    <x v="12"/>
    <x v="0"/>
    <x v="16"/>
    <x v="13"/>
    <x v="104"/>
    <x v="0"/>
    <x v="34"/>
    <x v="0"/>
  </r>
  <r>
    <x v="105"/>
    <x v="97"/>
    <x v="7"/>
    <x v="18"/>
    <x v="18"/>
    <x v="1"/>
    <x v="63"/>
    <x v="1"/>
    <x v="62"/>
    <x v="100"/>
    <x v="94"/>
    <x v="103"/>
    <x v="89"/>
    <x v="0"/>
    <x v="90"/>
    <x v="13"/>
    <x v="105"/>
    <x v="0"/>
    <x v="31"/>
    <x v="0"/>
  </r>
  <r>
    <x v="106"/>
    <x v="98"/>
    <x v="0"/>
    <x v="1"/>
    <x v="1"/>
    <x v="10"/>
    <x v="87"/>
    <x v="10"/>
    <x v="1"/>
    <x v="101"/>
    <x v="95"/>
    <x v="104"/>
    <x v="90"/>
    <x v="2"/>
    <x v="12"/>
    <x v="15"/>
    <x v="106"/>
    <x v="1"/>
    <x v="17"/>
    <x v="34"/>
  </r>
  <r>
    <x v="107"/>
    <x v="99"/>
    <x v="5"/>
    <x v="15"/>
    <x v="15"/>
    <x v="9"/>
    <x v="48"/>
    <x v="9"/>
    <x v="41"/>
    <x v="102"/>
    <x v="75"/>
    <x v="105"/>
    <x v="91"/>
    <x v="0"/>
    <x v="91"/>
    <x v="87"/>
    <x v="107"/>
    <x v="0"/>
    <x v="8"/>
    <x v="0"/>
  </r>
  <r>
    <x v="108"/>
    <x v="100"/>
    <x v="5"/>
    <x v="7"/>
    <x v="7"/>
    <x v="4"/>
    <x v="88"/>
    <x v="4"/>
    <x v="27"/>
    <x v="103"/>
    <x v="30"/>
    <x v="106"/>
    <x v="92"/>
    <x v="0"/>
    <x v="92"/>
    <x v="88"/>
    <x v="108"/>
    <x v="0"/>
    <x v="23"/>
    <x v="0"/>
  </r>
  <r>
    <x v="109"/>
    <x v="101"/>
    <x v="7"/>
    <x v="14"/>
    <x v="14"/>
    <x v="10"/>
    <x v="89"/>
    <x v="10"/>
    <x v="54"/>
    <x v="46"/>
    <x v="96"/>
    <x v="107"/>
    <x v="93"/>
    <x v="0"/>
    <x v="33"/>
    <x v="9"/>
    <x v="109"/>
    <x v="0"/>
    <x v="6"/>
    <x v="0"/>
  </r>
  <r>
    <x v="110"/>
    <x v="102"/>
    <x v="1"/>
    <x v="17"/>
    <x v="17"/>
    <x v="8"/>
    <x v="36"/>
    <x v="8"/>
    <x v="63"/>
    <x v="104"/>
    <x v="97"/>
    <x v="108"/>
    <x v="94"/>
    <x v="2"/>
    <x v="64"/>
    <x v="89"/>
    <x v="110"/>
    <x v="0"/>
    <x v="0"/>
    <x v="0"/>
  </r>
  <r>
    <x v="111"/>
    <x v="103"/>
    <x v="1"/>
    <x v="5"/>
    <x v="5"/>
    <x v="5"/>
    <x v="5"/>
    <x v="5"/>
    <x v="50"/>
    <x v="105"/>
    <x v="40"/>
    <x v="109"/>
    <x v="95"/>
    <x v="2"/>
    <x v="93"/>
    <x v="90"/>
    <x v="111"/>
    <x v="0"/>
    <x v="0"/>
    <x v="0"/>
  </r>
  <r>
    <x v="112"/>
    <x v="104"/>
    <x v="3"/>
    <x v="6"/>
    <x v="6"/>
    <x v="2"/>
    <x v="90"/>
    <x v="2"/>
    <x v="51"/>
    <x v="106"/>
    <x v="98"/>
    <x v="110"/>
    <x v="96"/>
    <x v="0"/>
    <x v="94"/>
    <x v="18"/>
    <x v="112"/>
    <x v="0"/>
    <x v="34"/>
    <x v="0"/>
  </r>
  <r>
    <x v="113"/>
    <x v="105"/>
    <x v="6"/>
    <x v="16"/>
    <x v="16"/>
    <x v="11"/>
    <x v="91"/>
    <x v="12"/>
    <x v="53"/>
    <x v="107"/>
    <x v="99"/>
    <x v="111"/>
    <x v="97"/>
    <x v="1"/>
    <x v="95"/>
    <x v="91"/>
    <x v="113"/>
    <x v="0"/>
    <x v="7"/>
    <x v="0"/>
  </r>
  <r>
    <x v="114"/>
    <x v="106"/>
    <x v="5"/>
    <x v="4"/>
    <x v="4"/>
    <x v="1"/>
    <x v="85"/>
    <x v="1"/>
    <x v="64"/>
    <x v="108"/>
    <x v="100"/>
    <x v="112"/>
    <x v="98"/>
    <x v="0"/>
    <x v="96"/>
    <x v="92"/>
    <x v="114"/>
    <x v="0"/>
    <x v="27"/>
    <x v="0"/>
  </r>
  <r>
    <x v="115"/>
    <x v="107"/>
    <x v="2"/>
    <x v="3"/>
    <x v="3"/>
    <x v="7"/>
    <x v="92"/>
    <x v="7"/>
    <x v="65"/>
    <x v="109"/>
    <x v="81"/>
    <x v="113"/>
    <x v="99"/>
    <x v="1"/>
    <x v="97"/>
    <x v="24"/>
    <x v="115"/>
    <x v="0"/>
    <x v="26"/>
    <x v="0"/>
  </r>
  <r>
    <x v="116"/>
    <x v="108"/>
    <x v="0"/>
    <x v="1"/>
    <x v="1"/>
    <x v="7"/>
    <x v="93"/>
    <x v="7"/>
    <x v="66"/>
    <x v="74"/>
    <x v="33"/>
    <x v="114"/>
    <x v="100"/>
    <x v="1"/>
    <x v="55"/>
    <x v="67"/>
    <x v="116"/>
    <x v="1"/>
    <x v="15"/>
    <x v="17"/>
  </r>
  <r>
    <x v="117"/>
    <x v="109"/>
    <x v="5"/>
    <x v="12"/>
    <x v="12"/>
    <x v="16"/>
    <x v="94"/>
    <x v="17"/>
    <x v="67"/>
    <x v="110"/>
    <x v="101"/>
    <x v="115"/>
    <x v="101"/>
    <x v="0"/>
    <x v="98"/>
    <x v="93"/>
    <x v="117"/>
    <x v="0"/>
    <x v="8"/>
    <x v="0"/>
  </r>
  <r>
    <x v="118"/>
    <x v="110"/>
    <x v="2"/>
    <x v="8"/>
    <x v="8"/>
    <x v="10"/>
    <x v="95"/>
    <x v="10"/>
    <x v="68"/>
    <x v="111"/>
    <x v="102"/>
    <x v="116"/>
    <x v="102"/>
    <x v="1"/>
    <x v="99"/>
    <x v="94"/>
    <x v="118"/>
    <x v="1"/>
    <x v="30"/>
    <x v="35"/>
  </r>
  <r>
    <x v="119"/>
    <x v="1"/>
    <x v="4"/>
    <x v="10"/>
    <x v="10"/>
    <x v="18"/>
    <x v="96"/>
    <x v="19"/>
    <x v="54"/>
    <x v="112"/>
    <x v="102"/>
    <x v="117"/>
    <x v="103"/>
    <x v="1"/>
    <x v="80"/>
    <x v="95"/>
    <x v="119"/>
    <x v="0"/>
    <x v="1"/>
    <x v="0"/>
  </r>
  <r>
    <x v="120"/>
    <x v="111"/>
    <x v="3"/>
    <x v="4"/>
    <x v="4"/>
    <x v="14"/>
    <x v="72"/>
    <x v="15"/>
    <x v="24"/>
    <x v="113"/>
    <x v="103"/>
    <x v="118"/>
    <x v="104"/>
    <x v="0"/>
    <x v="100"/>
    <x v="93"/>
    <x v="120"/>
    <x v="0"/>
    <x v="30"/>
    <x v="0"/>
  </r>
  <r>
    <x v="121"/>
    <x v="112"/>
    <x v="3"/>
    <x v="3"/>
    <x v="3"/>
    <x v="17"/>
    <x v="97"/>
    <x v="18"/>
    <x v="41"/>
    <x v="114"/>
    <x v="104"/>
    <x v="119"/>
    <x v="105"/>
    <x v="0"/>
    <x v="101"/>
    <x v="96"/>
    <x v="121"/>
    <x v="0"/>
    <x v="20"/>
    <x v="0"/>
  </r>
  <r>
    <x v="122"/>
    <x v="113"/>
    <x v="1"/>
    <x v="13"/>
    <x v="13"/>
    <x v="0"/>
    <x v="98"/>
    <x v="0"/>
    <x v="31"/>
    <x v="115"/>
    <x v="105"/>
    <x v="120"/>
    <x v="106"/>
    <x v="0"/>
    <x v="102"/>
    <x v="47"/>
    <x v="122"/>
    <x v="1"/>
    <x v="33"/>
    <x v="36"/>
  </r>
  <r>
    <x v="123"/>
    <x v="114"/>
    <x v="4"/>
    <x v="2"/>
    <x v="2"/>
    <x v="0"/>
    <x v="99"/>
    <x v="0"/>
    <x v="69"/>
    <x v="116"/>
    <x v="106"/>
    <x v="121"/>
    <x v="107"/>
    <x v="1"/>
    <x v="14"/>
    <x v="97"/>
    <x v="123"/>
    <x v="1"/>
    <x v="35"/>
    <x v="0"/>
  </r>
  <r>
    <x v="124"/>
    <x v="34"/>
    <x v="7"/>
    <x v="4"/>
    <x v="4"/>
    <x v="13"/>
    <x v="100"/>
    <x v="14"/>
    <x v="70"/>
    <x v="45"/>
    <x v="107"/>
    <x v="122"/>
    <x v="13"/>
    <x v="2"/>
    <x v="80"/>
    <x v="98"/>
    <x v="124"/>
    <x v="1"/>
    <x v="13"/>
    <x v="37"/>
  </r>
  <r>
    <x v="125"/>
    <x v="115"/>
    <x v="4"/>
    <x v="11"/>
    <x v="11"/>
    <x v="10"/>
    <x v="17"/>
    <x v="10"/>
    <x v="9"/>
    <x v="117"/>
    <x v="40"/>
    <x v="123"/>
    <x v="108"/>
    <x v="1"/>
    <x v="30"/>
    <x v="27"/>
    <x v="30"/>
    <x v="0"/>
    <x v="21"/>
    <x v="0"/>
  </r>
  <r>
    <x v="126"/>
    <x v="116"/>
    <x v="2"/>
    <x v="9"/>
    <x v="9"/>
    <x v="17"/>
    <x v="101"/>
    <x v="18"/>
    <x v="26"/>
    <x v="8"/>
    <x v="108"/>
    <x v="124"/>
    <x v="109"/>
    <x v="1"/>
    <x v="17"/>
    <x v="99"/>
    <x v="125"/>
    <x v="0"/>
    <x v="1"/>
    <x v="0"/>
  </r>
  <r>
    <x v="127"/>
    <x v="117"/>
    <x v="0"/>
    <x v="0"/>
    <x v="0"/>
    <x v="13"/>
    <x v="102"/>
    <x v="14"/>
    <x v="8"/>
    <x v="118"/>
    <x v="109"/>
    <x v="125"/>
    <x v="110"/>
    <x v="2"/>
    <x v="103"/>
    <x v="100"/>
    <x v="126"/>
    <x v="0"/>
    <x v="34"/>
    <x v="0"/>
  </r>
  <r>
    <x v="128"/>
    <x v="118"/>
    <x v="5"/>
    <x v="14"/>
    <x v="14"/>
    <x v="9"/>
    <x v="103"/>
    <x v="9"/>
    <x v="1"/>
    <x v="119"/>
    <x v="110"/>
    <x v="126"/>
    <x v="111"/>
    <x v="0"/>
    <x v="70"/>
    <x v="101"/>
    <x v="127"/>
    <x v="0"/>
    <x v="33"/>
    <x v="0"/>
  </r>
  <r>
    <x v="129"/>
    <x v="119"/>
    <x v="1"/>
    <x v="4"/>
    <x v="19"/>
    <x v="10"/>
    <x v="104"/>
    <x v="10"/>
    <x v="11"/>
    <x v="120"/>
    <x v="111"/>
    <x v="127"/>
    <x v="112"/>
    <x v="0"/>
    <x v="1"/>
    <x v="63"/>
    <x v="128"/>
    <x v="1"/>
    <x v="23"/>
    <x v="38"/>
  </r>
  <r>
    <x v="130"/>
    <x v="120"/>
    <x v="4"/>
    <x v="6"/>
    <x v="6"/>
    <x v="4"/>
    <x v="105"/>
    <x v="4"/>
    <x v="7"/>
    <x v="121"/>
    <x v="112"/>
    <x v="128"/>
    <x v="113"/>
    <x v="1"/>
    <x v="104"/>
    <x v="37"/>
    <x v="129"/>
    <x v="0"/>
    <x v="21"/>
    <x v="0"/>
  </r>
  <r>
    <x v="131"/>
    <x v="121"/>
    <x v="2"/>
    <x v="9"/>
    <x v="9"/>
    <x v="4"/>
    <x v="75"/>
    <x v="4"/>
    <x v="23"/>
    <x v="122"/>
    <x v="113"/>
    <x v="129"/>
    <x v="114"/>
    <x v="0"/>
    <x v="105"/>
    <x v="102"/>
    <x v="130"/>
    <x v="0"/>
    <x v="0"/>
    <x v="0"/>
  </r>
  <r>
    <x v="132"/>
    <x v="122"/>
    <x v="5"/>
    <x v="16"/>
    <x v="16"/>
    <x v="4"/>
    <x v="106"/>
    <x v="4"/>
    <x v="19"/>
    <x v="123"/>
    <x v="104"/>
    <x v="130"/>
    <x v="115"/>
    <x v="1"/>
    <x v="106"/>
    <x v="103"/>
    <x v="131"/>
    <x v="0"/>
    <x v="30"/>
    <x v="0"/>
  </r>
  <r>
    <x v="133"/>
    <x v="123"/>
    <x v="7"/>
    <x v="11"/>
    <x v="11"/>
    <x v="0"/>
    <x v="60"/>
    <x v="0"/>
    <x v="43"/>
    <x v="124"/>
    <x v="114"/>
    <x v="131"/>
    <x v="116"/>
    <x v="2"/>
    <x v="107"/>
    <x v="104"/>
    <x v="132"/>
    <x v="0"/>
    <x v="4"/>
    <x v="0"/>
  </r>
  <r>
    <x v="134"/>
    <x v="124"/>
    <x v="6"/>
    <x v="7"/>
    <x v="7"/>
    <x v="14"/>
    <x v="107"/>
    <x v="15"/>
    <x v="10"/>
    <x v="125"/>
    <x v="115"/>
    <x v="132"/>
    <x v="117"/>
    <x v="0"/>
    <x v="108"/>
    <x v="105"/>
    <x v="133"/>
    <x v="0"/>
    <x v="29"/>
    <x v="0"/>
  </r>
  <r>
    <x v="135"/>
    <x v="125"/>
    <x v="5"/>
    <x v="17"/>
    <x v="17"/>
    <x v="17"/>
    <x v="108"/>
    <x v="18"/>
    <x v="71"/>
    <x v="126"/>
    <x v="116"/>
    <x v="133"/>
    <x v="118"/>
    <x v="0"/>
    <x v="109"/>
    <x v="106"/>
    <x v="134"/>
    <x v="0"/>
    <x v="6"/>
    <x v="0"/>
  </r>
  <r>
    <x v="136"/>
    <x v="126"/>
    <x v="3"/>
    <x v="16"/>
    <x v="16"/>
    <x v="18"/>
    <x v="109"/>
    <x v="19"/>
    <x v="17"/>
    <x v="127"/>
    <x v="117"/>
    <x v="134"/>
    <x v="119"/>
    <x v="1"/>
    <x v="110"/>
    <x v="107"/>
    <x v="135"/>
    <x v="2"/>
    <x v="6"/>
    <x v="0"/>
  </r>
  <r>
    <x v="137"/>
    <x v="127"/>
    <x v="5"/>
    <x v="7"/>
    <x v="7"/>
    <x v="18"/>
    <x v="110"/>
    <x v="19"/>
    <x v="65"/>
    <x v="128"/>
    <x v="118"/>
    <x v="135"/>
    <x v="120"/>
    <x v="0"/>
    <x v="111"/>
    <x v="108"/>
    <x v="136"/>
    <x v="0"/>
    <x v="14"/>
    <x v="0"/>
  </r>
  <r>
    <x v="138"/>
    <x v="128"/>
    <x v="1"/>
    <x v="5"/>
    <x v="5"/>
    <x v="5"/>
    <x v="5"/>
    <x v="5"/>
    <x v="63"/>
    <x v="129"/>
    <x v="119"/>
    <x v="136"/>
    <x v="121"/>
    <x v="1"/>
    <x v="112"/>
    <x v="98"/>
    <x v="137"/>
    <x v="1"/>
    <x v="7"/>
    <x v="39"/>
  </r>
  <r>
    <x v="139"/>
    <x v="111"/>
    <x v="2"/>
    <x v="7"/>
    <x v="7"/>
    <x v="14"/>
    <x v="107"/>
    <x v="15"/>
    <x v="56"/>
    <x v="130"/>
    <x v="57"/>
    <x v="137"/>
    <x v="122"/>
    <x v="2"/>
    <x v="113"/>
    <x v="109"/>
    <x v="138"/>
    <x v="0"/>
    <x v="30"/>
    <x v="0"/>
  </r>
  <r>
    <x v="140"/>
    <x v="129"/>
    <x v="7"/>
    <x v="0"/>
    <x v="0"/>
    <x v="7"/>
    <x v="39"/>
    <x v="7"/>
    <x v="5"/>
    <x v="131"/>
    <x v="120"/>
    <x v="138"/>
    <x v="123"/>
    <x v="2"/>
    <x v="114"/>
    <x v="101"/>
    <x v="139"/>
    <x v="0"/>
    <x v="0"/>
    <x v="0"/>
  </r>
  <r>
    <x v="141"/>
    <x v="130"/>
    <x v="5"/>
    <x v="12"/>
    <x v="12"/>
    <x v="5"/>
    <x v="111"/>
    <x v="5"/>
    <x v="72"/>
    <x v="132"/>
    <x v="121"/>
    <x v="139"/>
    <x v="124"/>
    <x v="1"/>
    <x v="45"/>
    <x v="18"/>
    <x v="140"/>
    <x v="1"/>
    <x v="19"/>
    <x v="40"/>
  </r>
  <r>
    <x v="142"/>
    <x v="131"/>
    <x v="2"/>
    <x v="10"/>
    <x v="10"/>
    <x v="0"/>
    <x v="112"/>
    <x v="0"/>
    <x v="14"/>
    <x v="133"/>
    <x v="122"/>
    <x v="140"/>
    <x v="125"/>
    <x v="2"/>
    <x v="115"/>
    <x v="36"/>
    <x v="141"/>
    <x v="0"/>
    <x v="15"/>
    <x v="0"/>
  </r>
  <r>
    <x v="143"/>
    <x v="132"/>
    <x v="3"/>
    <x v="3"/>
    <x v="3"/>
    <x v="6"/>
    <x v="22"/>
    <x v="11"/>
    <x v="34"/>
    <x v="134"/>
    <x v="123"/>
    <x v="141"/>
    <x v="126"/>
    <x v="1"/>
    <x v="77"/>
    <x v="101"/>
    <x v="142"/>
    <x v="0"/>
    <x v="4"/>
    <x v="0"/>
  </r>
  <r>
    <x v="144"/>
    <x v="40"/>
    <x v="5"/>
    <x v="16"/>
    <x v="16"/>
    <x v="7"/>
    <x v="35"/>
    <x v="7"/>
    <x v="32"/>
    <x v="135"/>
    <x v="124"/>
    <x v="142"/>
    <x v="127"/>
    <x v="2"/>
    <x v="12"/>
    <x v="20"/>
    <x v="143"/>
    <x v="0"/>
    <x v="5"/>
    <x v="0"/>
  </r>
  <r>
    <x v="145"/>
    <x v="133"/>
    <x v="5"/>
    <x v="10"/>
    <x v="10"/>
    <x v="15"/>
    <x v="113"/>
    <x v="16"/>
    <x v="19"/>
    <x v="136"/>
    <x v="125"/>
    <x v="143"/>
    <x v="128"/>
    <x v="2"/>
    <x v="116"/>
    <x v="109"/>
    <x v="144"/>
    <x v="1"/>
    <x v="14"/>
    <x v="41"/>
  </r>
  <r>
    <x v="146"/>
    <x v="134"/>
    <x v="1"/>
    <x v="13"/>
    <x v="13"/>
    <x v="3"/>
    <x v="114"/>
    <x v="3"/>
    <x v="73"/>
    <x v="20"/>
    <x v="126"/>
    <x v="144"/>
    <x v="129"/>
    <x v="0"/>
    <x v="5"/>
    <x v="79"/>
    <x v="95"/>
    <x v="2"/>
    <x v="10"/>
    <x v="0"/>
  </r>
  <r>
    <x v="147"/>
    <x v="135"/>
    <x v="3"/>
    <x v="3"/>
    <x v="3"/>
    <x v="14"/>
    <x v="115"/>
    <x v="15"/>
    <x v="36"/>
    <x v="137"/>
    <x v="127"/>
    <x v="145"/>
    <x v="130"/>
    <x v="0"/>
    <x v="117"/>
    <x v="28"/>
    <x v="145"/>
    <x v="0"/>
    <x v="20"/>
    <x v="0"/>
  </r>
  <r>
    <x v="148"/>
    <x v="136"/>
    <x v="4"/>
    <x v="3"/>
    <x v="3"/>
    <x v="12"/>
    <x v="116"/>
    <x v="13"/>
    <x v="49"/>
    <x v="138"/>
    <x v="128"/>
    <x v="146"/>
    <x v="131"/>
    <x v="3"/>
    <x v="21"/>
    <x v="93"/>
    <x v="146"/>
    <x v="0"/>
    <x v="24"/>
    <x v="0"/>
  </r>
  <r>
    <x v="149"/>
    <x v="93"/>
    <x v="3"/>
    <x v="16"/>
    <x v="16"/>
    <x v="10"/>
    <x v="117"/>
    <x v="10"/>
    <x v="55"/>
    <x v="139"/>
    <x v="129"/>
    <x v="147"/>
    <x v="132"/>
    <x v="1"/>
    <x v="118"/>
    <x v="110"/>
    <x v="147"/>
    <x v="1"/>
    <x v="7"/>
    <x v="42"/>
  </r>
  <r>
    <x v="150"/>
    <x v="137"/>
    <x v="3"/>
    <x v="5"/>
    <x v="5"/>
    <x v="1"/>
    <x v="118"/>
    <x v="1"/>
    <x v="74"/>
    <x v="140"/>
    <x v="130"/>
    <x v="148"/>
    <x v="124"/>
    <x v="1"/>
    <x v="95"/>
    <x v="111"/>
    <x v="148"/>
    <x v="0"/>
    <x v="29"/>
    <x v="0"/>
  </r>
  <r>
    <x v="151"/>
    <x v="138"/>
    <x v="7"/>
    <x v="7"/>
    <x v="7"/>
    <x v="2"/>
    <x v="119"/>
    <x v="2"/>
    <x v="0"/>
    <x v="141"/>
    <x v="34"/>
    <x v="149"/>
    <x v="133"/>
    <x v="2"/>
    <x v="59"/>
    <x v="7"/>
    <x v="149"/>
    <x v="0"/>
    <x v="14"/>
    <x v="0"/>
  </r>
  <r>
    <x v="152"/>
    <x v="139"/>
    <x v="6"/>
    <x v="6"/>
    <x v="6"/>
    <x v="11"/>
    <x v="120"/>
    <x v="12"/>
    <x v="35"/>
    <x v="142"/>
    <x v="8"/>
    <x v="150"/>
    <x v="134"/>
    <x v="2"/>
    <x v="119"/>
    <x v="75"/>
    <x v="150"/>
    <x v="0"/>
    <x v="9"/>
    <x v="0"/>
  </r>
  <r>
    <x v="153"/>
    <x v="138"/>
    <x v="7"/>
    <x v="6"/>
    <x v="6"/>
    <x v="9"/>
    <x v="19"/>
    <x v="9"/>
    <x v="45"/>
    <x v="143"/>
    <x v="17"/>
    <x v="151"/>
    <x v="135"/>
    <x v="1"/>
    <x v="84"/>
    <x v="112"/>
    <x v="151"/>
    <x v="1"/>
    <x v="14"/>
    <x v="43"/>
  </r>
  <r>
    <x v="154"/>
    <x v="140"/>
    <x v="4"/>
    <x v="11"/>
    <x v="11"/>
    <x v="8"/>
    <x v="121"/>
    <x v="8"/>
    <x v="29"/>
    <x v="144"/>
    <x v="131"/>
    <x v="25"/>
    <x v="136"/>
    <x v="1"/>
    <x v="10"/>
    <x v="54"/>
    <x v="152"/>
    <x v="1"/>
    <x v="14"/>
    <x v="0"/>
  </r>
  <r>
    <x v="155"/>
    <x v="141"/>
    <x v="3"/>
    <x v="14"/>
    <x v="14"/>
    <x v="10"/>
    <x v="89"/>
    <x v="10"/>
    <x v="23"/>
    <x v="145"/>
    <x v="38"/>
    <x v="152"/>
    <x v="14"/>
    <x v="2"/>
    <x v="25"/>
    <x v="113"/>
    <x v="153"/>
    <x v="0"/>
    <x v="13"/>
    <x v="0"/>
  </r>
  <r>
    <x v="156"/>
    <x v="65"/>
    <x v="0"/>
    <x v="11"/>
    <x v="11"/>
    <x v="17"/>
    <x v="65"/>
    <x v="18"/>
    <x v="47"/>
    <x v="146"/>
    <x v="132"/>
    <x v="153"/>
    <x v="137"/>
    <x v="0"/>
    <x v="120"/>
    <x v="60"/>
    <x v="154"/>
    <x v="0"/>
    <x v="25"/>
    <x v="0"/>
  </r>
  <r>
    <x v="157"/>
    <x v="142"/>
    <x v="3"/>
    <x v="7"/>
    <x v="7"/>
    <x v="11"/>
    <x v="122"/>
    <x v="12"/>
    <x v="75"/>
    <x v="147"/>
    <x v="133"/>
    <x v="154"/>
    <x v="138"/>
    <x v="0"/>
    <x v="89"/>
    <x v="93"/>
    <x v="155"/>
    <x v="0"/>
    <x v="5"/>
    <x v="0"/>
  </r>
  <r>
    <x v="158"/>
    <x v="143"/>
    <x v="2"/>
    <x v="12"/>
    <x v="12"/>
    <x v="16"/>
    <x v="94"/>
    <x v="17"/>
    <x v="21"/>
    <x v="148"/>
    <x v="134"/>
    <x v="155"/>
    <x v="139"/>
    <x v="1"/>
    <x v="19"/>
    <x v="86"/>
    <x v="156"/>
    <x v="1"/>
    <x v="21"/>
    <x v="44"/>
  </r>
  <r>
    <x v="159"/>
    <x v="144"/>
    <x v="0"/>
    <x v="4"/>
    <x v="19"/>
    <x v="7"/>
    <x v="123"/>
    <x v="7"/>
    <x v="10"/>
    <x v="149"/>
    <x v="135"/>
    <x v="156"/>
    <x v="140"/>
    <x v="0"/>
    <x v="82"/>
    <x v="30"/>
    <x v="157"/>
    <x v="0"/>
    <x v="32"/>
    <x v="0"/>
  </r>
  <r>
    <x v="160"/>
    <x v="145"/>
    <x v="4"/>
    <x v="9"/>
    <x v="9"/>
    <x v="2"/>
    <x v="124"/>
    <x v="2"/>
    <x v="76"/>
    <x v="150"/>
    <x v="67"/>
    <x v="157"/>
    <x v="141"/>
    <x v="1"/>
    <x v="121"/>
    <x v="68"/>
    <x v="158"/>
    <x v="1"/>
    <x v="5"/>
    <x v="45"/>
  </r>
  <r>
    <x v="161"/>
    <x v="146"/>
    <x v="2"/>
    <x v="6"/>
    <x v="6"/>
    <x v="1"/>
    <x v="57"/>
    <x v="1"/>
    <x v="77"/>
    <x v="151"/>
    <x v="58"/>
    <x v="158"/>
    <x v="142"/>
    <x v="1"/>
    <x v="1"/>
    <x v="84"/>
    <x v="159"/>
    <x v="1"/>
    <x v="24"/>
    <x v="3"/>
  </r>
  <r>
    <x v="162"/>
    <x v="147"/>
    <x v="6"/>
    <x v="18"/>
    <x v="18"/>
    <x v="3"/>
    <x v="125"/>
    <x v="3"/>
    <x v="44"/>
    <x v="152"/>
    <x v="14"/>
    <x v="159"/>
    <x v="143"/>
    <x v="0"/>
    <x v="81"/>
    <x v="49"/>
    <x v="160"/>
    <x v="1"/>
    <x v="18"/>
    <x v="46"/>
  </r>
  <r>
    <x v="163"/>
    <x v="148"/>
    <x v="2"/>
    <x v="13"/>
    <x v="13"/>
    <x v="3"/>
    <x v="114"/>
    <x v="3"/>
    <x v="45"/>
    <x v="153"/>
    <x v="136"/>
    <x v="160"/>
    <x v="144"/>
    <x v="1"/>
    <x v="122"/>
    <x v="70"/>
    <x v="161"/>
    <x v="2"/>
    <x v="16"/>
    <x v="0"/>
  </r>
  <r>
    <x v="164"/>
    <x v="149"/>
    <x v="7"/>
    <x v="11"/>
    <x v="11"/>
    <x v="14"/>
    <x v="126"/>
    <x v="15"/>
    <x v="72"/>
    <x v="154"/>
    <x v="137"/>
    <x v="161"/>
    <x v="145"/>
    <x v="0"/>
    <x v="123"/>
    <x v="0"/>
    <x v="162"/>
    <x v="0"/>
    <x v="30"/>
    <x v="0"/>
  </r>
  <r>
    <x v="165"/>
    <x v="150"/>
    <x v="7"/>
    <x v="9"/>
    <x v="9"/>
    <x v="16"/>
    <x v="127"/>
    <x v="17"/>
    <x v="69"/>
    <x v="155"/>
    <x v="138"/>
    <x v="162"/>
    <x v="146"/>
    <x v="0"/>
    <x v="30"/>
    <x v="107"/>
    <x v="163"/>
    <x v="0"/>
    <x v="2"/>
    <x v="0"/>
  </r>
  <r>
    <x v="166"/>
    <x v="151"/>
    <x v="4"/>
    <x v="12"/>
    <x v="12"/>
    <x v="9"/>
    <x v="128"/>
    <x v="9"/>
    <x v="14"/>
    <x v="28"/>
    <x v="139"/>
    <x v="163"/>
    <x v="147"/>
    <x v="3"/>
    <x v="55"/>
    <x v="114"/>
    <x v="164"/>
    <x v="0"/>
    <x v="1"/>
    <x v="0"/>
  </r>
  <r>
    <x v="167"/>
    <x v="152"/>
    <x v="7"/>
    <x v="12"/>
    <x v="12"/>
    <x v="11"/>
    <x v="129"/>
    <x v="12"/>
    <x v="78"/>
    <x v="156"/>
    <x v="140"/>
    <x v="18"/>
    <x v="148"/>
    <x v="0"/>
    <x v="87"/>
    <x v="9"/>
    <x v="165"/>
    <x v="1"/>
    <x v="28"/>
    <x v="47"/>
  </r>
  <r>
    <x v="168"/>
    <x v="153"/>
    <x v="4"/>
    <x v="2"/>
    <x v="2"/>
    <x v="4"/>
    <x v="130"/>
    <x v="4"/>
    <x v="64"/>
    <x v="157"/>
    <x v="141"/>
    <x v="164"/>
    <x v="149"/>
    <x v="2"/>
    <x v="124"/>
    <x v="115"/>
    <x v="166"/>
    <x v="0"/>
    <x v="15"/>
    <x v="0"/>
  </r>
  <r>
    <x v="169"/>
    <x v="154"/>
    <x v="7"/>
    <x v="16"/>
    <x v="16"/>
    <x v="6"/>
    <x v="59"/>
    <x v="6"/>
    <x v="79"/>
    <x v="158"/>
    <x v="142"/>
    <x v="165"/>
    <x v="150"/>
    <x v="2"/>
    <x v="125"/>
    <x v="74"/>
    <x v="167"/>
    <x v="0"/>
    <x v="8"/>
    <x v="0"/>
  </r>
  <r>
    <x v="170"/>
    <x v="155"/>
    <x v="7"/>
    <x v="2"/>
    <x v="2"/>
    <x v="12"/>
    <x v="131"/>
    <x v="13"/>
    <x v="16"/>
    <x v="159"/>
    <x v="143"/>
    <x v="166"/>
    <x v="151"/>
    <x v="2"/>
    <x v="93"/>
    <x v="56"/>
    <x v="168"/>
    <x v="1"/>
    <x v="33"/>
    <x v="48"/>
  </r>
  <r>
    <x v="171"/>
    <x v="156"/>
    <x v="2"/>
    <x v="4"/>
    <x v="4"/>
    <x v="10"/>
    <x v="104"/>
    <x v="10"/>
    <x v="80"/>
    <x v="160"/>
    <x v="144"/>
    <x v="167"/>
    <x v="152"/>
    <x v="2"/>
    <x v="126"/>
    <x v="116"/>
    <x v="169"/>
    <x v="0"/>
    <x v="6"/>
    <x v="0"/>
  </r>
  <r>
    <x v="172"/>
    <x v="157"/>
    <x v="7"/>
    <x v="12"/>
    <x v="12"/>
    <x v="11"/>
    <x v="129"/>
    <x v="12"/>
    <x v="36"/>
    <x v="161"/>
    <x v="22"/>
    <x v="168"/>
    <x v="153"/>
    <x v="2"/>
    <x v="127"/>
    <x v="100"/>
    <x v="170"/>
    <x v="0"/>
    <x v="33"/>
    <x v="0"/>
  </r>
  <r>
    <x v="173"/>
    <x v="158"/>
    <x v="4"/>
    <x v="10"/>
    <x v="10"/>
    <x v="11"/>
    <x v="34"/>
    <x v="12"/>
    <x v="72"/>
    <x v="162"/>
    <x v="145"/>
    <x v="169"/>
    <x v="154"/>
    <x v="2"/>
    <x v="128"/>
    <x v="37"/>
    <x v="171"/>
    <x v="0"/>
    <x v="20"/>
    <x v="0"/>
  </r>
  <r>
    <x v="174"/>
    <x v="159"/>
    <x v="2"/>
    <x v="17"/>
    <x v="17"/>
    <x v="6"/>
    <x v="132"/>
    <x v="6"/>
    <x v="81"/>
    <x v="163"/>
    <x v="146"/>
    <x v="170"/>
    <x v="155"/>
    <x v="0"/>
    <x v="121"/>
    <x v="117"/>
    <x v="172"/>
    <x v="0"/>
    <x v="33"/>
    <x v="0"/>
  </r>
  <r>
    <x v="175"/>
    <x v="160"/>
    <x v="2"/>
    <x v="4"/>
    <x v="4"/>
    <x v="8"/>
    <x v="133"/>
    <x v="8"/>
    <x v="24"/>
    <x v="164"/>
    <x v="35"/>
    <x v="171"/>
    <x v="156"/>
    <x v="0"/>
    <x v="129"/>
    <x v="92"/>
    <x v="173"/>
    <x v="0"/>
    <x v="22"/>
    <x v="0"/>
  </r>
  <r>
    <x v="176"/>
    <x v="161"/>
    <x v="6"/>
    <x v="14"/>
    <x v="14"/>
    <x v="0"/>
    <x v="134"/>
    <x v="0"/>
    <x v="82"/>
    <x v="165"/>
    <x v="8"/>
    <x v="172"/>
    <x v="157"/>
    <x v="2"/>
    <x v="38"/>
    <x v="20"/>
    <x v="174"/>
    <x v="0"/>
    <x v="22"/>
    <x v="0"/>
  </r>
  <r>
    <x v="177"/>
    <x v="162"/>
    <x v="0"/>
    <x v="13"/>
    <x v="13"/>
    <x v="2"/>
    <x v="135"/>
    <x v="2"/>
    <x v="32"/>
    <x v="166"/>
    <x v="147"/>
    <x v="173"/>
    <x v="158"/>
    <x v="2"/>
    <x v="130"/>
    <x v="118"/>
    <x v="175"/>
    <x v="0"/>
    <x v="33"/>
    <x v="0"/>
  </r>
  <r>
    <x v="178"/>
    <x v="140"/>
    <x v="4"/>
    <x v="5"/>
    <x v="5"/>
    <x v="6"/>
    <x v="77"/>
    <x v="11"/>
    <x v="74"/>
    <x v="167"/>
    <x v="21"/>
    <x v="174"/>
    <x v="159"/>
    <x v="1"/>
    <x v="42"/>
    <x v="37"/>
    <x v="176"/>
    <x v="1"/>
    <x v="14"/>
    <x v="49"/>
  </r>
  <r>
    <x v="179"/>
    <x v="163"/>
    <x v="2"/>
    <x v="7"/>
    <x v="7"/>
    <x v="7"/>
    <x v="9"/>
    <x v="7"/>
    <x v="64"/>
    <x v="168"/>
    <x v="148"/>
    <x v="13"/>
    <x v="160"/>
    <x v="1"/>
    <x v="51"/>
    <x v="119"/>
    <x v="177"/>
    <x v="2"/>
    <x v="6"/>
    <x v="0"/>
  </r>
  <r>
    <x v="180"/>
    <x v="164"/>
    <x v="3"/>
    <x v="1"/>
    <x v="1"/>
    <x v="12"/>
    <x v="136"/>
    <x v="13"/>
    <x v="54"/>
    <x v="169"/>
    <x v="149"/>
    <x v="175"/>
    <x v="161"/>
    <x v="1"/>
    <x v="77"/>
    <x v="120"/>
    <x v="178"/>
    <x v="0"/>
    <x v="29"/>
    <x v="0"/>
  </r>
  <r>
    <x v="181"/>
    <x v="165"/>
    <x v="3"/>
    <x v="0"/>
    <x v="0"/>
    <x v="13"/>
    <x v="102"/>
    <x v="14"/>
    <x v="83"/>
    <x v="170"/>
    <x v="150"/>
    <x v="176"/>
    <x v="162"/>
    <x v="3"/>
    <x v="22"/>
    <x v="97"/>
    <x v="179"/>
    <x v="0"/>
    <x v="23"/>
    <x v="0"/>
  </r>
  <r>
    <x v="182"/>
    <x v="166"/>
    <x v="6"/>
    <x v="3"/>
    <x v="3"/>
    <x v="4"/>
    <x v="137"/>
    <x v="4"/>
    <x v="61"/>
    <x v="152"/>
    <x v="151"/>
    <x v="177"/>
    <x v="163"/>
    <x v="2"/>
    <x v="76"/>
    <x v="121"/>
    <x v="180"/>
    <x v="1"/>
    <x v="25"/>
    <x v="50"/>
  </r>
  <r>
    <x v="183"/>
    <x v="167"/>
    <x v="7"/>
    <x v="1"/>
    <x v="1"/>
    <x v="8"/>
    <x v="12"/>
    <x v="8"/>
    <x v="2"/>
    <x v="80"/>
    <x v="152"/>
    <x v="178"/>
    <x v="164"/>
    <x v="0"/>
    <x v="131"/>
    <x v="96"/>
    <x v="181"/>
    <x v="0"/>
    <x v="35"/>
    <x v="0"/>
  </r>
  <r>
    <x v="184"/>
    <x v="168"/>
    <x v="0"/>
    <x v="13"/>
    <x v="13"/>
    <x v="8"/>
    <x v="138"/>
    <x v="8"/>
    <x v="50"/>
    <x v="171"/>
    <x v="153"/>
    <x v="179"/>
    <x v="165"/>
    <x v="2"/>
    <x v="18"/>
    <x v="67"/>
    <x v="182"/>
    <x v="2"/>
    <x v="2"/>
    <x v="0"/>
  </r>
  <r>
    <x v="185"/>
    <x v="169"/>
    <x v="2"/>
    <x v="17"/>
    <x v="17"/>
    <x v="2"/>
    <x v="139"/>
    <x v="2"/>
    <x v="73"/>
    <x v="172"/>
    <x v="154"/>
    <x v="180"/>
    <x v="166"/>
    <x v="1"/>
    <x v="22"/>
    <x v="122"/>
    <x v="183"/>
    <x v="0"/>
    <x v="11"/>
    <x v="0"/>
  </r>
  <r>
    <x v="186"/>
    <x v="170"/>
    <x v="6"/>
    <x v="11"/>
    <x v="11"/>
    <x v="6"/>
    <x v="140"/>
    <x v="6"/>
    <x v="33"/>
    <x v="117"/>
    <x v="38"/>
    <x v="181"/>
    <x v="167"/>
    <x v="2"/>
    <x v="132"/>
    <x v="97"/>
    <x v="184"/>
    <x v="0"/>
    <x v="30"/>
    <x v="0"/>
  </r>
  <r>
    <x v="187"/>
    <x v="171"/>
    <x v="6"/>
    <x v="5"/>
    <x v="5"/>
    <x v="6"/>
    <x v="77"/>
    <x v="11"/>
    <x v="29"/>
    <x v="173"/>
    <x v="155"/>
    <x v="182"/>
    <x v="168"/>
    <x v="0"/>
    <x v="25"/>
    <x v="81"/>
    <x v="185"/>
    <x v="1"/>
    <x v="34"/>
    <x v="51"/>
  </r>
  <r>
    <x v="188"/>
    <x v="172"/>
    <x v="6"/>
    <x v="18"/>
    <x v="18"/>
    <x v="18"/>
    <x v="141"/>
    <x v="19"/>
    <x v="45"/>
    <x v="174"/>
    <x v="13"/>
    <x v="183"/>
    <x v="169"/>
    <x v="2"/>
    <x v="20"/>
    <x v="123"/>
    <x v="186"/>
    <x v="0"/>
    <x v="24"/>
    <x v="0"/>
  </r>
  <r>
    <x v="189"/>
    <x v="173"/>
    <x v="1"/>
    <x v="7"/>
    <x v="7"/>
    <x v="0"/>
    <x v="142"/>
    <x v="0"/>
    <x v="71"/>
    <x v="175"/>
    <x v="156"/>
    <x v="184"/>
    <x v="170"/>
    <x v="0"/>
    <x v="133"/>
    <x v="56"/>
    <x v="187"/>
    <x v="0"/>
    <x v="10"/>
    <x v="0"/>
  </r>
  <r>
    <x v="190"/>
    <x v="174"/>
    <x v="6"/>
    <x v="16"/>
    <x v="16"/>
    <x v="16"/>
    <x v="143"/>
    <x v="17"/>
    <x v="41"/>
    <x v="176"/>
    <x v="157"/>
    <x v="185"/>
    <x v="171"/>
    <x v="1"/>
    <x v="134"/>
    <x v="14"/>
    <x v="188"/>
    <x v="0"/>
    <x v="9"/>
    <x v="0"/>
  </r>
  <r>
    <x v="191"/>
    <x v="175"/>
    <x v="3"/>
    <x v="15"/>
    <x v="15"/>
    <x v="11"/>
    <x v="144"/>
    <x v="12"/>
    <x v="67"/>
    <x v="79"/>
    <x v="143"/>
    <x v="186"/>
    <x v="172"/>
    <x v="2"/>
    <x v="4"/>
    <x v="124"/>
    <x v="189"/>
    <x v="1"/>
    <x v="24"/>
    <x v="52"/>
  </r>
  <r>
    <x v="192"/>
    <x v="176"/>
    <x v="7"/>
    <x v="6"/>
    <x v="6"/>
    <x v="9"/>
    <x v="19"/>
    <x v="9"/>
    <x v="66"/>
    <x v="177"/>
    <x v="48"/>
    <x v="187"/>
    <x v="173"/>
    <x v="0"/>
    <x v="1"/>
    <x v="51"/>
    <x v="190"/>
    <x v="0"/>
    <x v="8"/>
    <x v="0"/>
  </r>
  <r>
    <x v="193"/>
    <x v="177"/>
    <x v="0"/>
    <x v="4"/>
    <x v="4"/>
    <x v="4"/>
    <x v="4"/>
    <x v="4"/>
    <x v="22"/>
    <x v="178"/>
    <x v="158"/>
    <x v="188"/>
    <x v="174"/>
    <x v="0"/>
    <x v="129"/>
    <x v="34"/>
    <x v="191"/>
    <x v="0"/>
    <x v="7"/>
    <x v="0"/>
  </r>
  <r>
    <x v="194"/>
    <x v="178"/>
    <x v="2"/>
    <x v="11"/>
    <x v="11"/>
    <x v="9"/>
    <x v="30"/>
    <x v="9"/>
    <x v="30"/>
    <x v="179"/>
    <x v="159"/>
    <x v="189"/>
    <x v="15"/>
    <x v="1"/>
    <x v="66"/>
    <x v="34"/>
    <x v="192"/>
    <x v="0"/>
    <x v="33"/>
    <x v="0"/>
  </r>
  <r>
    <x v="195"/>
    <x v="179"/>
    <x v="7"/>
    <x v="15"/>
    <x v="15"/>
    <x v="1"/>
    <x v="33"/>
    <x v="1"/>
    <x v="82"/>
    <x v="180"/>
    <x v="29"/>
    <x v="190"/>
    <x v="175"/>
    <x v="0"/>
    <x v="129"/>
    <x v="19"/>
    <x v="193"/>
    <x v="0"/>
    <x v="2"/>
    <x v="0"/>
  </r>
  <r>
    <x v="196"/>
    <x v="180"/>
    <x v="7"/>
    <x v="5"/>
    <x v="5"/>
    <x v="3"/>
    <x v="145"/>
    <x v="3"/>
    <x v="63"/>
    <x v="181"/>
    <x v="112"/>
    <x v="191"/>
    <x v="176"/>
    <x v="2"/>
    <x v="135"/>
    <x v="74"/>
    <x v="194"/>
    <x v="0"/>
    <x v="22"/>
    <x v="0"/>
  </r>
  <r>
    <x v="197"/>
    <x v="181"/>
    <x v="0"/>
    <x v="4"/>
    <x v="4"/>
    <x v="10"/>
    <x v="104"/>
    <x v="10"/>
    <x v="64"/>
    <x v="182"/>
    <x v="160"/>
    <x v="192"/>
    <x v="177"/>
    <x v="2"/>
    <x v="136"/>
    <x v="89"/>
    <x v="195"/>
    <x v="0"/>
    <x v="34"/>
    <x v="0"/>
  </r>
  <r>
    <x v="198"/>
    <x v="182"/>
    <x v="2"/>
    <x v="4"/>
    <x v="19"/>
    <x v="16"/>
    <x v="146"/>
    <x v="17"/>
    <x v="84"/>
    <x v="183"/>
    <x v="61"/>
    <x v="193"/>
    <x v="178"/>
    <x v="0"/>
    <x v="137"/>
    <x v="125"/>
    <x v="196"/>
    <x v="0"/>
    <x v="19"/>
    <x v="0"/>
  </r>
  <r>
    <x v="199"/>
    <x v="183"/>
    <x v="7"/>
    <x v="13"/>
    <x v="13"/>
    <x v="8"/>
    <x v="138"/>
    <x v="8"/>
    <x v="80"/>
    <x v="184"/>
    <x v="29"/>
    <x v="194"/>
    <x v="179"/>
    <x v="2"/>
    <x v="138"/>
    <x v="126"/>
    <x v="197"/>
    <x v="1"/>
    <x v="34"/>
    <x v="28"/>
  </r>
  <r>
    <x v="200"/>
    <x v="184"/>
    <x v="7"/>
    <x v="2"/>
    <x v="2"/>
    <x v="8"/>
    <x v="147"/>
    <x v="8"/>
    <x v="60"/>
    <x v="185"/>
    <x v="71"/>
    <x v="195"/>
    <x v="180"/>
    <x v="0"/>
    <x v="139"/>
    <x v="81"/>
    <x v="198"/>
    <x v="0"/>
    <x v="34"/>
    <x v="0"/>
  </r>
  <r>
    <x v="201"/>
    <x v="165"/>
    <x v="0"/>
    <x v="14"/>
    <x v="14"/>
    <x v="2"/>
    <x v="32"/>
    <x v="2"/>
    <x v="61"/>
    <x v="124"/>
    <x v="161"/>
    <x v="196"/>
    <x v="181"/>
    <x v="0"/>
    <x v="140"/>
    <x v="86"/>
    <x v="199"/>
    <x v="0"/>
    <x v="23"/>
    <x v="0"/>
  </r>
  <r>
    <x v="202"/>
    <x v="185"/>
    <x v="6"/>
    <x v="6"/>
    <x v="6"/>
    <x v="0"/>
    <x v="148"/>
    <x v="0"/>
    <x v="28"/>
    <x v="186"/>
    <x v="162"/>
    <x v="197"/>
    <x v="182"/>
    <x v="0"/>
    <x v="4"/>
    <x v="92"/>
    <x v="200"/>
    <x v="1"/>
    <x v="2"/>
    <x v="53"/>
  </r>
  <r>
    <x v="203"/>
    <x v="22"/>
    <x v="5"/>
    <x v="4"/>
    <x v="4"/>
    <x v="11"/>
    <x v="31"/>
    <x v="12"/>
    <x v="8"/>
    <x v="187"/>
    <x v="163"/>
    <x v="198"/>
    <x v="183"/>
    <x v="1"/>
    <x v="141"/>
    <x v="24"/>
    <x v="201"/>
    <x v="0"/>
    <x v="10"/>
    <x v="0"/>
  </r>
  <r>
    <x v="204"/>
    <x v="186"/>
    <x v="7"/>
    <x v="16"/>
    <x v="16"/>
    <x v="18"/>
    <x v="109"/>
    <x v="19"/>
    <x v="53"/>
    <x v="188"/>
    <x v="164"/>
    <x v="199"/>
    <x v="184"/>
    <x v="1"/>
    <x v="142"/>
    <x v="127"/>
    <x v="202"/>
    <x v="0"/>
    <x v="12"/>
    <x v="0"/>
  </r>
  <r>
    <x v="205"/>
    <x v="187"/>
    <x v="0"/>
    <x v="4"/>
    <x v="4"/>
    <x v="5"/>
    <x v="149"/>
    <x v="5"/>
    <x v="74"/>
    <x v="49"/>
    <x v="165"/>
    <x v="200"/>
    <x v="185"/>
    <x v="1"/>
    <x v="66"/>
    <x v="128"/>
    <x v="203"/>
    <x v="0"/>
    <x v="1"/>
    <x v="0"/>
  </r>
  <r>
    <x v="206"/>
    <x v="96"/>
    <x v="1"/>
    <x v="4"/>
    <x v="19"/>
    <x v="9"/>
    <x v="150"/>
    <x v="9"/>
    <x v="10"/>
    <x v="189"/>
    <x v="166"/>
    <x v="124"/>
    <x v="186"/>
    <x v="1"/>
    <x v="143"/>
    <x v="101"/>
    <x v="204"/>
    <x v="0"/>
    <x v="34"/>
    <x v="0"/>
  </r>
  <r>
    <x v="207"/>
    <x v="188"/>
    <x v="7"/>
    <x v="17"/>
    <x v="17"/>
    <x v="11"/>
    <x v="151"/>
    <x v="12"/>
    <x v="35"/>
    <x v="190"/>
    <x v="167"/>
    <x v="201"/>
    <x v="187"/>
    <x v="0"/>
    <x v="8"/>
    <x v="57"/>
    <x v="205"/>
    <x v="0"/>
    <x v="19"/>
    <x v="0"/>
  </r>
  <r>
    <x v="208"/>
    <x v="189"/>
    <x v="6"/>
    <x v="14"/>
    <x v="14"/>
    <x v="17"/>
    <x v="62"/>
    <x v="18"/>
    <x v="45"/>
    <x v="191"/>
    <x v="97"/>
    <x v="29"/>
    <x v="188"/>
    <x v="1"/>
    <x v="29"/>
    <x v="85"/>
    <x v="206"/>
    <x v="0"/>
    <x v="28"/>
    <x v="0"/>
  </r>
  <r>
    <x v="209"/>
    <x v="190"/>
    <x v="3"/>
    <x v="8"/>
    <x v="8"/>
    <x v="18"/>
    <x v="152"/>
    <x v="19"/>
    <x v="69"/>
    <x v="192"/>
    <x v="168"/>
    <x v="202"/>
    <x v="189"/>
    <x v="1"/>
    <x v="144"/>
    <x v="110"/>
    <x v="207"/>
    <x v="0"/>
    <x v="6"/>
    <x v="0"/>
  </r>
  <r>
    <x v="210"/>
    <x v="191"/>
    <x v="1"/>
    <x v="12"/>
    <x v="12"/>
    <x v="10"/>
    <x v="153"/>
    <x v="10"/>
    <x v="70"/>
    <x v="193"/>
    <x v="33"/>
    <x v="203"/>
    <x v="190"/>
    <x v="2"/>
    <x v="90"/>
    <x v="38"/>
    <x v="208"/>
    <x v="0"/>
    <x v="35"/>
    <x v="0"/>
  </r>
  <r>
    <x v="211"/>
    <x v="192"/>
    <x v="6"/>
    <x v="18"/>
    <x v="18"/>
    <x v="7"/>
    <x v="154"/>
    <x v="7"/>
    <x v="45"/>
    <x v="5"/>
    <x v="169"/>
    <x v="204"/>
    <x v="191"/>
    <x v="1"/>
    <x v="22"/>
    <x v="10"/>
    <x v="209"/>
    <x v="1"/>
    <x v="21"/>
    <x v="2"/>
  </r>
  <r>
    <x v="212"/>
    <x v="193"/>
    <x v="5"/>
    <x v="16"/>
    <x v="16"/>
    <x v="9"/>
    <x v="155"/>
    <x v="9"/>
    <x v="51"/>
    <x v="194"/>
    <x v="170"/>
    <x v="205"/>
    <x v="192"/>
    <x v="3"/>
    <x v="145"/>
    <x v="38"/>
    <x v="210"/>
    <x v="0"/>
    <x v="11"/>
    <x v="0"/>
  </r>
  <r>
    <x v="213"/>
    <x v="194"/>
    <x v="5"/>
    <x v="14"/>
    <x v="14"/>
    <x v="3"/>
    <x v="156"/>
    <x v="3"/>
    <x v="32"/>
    <x v="195"/>
    <x v="171"/>
    <x v="206"/>
    <x v="193"/>
    <x v="0"/>
    <x v="146"/>
    <x v="129"/>
    <x v="211"/>
    <x v="0"/>
    <x v="3"/>
    <x v="0"/>
  </r>
  <r>
    <x v="214"/>
    <x v="195"/>
    <x v="4"/>
    <x v="14"/>
    <x v="14"/>
    <x v="12"/>
    <x v="157"/>
    <x v="13"/>
    <x v="62"/>
    <x v="196"/>
    <x v="172"/>
    <x v="207"/>
    <x v="194"/>
    <x v="0"/>
    <x v="147"/>
    <x v="70"/>
    <x v="212"/>
    <x v="0"/>
    <x v="8"/>
    <x v="0"/>
  </r>
  <r>
    <x v="215"/>
    <x v="196"/>
    <x v="2"/>
    <x v="7"/>
    <x v="7"/>
    <x v="7"/>
    <x v="9"/>
    <x v="7"/>
    <x v="4"/>
    <x v="197"/>
    <x v="173"/>
    <x v="208"/>
    <x v="195"/>
    <x v="1"/>
    <x v="148"/>
    <x v="92"/>
    <x v="213"/>
    <x v="0"/>
    <x v="33"/>
    <x v="0"/>
  </r>
  <r>
    <x v="216"/>
    <x v="95"/>
    <x v="2"/>
    <x v="8"/>
    <x v="8"/>
    <x v="18"/>
    <x v="152"/>
    <x v="19"/>
    <x v="66"/>
    <x v="198"/>
    <x v="174"/>
    <x v="209"/>
    <x v="196"/>
    <x v="2"/>
    <x v="102"/>
    <x v="54"/>
    <x v="214"/>
    <x v="0"/>
    <x v="30"/>
    <x v="0"/>
  </r>
  <r>
    <x v="217"/>
    <x v="23"/>
    <x v="0"/>
    <x v="14"/>
    <x v="14"/>
    <x v="12"/>
    <x v="157"/>
    <x v="13"/>
    <x v="85"/>
    <x v="142"/>
    <x v="71"/>
    <x v="210"/>
    <x v="197"/>
    <x v="0"/>
    <x v="36"/>
    <x v="130"/>
    <x v="215"/>
    <x v="0"/>
    <x v="17"/>
    <x v="0"/>
  </r>
  <r>
    <x v="218"/>
    <x v="158"/>
    <x v="2"/>
    <x v="13"/>
    <x v="13"/>
    <x v="10"/>
    <x v="46"/>
    <x v="10"/>
    <x v="66"/>
    <x v="108"/>
    <x v="175"/>
    <x v="211"/>
    <x v="198"/>
    <x v="0"/>
    <x v="149"/>
    <x v="86"/>
    <x v="216"/>
    <x v="0"/>
    <x v="20"/>
    <x v="0"/>
  </r>
  <r>
    <x v="219"/>
    <x v="197"/>
    <x v="6"/>
    <x v="4"/>
    <x v="19"/>
    <x v="10"/>
    <x v="104"/>
    <x v="10"/>
    <x v="63"/>
    <x v="199"/>
    <x v="176"/>
    <x v="212"/>
    <x v="199"/>
    <x v="0"/>
    <x v="125"/>
    <x v="10"/>
    <x v="217"/>
    <x v="0"/>
    <x v="28"/>
    <x v="0"/>
  </r>
  <r>
    <x v="220"/>
    <x v="198"/>
    <x v="2"/>
    <x v="12"/>
    <x v="12"/>
    <x v="13"/>
    <x v="158"/>
    <x v="14"/>
    <x v="17"/>
    <x v="200"/>
    <x v="177"/>
    <x v="213"/>
    <x v="200"/>
    <x v="0"/>
    <x v="134"/>
    <x v="131"/>
    <x v="218"/>
    <x v="0"/>
    <x v="26"/>
    <x v="0"/>
  </r>
  <r>
    <x v="221"/>
    <x v="103"/>
    <x v="2"/>
    <x v="5"/>
    <x v="5"/>
    <x v="7"/>
    <x v="159"/>
    <x v="7"/>
    <x v="69"/>
    <x v="201"/>
    <x v="178"/>
    <x v="214"/>
    <x v="201"/>
    <x v="0"/>
    <x v="150"/>
    <x v="37"/>
    <x v="219"/>
    <x v="0"/>
    <x v="0"/>
    <x v="0"/>
  </r>
  <r>
    <x v="222"/>
    <x v="199"/>
    <x v="7"/>
    <x v="14"/>
    <x v="14"/>
    <x v="13"/>
    <x v="160"/>
    <x v="14"/>
    <x v="86"/>
    <x v="202"/>
    <x v="36"/>
    <x v="215"/>
    <x v="202"/>
    <x v="2"/>
    <x v="151"/>
    <x v="132"/>
    <x v="220"/>
    <x v="0"/>
    <x v="10"/>
    <x v="0"/>
  </r>
  <r>
    <x v="223"/>
    <x v="200"/>
    <x v="3"/>
    <x v="13"/>
    <x v="13"/>
    <x v="17"/>
    <x v="161"/>
    <x v="18"/>
    <x v="49"/>
    <x v="203"/>
    <x v="122"/>
    <x v="216"/>
    <x v="203"/>
    <x v="1"/>
    <x v="152"/>
    <x v="133"/>
    <x v="221"/>
    <x v="1"/>
    <x v="16"/>
    <x v="0"/>
  </r>
  <r>
    <x v="224"/>
    <x v="41"/>
    <x v="3"/>
    <x v="18"/>
    <x v="18"/>
    <x v="10"/>
    <x v="162"/>
    <x v="10"/>
    <x v="67"/>
    <x v="204"/>
    <x v="169"/>
    <x v="217"/>
    <x v="204"/>
    <x v="3"/>
    <x v="153"/>
    <x v="39"/>
    <x v="222"/>
    <x v="0"/>
    <x v="16"/>
    <x v="0"/>
  </r>
  <r>
    <x v="225"/>
    <x v="201"/>
    <x v="1"/>
    <x v="8"/>
    <x v="8"/>
    <x v="4"/>
    <x v="163"/>
    <x v="4"/>
    <x v="57"/>
    <x v="24"/>
    <x v="179"/>
    <x v="218"/>
    <x v="205"/>
    <x v="1"/>
    <x v="89"/>
    <x v="134"/>
    <x v="223"/>
    <x v="1"/>
    <x v="25"/>
    <x v="54"/>
  </r>
  <r>
    <x v="226"/>
    <x v="202"/>
    <x v="5"/>
    <x v="4"/>
    <x v="19"/>
    <x v="16"/>
    <x v="146"/>
    <x v="17"/>
    <x v="44"/>
    <x v="45"/>
    <x v="180"/>
    <x v="219"/>
    <x v="206"/>
    <x v="1"/>
    <x v="1"/>
    <x v="118"/>
    <x v="224"/>
    <x v="2"/>
    <x v="9"/>
    <x v="0"/>
  </r>
  <r>
    <x v="227"/>
    <x v="203"/>
    <x v="1"/>
    <x v="8"/>
    <x v="8"/>
    <x v="4"/>
    <x v="163"/>
    <x v="4"/>
    <x v="52"/>
    <x v="205"/>
    <x v="181"/>
    <x v="220"/>
    <x v="207"/>
    <x v="2"/>
    <x v="73"/>
    <x v="65"/>
    <x v="225"/>
    <x v="0"/>
    <x v="1"/>
    <x v="0"/>
  </r>
  <r>
    <x v="228"/>
    <x v="204"/>
    <x v="4"/>
    <x v="2"/>
    <x v="2"/>
    <x v="15"/>
    <x v="164"/>
    <x v="16"/>
    <x v="87"/>
    <x v="206"/>
    <x v="19"/>
    <x v="221"/>
    <x v="208"/>
    <x v="1"/>
    <x v="154"/>
    <x v="6"/>
    <x v="226"/>
    <x v="0"/>
    <x v="23"/>
    <x v="0"/>
  </r>
  <r>
    <x v="229"/>
    <x v="205"/>
    <x v="7"/>
    <x v="4"/>
    <x v="19"/>
    <x v="3"/>
    <x v="24"/>
    <x v="3"/>
    <x v="84"/>
    <x v="129"/>
    <x v="182"/>
    <x v="222"/>
    <x v="209"/>
    <x v="1"/>
    <x v="62"/>
    <x v="87"/>
    <x v="227"/>
    <x v="1"/>
    <x v="27"/>
    <x v="55"/>
  </r>
  <r>
    <x v="230"/>
    <x v="206"/>
    <x v="3"/>
    <x v="12"/>
    <x v="12"/>
    <x v="0"/>
    <x v="165"/>
    <x v="0"/>
    <x v="30"/>
    <x v="178"/>
    <x v="51"/>
    <x v="64"/>
    <x v="210"/>
    <x v="1"/>
    <x v="8"/>
    <x v="135"/>
    <x v="228"/>
    <x v="0"/>
    <x v="10"/>
    <x v="0"/>
  </r>
  <r>
    <x v="231"/>
    <x v="104"/>
    <x v="5"/>
    <x v="7"/>
    <x v="7"/>
    <x v="1"/>
    <x v="166"/>
    <x v="1"/>
    <x v="16"/>
    <x v="207"/>
    <x v="120"/>
    <x v="223"/>
    <x v="211"/>
    <x v="1"/>
    <x v="155"/>
    <x v="136"/>
    <x v="229"/>
    <x v="1"/>
    <x v="34"/>
    <x v="56"/>
  </r>
  <r>
    <x v="232"/>
    <x v="207"/>
    <x v="2"/>
    <x v="4"/>
    <x v="4"/>
    <x v="6"/>
    <x v="167"/>
    <x v="6"/>
    <x v="42"/>
    <x v="208"/>
    <x v="183"/>
    <x v="224"/>
    <x v="212"/>
    <x v="1"/>
    <x v="156"/>
    <x v="124"/>
    <x v="230"/>
    <x v="0"/>
    <x v="33"/>
    <x v="0"/>
  </r>
  <r>
    <x v="233"/>
    <x v="208"/>
    <x v="6"/>
    <x v="12"/>
    <x v="12"/>
    <x v="4"/>
    <x v="168"/>
    <x v="4"/>
    <x v="88"/>
    <x v="209"/>
    <x v="153"/>
    <x v="158"/>
    <x v="213"/>
    <x v="2"/>
    <x v="102"/>
    <x v="137"/>
    <x v="231"/>
    <x v="0"/>
    <x v="13"/>
    <x v="0"/>
  </r>
  <r>
    <x v="234"/>
    <x v="209"/>
    <x v="1"/>
    <x v="9"/>
    <x v="9"/>
    <x v="14"/>
    <x v="169"/>
    <x v="15"/>
    <x v="89"/>
    <x v="210"/>
    <x v="184"/>
    <x v="225"/>
    <x v="214"/>
    <x v="2"/>
    <x v="112"/>
    <x v="39"/>
    <x v="232"/>
    <x v="0"/>
    <x v="6"/>
    <x v="0"/>
  </r>
  <r>
    <x v="235"/>
    <x v="210"/>
    <x v="1"/>
    <x v="17"/>
    <x v="17"/>
    <x v="6"/>
    <x v="132"/>
    <x v="11"/>
    <x v="72"/>
    <x v="211"/>
    <x v="185"/>
    <x v="226"/>
    <x v="215"/>
    <x v="2"/>
    <x v="90"/>
    <x v="74"/>
    <x v="233"/>
    <x v="0"/>
    <x v="17"/>
    <x v="0"/>
  </r>
  <r>
    <x v="236"/>
    <x v="130"/>
    <x v="0"/>
    <x v="15"/>
    <x v="15"/>
    <x v="18"/>
    <x v="170"/>
    <x v="19"/>
    <x v="58"/>
    <x v="212"/>
    <x v="120"/>
    <x v="227"/>
    <x v="216"/>
    <x v="2"/>
    <x v="32"/>
    <x v="119"/>
    <x v="234"/>
    <x v="1"/>
    <x v="19"/>
    <x v="57"/>
  </r>
  <r>
    <x v="237"/>
    <x v="187"/>
    <x v="2"/>
    <x v="5"/>
    <x v="5"/>
    <x v="11"/>
    <x v="171"/>
    <x v="12"/>
    <x v="8"/>
    <x v="30"/>
    <x v="41"/>
    <x v="228"/>
    <x v="217"/>
    <x v="0"/>
    <x v="70"/>
    <x v="138"/>
    <x v="235"/>
    <x v="0"/>
    <x v="1"/>
    <x v="0"/>
  </r>
  <r>
    <x v="238"/>
    <x v="211"/>
    <x v="3"/>
    <x v="16"/>
    <x v="16"/>
    <x v="18"/>
    <x v="109"/>
    <x v="19"/>
    <x v="50"/>
    <x v="213"/>
    <x v="74"/>
    <x v="229"/>
    <x v="218"/>
    <x v="0"/>
    <x v="157"/>
    <x v="98"/>
    <x v="236"/>
    <x v="1"/>
    <x v="12"/>
    <x v="58"/>
  </r>
  <r>
    <x v="239"/>
    <x v="151"/>
    <x v="3"/>
    <x v="14"/>
    <x v="14"/>
    <x v="8"/>
    <x v="172"/>
    <x v="8"/>
    <x v="41"/>
    <x v="214"/>
    <x v="91"/>
    <x v="230"/>
    <x v="219"/>
    <x v="2"/>
    <x v="158"/>
    <x v="15"/>
    <x v="237"/>
    <x v="0"/>
    <x v="1"/>
    <x v="0"/>
  </r>
  <r>
    <x v="240"/>
    <x v="212"/>
    <x v="7"/>
    <x v="15"/>
    <x v="15"/>
    <x v="14"/>
    <x v="173"/>
    <x v="15"/>
    <x v="87"/>
    <x v="215"/>
    <x v="186"/>
    <x v="231"/>
    <x v="220"/>
    <x v="2"/>
    <x v="111"/>
    <x v="139"/>
    <x v="238"/>
    <x v="1"/>
    <x v="10"/>
    <x v="59"/>
  </r>
  <r>
    <x v="241"/>
    <x v="213"/>
    <x v="4"/>
    <x v="14"/>
    <x v="14"/>
    <x v="3"/>
    <x v="156"/>
    <x v="3"/>
    <x v="35"/>
    <x v="50"/>
    <x v="187"/>
    <x v="232"/>
    <x v="221"/>
    <x v="1"/>
    <x v="100"/>
    <x v="77"/>
    <x v="239"/>
    <x v="1"/>
    <x v="35"/>
    <x v="33"/>
  </r>
  <r>
    <x v="242"/>
    <x v="214"/>
    <x v="2"/>
    <x v="13"/>
    <x v="13"/>
    <x v="17"/>
    <x v="161"/>
    <x v="18"/>
    <x v="35"/>
    <x v="216"/>
    <x v="159"/>
    <x v="233"/>
    <x v="222"/>
    <x v="1"/>
    <x v="119"/>
    <x v="140"/>
    <x v="240"/>
    <x v="1"/>
    <x v="6"/>
    <x v="28"/>
  </r>
  <r>
    <x v="243"/>
    <x v="215"/>
    <x v="7"/>
    <x v="10"/>
    <x v="10"/>
    <x v="10"/>
    <x v="174"/>
    <x v="10"/>
    <x v="33"/>
    <x v="217"/>
    <x v="43"/>
    <x v="234"/>
    <x v="223"/>
    <x v="0"/>
    <x v="159"/>
    <x v="15"/>
    <x v="241"/>
    <x v="0"/>
    <x v="9"/>
    <x v="0"/>
  </r>
  <r>
    <x v="244"/>
    <x v="171"/>
    <x v="1"/>
    <x v="9"/>
    <x v="9"/>
    <x v="6"/>
    <x v="175"/>
    <x v="6"/>
    <x v="37"/>
    <x v="73"/>
    <x v="188"/>
    <x v="235"/>
    <x v="224"/>
    <x v="0"/>
    <x v="9"/>
    <x v="141"/>
    <x v="242"/>
    <x v="0"/>
    <x v="34"/>
    <x v="0"/>
  </r>
  <r>
    <x v="245"/>
    <x v="216"/>
    <x v="1"/>
    <x v="11"/>
    <x v="11"/>
    <x v="3"/>
    <x v="15"/>
    <x v="3"/>
    <x v="25"/>
    <x v="218"/>
    <x v="189"/>
    <x v="96"/>
    <x v="225"/>
    <x v="2"/>
    <x v="88"/>
    <x v="142"/>
    <x v="243"/>
    <x v="0"/>
    <x v="19"/>
    <x v="0"/>
  </r>
  <r>
    <x v="246"/>
    <x v="111"/>
    <x v="0"/>
    <x v="2"/>
    <x v="2"/>
    <x v="9"/>
    <x v="176"/>
    <x v="9"/>
    <x v="23"/>
    <x v="219"/>
    <x v="171"/>
    <x v="236"/>
    <x v="226"/>
    <x v="1"/>
    <x v="160"/>
    <x v="143"/>
    <x v="244"/>
    <x v="0"/>
    <x v="30"/>
    <x v="0"/>
  </r>
  <r>
    <x v="247"/>
    <x v="217"/>
    <x v="2"/>
    <x v="17"/>
    <x v="17"/>
    <x v="3"/>
    <x v="177"/>
    <x v="3"/>
    <x v="84"/>
    <x v="137"/>
    <x v="177"/>
    <x v="237"/>
    <x v="227"/>
    <x v="1"/>
    <x v="38"/>
    <x v="113"/>
    <x v="245"/>
    <x v="0"/>
    <x v="25"/>
    <x v="0"/>
  </r>
  <r>
    <x v="248"/>
    <x v="218"/>
    <x v="3"/>
    <x v="5"/>
    <x v="5"/>
    <x v="17"/>
    <x v="178"/>
    <x v="18"/>
    <x v="53"/>
    <x v="220"/>
    <x v="136"/>
    <x v="238"/>
    <x v="228"/>
    <x v="0"/>
    <x v="161"/>
    <x v="21"/>
    <x v="246"/>
    <x v="1"/>
    <x v="35"/>
    <x v="60"/>
  </r>
  <r>
    <x v="249"/>
    <x v="219"/>
    <x v="0"/>
    <x v="6"/>
    <x v="6"/>
    <x v="18"/>
    <x v="179"/>
    <x v="19"/>
    <x v="42"/>
    <x v="221"/>
    <x v="29"/>
    <x v="239"/>
    <x v="229"/>
    <x v="0"/>
    <x v="87"/>
    <x v="144"/>
    <x v="247"/>
    <x v="0"/>
    <x v="10"/>
    <x v="0"/>
  </r>
  <r>
    <x v="250"/>
    <x v="36"/>
    <x v="1"/>
    <x v="17"/>
    <x v="17"/>
    <x v="14"/>
    <x v="180"/>
    <x v="15"/>
    <x v="53"/>
    <x v="222"/>
    <x v="190"/>
    <x v="114"/>
    <x v="230"/>
    <x v="0"/>
    <x v="162"/>
    <x v="97"/>
    <x v="248"/>
    <x v="0"/>
    <x v="5"/>
    <x v="0"/>
  </r>
  <r>
    <x v="251"/>
    <x v="220"/>
    <x v="0"/>
    <x v="7"/>
    <x v="7"/>
    <x v="6"/>
    <x v="181"/>
    <x v="11"/>
    <x v="52"/>
    <x v="129"/>
    <x v="191"/>
    <x v="240"/>
    <x v="231"/>
    <x v="1"/>
    <x v="163"/>
    <x v="145"/>
    <x v="249"/>
    <x v="0"/>
    <x v="9"/>
    <x v="0"/>
  </r>
  <r>
    <x v="252"/>
    <x v="221"/>
    <x v="1"/>
    <x v="16"/>
    <x v="16"/>
    <x v="18"/>
    <x v="109"/>
    <x v="19"/>
    <x v="51"/>
    <x v="223"/>
    <x v="192"/>
    <x v="80"/>
    <x v="232"/>
    <x v="2"/>
    <x v="129"/>
    <x v="136"/>
    <x v="250"/>
    <x v="2"/>
    <x v="17"/>
    <x v="0"/>
  </r>
  <r>
    <x v="253"/>
    <x v="222"/>
    <x v="1"/>
    <x v="13"/>
    <x v="13"/>
    <x v="18"/>
    <x v="182"/>
    <x v="19"/>
    <x v="78"/>
    <x v="224"/>
    <x v="193"/>
    <x v="241"/>
    <x v="233"/>
    <x v="1"/>
    <x v="45"/>
    <x v="99"/>
    <x v="251"/>
    <x v="0"/>
    <x v="21"/>
    <x v="0"/>
  </r>
  <r>
    <x v="254"/>
    <x v="223"/>
    <x v="1"/>
    <x v="17"/>
    <x v="17"/>
    <x v="9"/>
    <x v="183"/>
    <x v="9"/>
    <x v="90"/>
    <x v="225"/>
    <x v="163"/>
    <x v="242"/>
    <x v="234"/>
    <x v="2"/>
    <x v="96"/>
    <x v="146"/>
    <x v="252"/>
    <x v="0"/>
    <x v="22"/>
    <x v="0"/>
  </r>
  <r>
    <x v="255"/>
    <x v="224"/>
    <x v="6"/>
    <x v="4"/>
    <x v="4"/>
    <x v="8"/>
    <x v="133"/>
    <x v="8"/>
    <x v="14"/>
    <x v="226"/>
    <x v="194"/>
    <x v="243"/>
    <x v="235"/>
    <x v="0"/>
    <x v="127"/>
    <x v="118"/>
    <x v="210"/>
    <x v="1"/>
    <x v="11"/>
    <x v="55"/>
  </r>
  <r>
    <x v="256"/>
    <x v="225"/>
    <x v="7"/>
    <x v="0"/>
    <x v="0"/>
    <x v="18"/>
    <x v="184"/>
    <x v="19"/>
    <x v="77"/>
    <x v="227"/>
    <x v="195"/>
    <x v="244"/>
    <x v="236"/>
    <x v="2"/>
    <x v="71"/>
    <x v="147"/>
    <x v="253"/>
    <x v="0"/>
    <x v="32"/>
    <x v="0"/>
  </r>
  <r>
    <x v="257"/>
    <x v="226"/>
    <x v="3"/>
    <x v="14"/>
    <x v="14"/>
    <x v="13"/>
    <x v="160"/>
    <x v="14"/>
    <x v="91"/>
    <x v="228"/>
    <x v="196"/>
    <x v="245"/>
    <x v="237"/>
    <x v="1"/>
    <x v="98"/>
    <x v="24"/>
    <x v="254"/>
    <x v="0"/>
    <x v="0"/>
    <x v="0"/>
  </r>
  <r>
    <x v="258"/>
    <x v="227"/>
    <x v="7"/>
    <x v="14"/>
    <x v="14"/>
    <x v="6"/>
    <x v="54"/>
    <x v="11"/>
    <x v="89"/>
    <x v="229"/>
    <x v="176"/>
    <x v="246"/>
    <x v="238"/>
    <x v="1"/>
    <x v="69"/>
    <x v="2"/>
    <x v="255"/>
    <x v="1"/>
    <x v="4"/>
    <x v="61"/>
  </r>
  <r>
    <x v="259"/>
    <x v="228"/>
    <x v="0"/>
    <x v="8"/>
    <x v="8"/>
    <x v="3"/>
    <x v="185"/>
    <x v="3"/>
    <x v="11"/>
    <x v="230"/>
    <x v="175"/>
    <x v="247"/>
    <x v="239"/>
    <x v="0"/>
    <x v="158"/>
    <x v="86"/>
    <x v="256"/>
    <x v="0"/>
    <x v="29"/>
    <x v="0"/>
  </r>
  <r>
    <x v="260"/>
    <x v="229"/>
    <x v="5"/>
    <x v="15"/>
    <x v="15"/>
    <x v="6"/>
    <x v="81"/>
    <x v="11"/>
    <x v="0"/>
    <x v="231"/>
    <x v="197"/>
    <x v="248"/>
    <x v="240"/>
    <x v="0"/>
    <x v="164"/>
    <x v="89"/>
    <x v="257"/>
    <x v="0"/>
    <x v="30"/>
    <x v="0"/>
  </r>
  <r>
    <x v="261"/>
    <x v="230"/>
    <x v="5"/>
    <x v="15"/>
    <x v="15"/>
    <x v="16"/>
    <x v="186"/>
    <x v="17"/>
    <x v="18"/>
    <x v="232"/>
    <x v="124"/>
    <x v="249"/>
    <x v="241"/>
    <x v="1"/>
    <x v="165"/>
    <x v="140"/>
    <x v="258"/>
    <x v="2"/>
    <x v="18"/>
    <x v="0"/>
  </r>
  <r>
    <x v="262"/>
    <x v="138"/>
    <x v="3"/>
    <x v="4"/>
    <x v="19"/>
    <x v="10"/>
    <x v="104"/>
    <x v="10"/>
    <x v="41"/>
    <x v="233"/>
    <x v="198"/>
    <x v="250"/>
    <x v="242"/>
    <x v="1"/>
    <x v="93"/>
    <x v="148"/>
    <x v="259"/>
    <x v="0"/>
    <x v="14"/>
    <x v="0"/>
  </r>
  <r>
    <x v="263"/>
    <x v="231"/>
    <x v="7"/>
    <x v="0"/>
    <x v="0"/>
    <x v="7"/>
    <x v="39"/>
    <x v="7"/>
    <x v="68"/>
    <x v="234"/>
    <x v="126"/>
    <x v="251"/>
    <x v="243"/>
    <x v="0"/>
    <x v="109"/>
    <x v="111"/>
    <x v="260"/>
    <x v="0"/>
    <x v="26"/>
    <x v="0"/>
  </r>
  <r>
    <x v="264"/>
    <x v="232"/>
    <x v="0"/>
    <x v="4"/>
    <x v="4"/>
    <x v="11"/>
    <x v="31"/>
    <x v="12"/>
    <x v="42"/>
    <x v="235"/>
    <x v="92"/>
    <x v="252"/>
    <x v="244"/>
    <x v="0"/>
    <x v="158"/>
    <x v="18"/>
    <x v="261"/>
    <x v="2"/>
    <x v="16"/>
    <x v="0"/>
  </r>
  <r>
    <x v="265"/>
    <x v="233"/>
    <x v="4"/>
    <x v="5"/>
    <x v="5"/>
    <x v="9"/>
    <x v="187"/>
    <x v="9"/>
    <x v="67"/>
    <x v="236"/>
    <x v="173"/>
    <x v="253"/>
    <x v="245"/>
    <x v="1"/>
    <x v="166"/>
    <x v="145"/>
    <x v="262"/>
    <x v="0"/>
    <x v="21"/>
    <x v="0"/>
  </r>
  <r>
    <x v="266"/>
    <x v="234"/>
    <x v="0"/>
    <x v="0"/>
    <x v="0"/>
    <x v="4"/>
    <x v="26"/>
    <x v="4"/>
    <x v="49"/>
    <x v="237"/>
    <x v="199"/>
    <x v="254"/>
    <x v="246"/>
    <x v="2"/>
    <x v="158"/>
    <x v="32"/>
    <x v="263"/>
    <x v="0"/>
    <x v="24"/>
    <x v="0"/>
  </r>
  <r>
    <x v="267"/>
    <x v="235"/>
    <x v="0"/>
    <x v="1"/>
    <x v="1"/>
    <x v="8"/>
    <x v="12"/>
    <x v="8"/>
    <x v="77"/>
    <x v="151"/>
    <x v="58"/>
    <x v="255"/>
    <x v="247"/>
    <x v="1"/>
    <x v="44"/>
    <x v="24"/>
    <x v="264"/>
    <x v="1"/>
    <x v="22"/>
    <x v="62"/>
  </r>
  <r>
    <x v="268"/>
    <x v="236"/>
    <x v="3"/>
    <x v="4"/>
    <x v="19"/>
    <x v="13"/>
    <x v="100"/>
    <x v="14"/>
    <x v="49"/>
    <x v="122"/>
    <x v="75"/>
    <x v="256"/>
    <x v="248"/>
    <x v="2"/>
    <x v="167"/>
    <x v="90"/>
    <x v="265"/>
    <x v="0"/>
    <x v="23"/>
    <x v="0"/>
  </r>
  <r>
    <x v="269"/>
    <x v="180"/>
    <x v="6"/>
    <x v="15"/>
    <x v="15"/>
    <x v="18"/>
    <x v="170"/>
    <x v="19"/>
    <x v="69"/>
    <x v="33"/>
    <x v="83"/>
    <x v="257"/>
    <x v="249"/>
    <x v="1"/>
    <x v="127"/>
    <x v="21"/>
    <x v="266"/>
    <x v="0"/>
    <x v="22"/>
    <x v="0"/>
  </r>
  <r>
    <x v="270"/>
    <x v="95"/>
    <x v="5"/>
    <x v="10"/>
    <x v="10"/>
    <x v="18"/>
    <x v="96"/>
    <x v="19"/>
    <x v="34"/>
    <x v="238"/>
    <x v="176"/>
    <x v="258"/>
    <x v="250"/>
    <x v="1"/>
    <x v="24"/>
    <x v="149"/>
    <x v="267"/>
    <x v="0"/>
    <x v="30"/>
    <x v="0"/>
  </r>
  <r>
    <x v="271"/>
    <x v="237"/>
    <x v="4"/>
    <x v="6"/>
    <x v="6"/>
    <x v="14"/>
    <x v="188"/>
    <x v="15"/>
    <x v="89"/>
    <x v="239"/>
    <x v="200"/>
    <x v="259"/>
    <x v="251"/>
    <x v="1"/>
    <x v="168"/>
    <x v="79"/>
    <x v="268"/>
    <x v="0"/>
    <x v="20"/>
    <x v="0"/>
  </r>
  <r>
    <x v="272"/>
    <x v="238"/>
    <x v="4"/>
    <x v="4"/>
    <x v="19"/>
    <x v="4"/>
    <x v="4"/>
    <x v="4"/>
    <x v="89"/>
    <x v="240"/>
    <x v="201"/>
    <x v="260"/>
    <x v="252"/>
    <x v="2"/>
    <x v="169"/>
    <x v="150"/>
    <x v="269"/>
    <x v="0"/>
    <x v="12"/>
    <x v="0"/>
  </r>
  <r>
    <x v="273"/>
    <x v="239"/>
    <x v="1"/>
    <x v="5"/>
    <x v="5"/>
    <x v="14"/>
    <x v="189"/>
    <x v="15"/>
    <x v="11"/>
    <x v="241"/>
    <x v="202"/>
    <x v="261"/>
    <x v="253"/>
    <x v="1"/>
    <x v="17"/>
    <x v="24"/>
    <x v="270"/>
    <x v="0"/>
    <x v="34"/>
    <x v="0"/>
  </r>
  <r>
    <x v="274"/>
    <x v="206"/>
    <x v="5"/>
    <x v="5"/>
    <x v="5"/>
    <x v="3"/>
    <x v="145"/>
    <x v="3"/>
    <x v="24"/>
    <x v="242"/>
    <x v="114"/>
    <x v="262"/>
    <x v="254"/>
    <x v="1"/>
    <x v="18"/>
    <x v="151"/>
    <x v="271"/>
    <x v="1"/>
    <x v="10"/>
    <x v="54"/>
  </r>
  <r>
    <x v="275"/>
    <x v="240"/>
    <x v="2"/>
    <x v="13"/>
    <x v="13"/>
    <x v="5"/>
    <x v="190"/>
    <x v="5"/>
    <x v="58"/>
    <x v="243"/>
    <x v="203"/>
    <x v="263"/>
    <x v="255"/>
    <x v="2"/>
    <x v="170"/>
    <x v="74"/>
    <x v="272"/>
    <x v="0"/>
    <x v="11"/>
    <x v="0"/>
  </r>
  <r>
    <x v="276"/>
    <x v="166"/>
    <x v="7"/>
    <x v="15"/>
    <x v="15"/>
    <x v="18"/>
    <x v="170"/>
    <x v="19"/>
    <x v="53"/>
    <x v="244"/>
    <x v="204"/>
    <x v="264"/>
    <x v="256"/>
    <x v="1"/>
    <x v="170"/>
    <x v="91"/>
    <x v="273"/>
    <x v="0"/>
    <x v="25"/>
    <x v="0"/>
  </r>
  <r>
    <x v="277"/>
    <x v="241"/>
    <x v="2"/>
    <x v="3"/>
    <x v="3"/>
    <x v="7"/>
    <x v="92"/>
    <x v="7"/>
    <x v="72"/>
    <x v="245"/>
    <x v="94"/>
    <x v="168"/>
    <x v="257"/>
    <x v="1"/>
    <x v="171"/>
    <x v="40"/>
    <x v="274"/>
    <x v="0"/>
    <x v="1"/>
    <x v="0"/>
  </r>
  <r>
    <x v="278"/>
    <x v="242"/>
    <x v="1"/>
    <x v="17"/>
    <x v="17"/>
    <x v="6"/>
    <x v="132"/>
    <x v="6"/>
    <x v="16"/>
    <x v="246"/>
    <x v="103"/>
    <x v="265"/>
    <x v="258"/>
    <x v="2"/>
    <x v="103"/>
    <x v="152"/>
    <x v="275"/>
    <x v="0"/>
    <x v="28"/>
    <x v="0"/>
  </r>
  <r>
    <x v="279"/>
    <x v="191"/>
    <x v="3"/>
    <x v="11"/>
    <x v="11"/>
    <x v="5"/>
    <x v="191"/>
    <x v="5"/>
    <x v="22"/>
    <x v="247"/>
    <x v="49"/>
    <x v="266"/>
    <x v="259"/>
    <x v="0"/>
    <x v="172"/>
    <x v="102"/>
    <x v="276"/>
    <x v="0"/>
    <x v="35"/>
    <x v="0"/>
  </r>
  <r>
    <x v="280"/>
    <x v="243"/>
    <x v="1"/>
    <x v="2"/>
    <x v="2"/>
    <x v="14"/>
    <x v="192"/>
    <x v="15"/>
    <x v="25"/>
    <x v="218"/>
    <x v="189"/>
    <x v="267"/>
    <x v="260"/>
    <x v="1"/>
    <x v="153"/>
    <x v="29"/>
    <x v="277"/>
    <x v="0"/>
    <x v="21"/>
    <x v="0"/>
  </r>
  <r>
    <x v="281"/>
    <x v="244"/>
    <x v="3"/>
    <x v="5"/>
    <x v="5"/>
    <x v="10"/>
    <x v="193"/>
    <x v="10"/>
    <x v="86"/>
    <x v="248"/>
    <x v="205"/>
    <x v="268"/>
    <x v="261"/>
    <x v="1"/>
    <x v="19"/>
    <x v="153"/>
    <x v="278"/>
    <x v="1"/>
    <x v="29"/>
    <x v="18"/>
  </r>
  <r>
    <x v="282"/>
    <x v="245"/>
    <x v="3"/>
    <x v="14"/>
    <x v="14"/>
    <x v="6"/>
    <x v="54"/>
    <x v="11"/>
    <x v="32"/>
    <x v="249"/>
    <x v="180"/>
    <x v="269"/>
    <x v="262"/>
    <x v="0"/>
    <x v="91"/>
    <x v="3"/>
    <x v="279"/>
    <x v="0"/>
    <x v="7"/>
    <x v="0"/>
  </r>
  <r>
    <x v="283"/>
    <x v="246"/>
    <x v="4"/>
    <x v="13"/>
    <x v="13"/>
    <x v="7"/>
    <x v="194"/>
    <x v="7"/>
    <x v="39"/>
    <x v="250"/>
    <x v="206"/>
    <x v="270"/>
    <x v="263"/>
    <x v="0"/>
    <x v="173"/>
    <x v="10"/>
    <x v="280"/>
    <x v="0"/>
    <x v="29"/>
    <x v="0"/>
  </r>
  <r>
    <x v="284"/>
    <x v="247"/>
    <x v="3"/>
    <x v="14"/>
    <x v="14"/>
    <x v="7"/>
    <x v="55"/>
    <x v="7"/>
    <x v="46"/>
    <x v="251"/>
    <x v="13"/>
    <x v="271"/>
    <x v="264"/>
    <x v="1"/>
    <x v="3"/>
    <x v="118"/>
    <x v="281"/>
    <x v="0"/>
    <x v="9"/>
    <x v="0"/>
  </r>
  <r>
    <x v="285"/>
    <x v="248"/>
    <x v="7"/>
    <x v="12"/>
    <x v="12"/>
    <x v="6"/>
    <x v="23"/>
    <x v="11"/>
    <x v="25"/>
    <x v="252"/>
    <x v="207"/>
    <x v="272"/>
    <x v="265"/>
    <x v="1"/>
    <x v="131"/>
    <x v="120"/>
    <x v="282"/>
    <x v="1"/>
    <x v="30"/>
    <x v="60"/>
  </r>
  <r>
    <x v="286"/>
    <x v="59"/>
    <x v="4"/>
    <x v="14"/>
    <x v="14"/>
    <x v="2"/>
    <x v="32"/>
    <x v="2"/>
    <x v="92"/>
    <x v="253"/>
    <x v="208"/>
    <x v="273"/>
    <x v="266"/>
    <x v="2"/>
    <x v="56"/>
    <x v="0"/>
    <x v="283"/>
    <x v="0"/>
    <x v="22"/>
    <x v="0"/>
  </r>
  <r>
    <x v="287"/>
    <x v="249"/>
    <x v="7"/>
    <x v="13"/>
    <x v="13"/>
    <x v="18"/>
    <x v="182"/>
    <x v="19"/>
    <x v="21"/>
    <x v="109"/>
    <x v="72"/>
    <x v="274"/>
    <x v="267"/>
    <x v="0"/>
    <x v="49"/>
    <x v="91"/>
    <x v="284"/>
    <x v="0"/>
    <x v="1"/>
    <x v="0"/>
  </r>
  <r>
    <x v="288"/>
    <x v="250"/>
    <x v="3"/>
    <x v="3"/>
    <x v="3"/>
    <x v="5"/>
    <x v="195"/>
    <x v="5"/>
    <x v="3"/>
    <x v="254"/>
    <x v="15"/>
    <x v="275"/>
    <x v="268"/>
    <x v="1"/>
    <x v="33"/>
    <x v="6"/>
    <x v="285"/>
    <x v="1"/>
    <x v="31"/>
    <x v="63"/>
  </r>
  <r>
    <x v="289"/>
    <x v="176"/>
    <x v="7"/>
    <x v="8"/>
    <x v="8"/>
    <x v="3"/>
    <x v="185"/>
    <x v="3"/>
    <x v="35"/>
    <x v="255"/>
    <x v="69"/>
    <x v="276"/>
    <x v="269"/>
    <x v="0"/>
    <x v="79"/>
    <x v="149"/>
    <x v="286"/>
    <x v="0"/>
    <x v="8"/>
    <x v="0"/>
  </r>
  <r>
    <x v="290"/>
    <x v="251"/>
    <x v="5"/>
    <x v="18"/>
    <x v="18"/>
    <x v="7"/>
    <x v="154"/>
    <x v="7"/>
    <x v="18"/>
    <x v="256"/>
    <x v="209"/>
    <x v="277"/>
    <x v="270"/>
    <x v="1"/>
    <x v="77"/>
    <x v="153"/>
    <x v="287"/>
    <x v="0"/>
    <x v="6"/>
    <x v="0"/>
  </r>
  <r>
    <x v="291"/>
    <x v="252"/>
    <x v="5"/>
    <x v="8"/>
    <x v="8"/>
    <x v="1"/>
    <x v="196"/>
    <x v="1"/>
    <x v="42"/>
    <x v="257"/>
    <x v="111"/>
    <x v="61"/>
    <x v="271"/>
    <x v="2"/>
    <x v="75"/>
    <x v="105"/>
    <x v="288"/>
    <x v="1"/>
    <x v="20"/>
    <x v="64"/>
  </r>
  <r>
    <x v="292"/>
    <x v="253"/>
    <x v="6"/>
    <x v="11"/>
    <x v="11"/>
    <x v="5"/>
    <x v="191"/>
    <x v="5"/>
    <x v="76"/>
    <x v="258"/>
    <x v="210"/>
    <x v="278"/>
    <x v="272"/>
    <x v="0"/>
    <x v="140"/>
    <x v="68"/>
    <x v="289"/>
    <x v="1"/>
    <x v="25"/>
    <x v="59"/>
  </r>
  <r>
    <x v="293"/>
    <x v="224"/>
    <x v="6"/>
    <x v="3"/>
    <x v="3"/>
    <x v="2"/>
    <x v="197"/>
    <x v="2"/>
    <x v="10"/>
    <x v="259"/>
    <x v="188"/>
    <x v="142"/>
    <x v="273"/>
    <x v="2"/>
    <x v="174"/>
    <x v="109"/>
    <x v="290"/>
    <x v="1"/>
    <x v="11"/>
    <x v="56"/>
  </r>
  <r>
    <x v="294"/>
    <x v="254"/>
    <x v="0"/>
    <x v="7"/>
    <x v="7"/>
    <x v="4"/>
    <x v="88"/>
    <x v="4"/>
    <x v="46"/>
    <x v="260"/>
    <x v="172"/>
    <x v="279"/>
    <x v="274"/>
    <x v="2"/>
    <x v="108"/>
    <x v="86"/>
    <x v="291"/>
    <x v="0"/>
    <x v="27"/>
    <x v="0"/>
  </r>
  <r>
    <x v="295"/>
    <x v="120"/>
    <x v="0"/>
    <x v="6"/>
    <x v="6"/>
    <x v="15"/>
    <x v="198"/>
    <x v="16"/>
    <x v="93"/>
    <x v="261"/>
    <x v="211"/>
    <x v="280"/>
    <x v="275"/>
    <x v="0"/>
    <x v="44"/>
    <x v="154"/>
    <x v="292"/>
    <x v="1"/>
    <x v="21"/>
    <x v="3"/>
  </r>
  <r>
    <x v="296"/>
    <x v="168"/>
    <x v="4"/>
    <x v="7"/>
    <x v="7"/>
    <x v="18"/>
    <x v="110"/>
    <x v="19"/>
    <x v="52"/>
    <x v="262"/>
    <x v="212"/>
    <x v="281"/>
    <x v="276"/>
    <x v="0"/>
    <x v="175"/>
    <x v="155"/>
    <x v="293"/>
    <x v="0"/>
    <x v="2"/>
    <x v="0"/>
  </r>
  <r>
    <x v="297"/>
    <x v="255"/>
    <x v="2"/>
    <x v="13"/>
    <x v="13"/>
    <x v="11"/>
    <x v="199"/>
    <x v="12"/>
    <x v="45"/>
    <x v="263"/>
    <x v="213"/>
    <x v="282"/>
    <x v="277"/>
    <x v="1"/>
    <x v="26"/>
    <x v="86"/>
    <x v="294"/>
    <x v="1"/>
    <x v="12"/>
    <x v="65"/>
  </r>
  <r>
    <x v="298"/>
    <x v="256"/>
    <x v="1"/>
    <x v="9"/>
    <x v="9"/>
    <x v="1"/>
    <x v="200"/>
    <x v="1"/>
    <x v="61"/>
    <x v="264"/>
    <x v="211"/>
    <x v="283"/>
    <x v="278"/>
    <x v="3"/>
    <x v="139"/>
    <x v="27"/>
    <x v="295"/>
    <x v="1"/>
    <x v="17"/>
    <x v="53"/>
  </r>
  <r>
    <x v="299"/>
    <x v="257"/>
    <x v="4"/>
    <x v="7"/>
    <x v="7"/>
    <x v="10"/>
    <x v="201"/>
    <x v="10"/>
    <x v="83"/>
    <x v="265"/>
    <x v="214"/>
    <x v="284"/>
    <x v="279"/>
    <x v="1"/>
    <x v="41"/>
    <x v="156"/>
    <x v="296"/>
    <x v="0"/>
    <x v="18"/>
    <x v="0"/>
  </r>
  <r>
    <x v="300"/>
    <x v="258"/>
    <x v="6"/>
    <x v="5"/>
    <x v="5"/>
    <x v="1"/>
    <x v="118"/>
    <x v="1"/>
    <x v="19"/>
    <x v="54"/>
    <x v="215"/>
    <x v="285"/>
    <x v="280"/>
    <x v="2"/>
    <x v="43"/>
    <x v="10"/>
    <x v="297"/>
    <x v="1"/>
    <x v="22"/>
    <x v="32"/>
  </r>
  <r>
    <x v="301"/>
    <x v="259"/>
    <x v="2"/>
    <x v="4"/>
    <x v="4"/>
    <x v="3"/>
    <x v="24"/>
    <x v="3"/>
    <x v="86"/>
    <x v="266"/>
    <x v="216"/>
    <x v="286"/>
    <x v="281"/>
    <x v="1"/>
    <x v="112"/>
    <x v="130"/>
    <x v="298"/>
    <x v="0"/>
    <x v="26"/>
    <x v="0"/>
  </r>
  <r>
    <x v="302"/>
    <x v="260"/>
    <x v="5"/>
    <x v="6"/>
    <x v="6"/>
    <x v="4"/>
    <x v="105"/>
    <x v="4"/>
    <x v="78"/>
    <x v="267"/>
    <x v="108"/>
    <x v="287"/>
    <x v="282"/>
    <x v="0"/>
    <x v="4"/>
    <x v="55"/>
    <x v="299"/>
    <x v="0"/>
    <x v="4"/>
    <x v="0"/>
  </r>
  <r>
    <x v="303"/>
    <x v="17"/>
    <x v="3"/>
    <x v="9"/>
    <x v="9"/>
    <x v="0"/>
    <x v="20"/>
    <x v="0"/>
    <x v="37"/>
    <x v="202"/>
    <x v="217"/>
    <x v="288"/>
    <x v="283"/>
    <x v="0"/>
    <x v="42"/>
    <x v="81"/>
    <x v="300"/>
    <x v="0"/>
    <x v="14"/>
    <x v="0"/>
  </r>
  <r>
    <x v="304"/>
    <x v="261"/>
    <x v="2"/>
    <x v="11"/>
    <x v="11"/>
    <x v="12"/>
    <x v="202"/>
    <x v="13"/>
    <x v="52"/>
    <x v="75"/>
    <x v="28"/>
    <x v="289"/>
    <x v="284"/>
    <x v="2"/>
    <x v="153"/>
    <x v="119"/>
    <x v="301"/>
    <x v="0"/>
    <x v="15"/>
    <x v="0"/>
  </r>
  <r>
    <x v="305"/>
    <x v="182"/>
    <x v="4"/>
    <x v="7"/>
    <x v="7"/>
    <x v="2"/>
    <x v="119"/>
    <x v="2"/>
    <x v="55"/>
    <x v="268"/>
    <x v="139"/>
    <x v="290"/>
    <x v="285"/>
    <x v="0"/>
    <x v="112"/>
    <x v="27"/>
    <x v="302"/>
    <x v="1"/>
    <x v="19"/>
    <x v="13"/>
  </r>
  <r>
    <x v="306"/>
    <x v="262"/>
    <x v="0"/>
    <x v="15"/>
    <x v="15"/>
    <x v="3"/>
    <x v="203"/>
    <x v="3"/>
    <x v="6"/>
    <x v="269"/>
    <x v="191"/>
    <x v="291"/>
    <x v="286"/>
    <x v="0"/>
    <x v="138"/>
    <x v="56"/>
    <x v="303"/>
    <x v="0"/>
    <x v="26"/>
    <x v="0"/>
  </r>
  <r>
    <x v="307"/>
    <x v="263"/>
    <x v="7"/>
    <x v="8"/>
    <x v="8"/>
    <x v="7"/>
    <x v="204"/>
    <x v="7"/>
    <x v="16"/>
    <x v="270"/>
    <x v="218"/>
    <x v="292"/>
    <x v="287"/>
    <x v="1"/>
    <x v="133"/>
    <x v="157"/>
    <x v="304"/>
    <x v="0"/>
    <x v="14"/>
    <x v="0"/>
  </r>
  <r>
    <x v="308"/>
    <x v="264"/>
    <x v="0"/>
    <x v="1"/>
    <x v="1"/>
    <x v="3"/>
    <x v="205"/>
    <x v="3"/>
    <x v="50"/>
    <x v="271"/>
    <x v="13"/>
    <x v="173"/>
    <x v="288"/>
    <x v="3"/>
    <x v="165"/>
    <x v="158"/>
    <x v="305"/>
    <x v="1"/>
    <x v="31"/>
    <x v="47"/>
  </r>
  <r>
    <x v="309"/>
    <x v="49"/>
    <x v="7"/>
    <x v="13"/>
    <x v="13"/>
    <x v="4"/>
    <x v="206"/>
    <x v="4"/>
    <x v="1"/>
    <x v="272"/>
    <x v="103"/>
    <x v="94"/>
    <x v="289"/>
    <x v="2"/>
    <x v="103"/>
    <x v="142"/>
    <x v="306"/>
    <x v="0"/>
    <x v="11"/>
    <x v="0"/>
  </r>
  <r>
    <x v="310"/>
    <x v="265"/>
    <x v="4"/>
    <x v="14"/>
    <x v="14"/>
    <x v="6"/>
    <x v="54"/>
    <x v="6"/>
    <x v="70"/>
    <x v="273"/>
    <x v="5"/>
    <x v="293"/>
    <x v="290"/>
    <x v="0"/>
    <x v="176"/>
    <x v="21"/>
    <x v="307"/>
    <x v="0"/>
    <x v="19"/>
    <x v="0"/>
  </r>
  <r>
    <x v="311"/>
    <x v="249"/>
    <x v="7"/>
    <x v="3"/>
    <x v="3"/>
    <x v="15"/>
    <x v="207"/>
    <x v="16"/>
    <x v="27"/>
    <x v="74"/>
    <x v="36"/>
    <x v="294"/>
    <x v="291"/>
    <x v="2"/>
    <x v="111"/>
    <x v="8"/>
    <x v="308"/>
    <x v="0"/>
    <x v="1"/>
    <x v="0"/>
  </r>
  <r>
    <x v="312"/>
    <x v="266"/>
    <x v="7"/>
    <x v="10"/>
    <x v="10"/>
    <x v="13"/>
    <x v="208"/>
    <x v="14"/>
    <x v="28"/>
    <x v="274"/>
    <x v="143"/>
    <x v="295"/>
    <x v="292"/>
    <x v="1"/>
    <x v="177"/>
    <x v="135"/>
    <x v="162"/>
    <x v="1"/>
    <x v="28"/>
    <x v="0"/>
  </r>
  <r>
    <x v="313"/>
    <x v="55"/>
    <x v="1"/>
    <x v="15"/>
    <x v="15"/>
    <x v="4"/>
    <x v="209"/>
    <x v="4"/>
    <x v="80"/>
    <x v="275"/>
    <x v="109"/>
    <x v="296"/>
    <x v="293"/>
    <x v="2"/>
    <x v="178"/>
    <x v="158"/>
    <x v="309"/>
    <x v="1"/>
    <x v="8"/>
    <x v="66"/>
  </r>
  <r>
    <x v="314"/>
    <x v="267"/>
    <x v="7"/>
    <x v="1"/>
    <x v="1"/>
    <x v="7"/>
    <x v="93"/>
    <x v="7"/>
    <x v="43"/>
    <x v="276"/>
    <x v="149"/>
    <x v="297"/>
    <x v="294"/>
    <x v="3"/>
    <x v="121"/>
    <x v="159"/>
    <x v="310"/>
    <x v="1"/>
    <x v="1"/>
    <x v="67"/>
  </r>
  <r>
    <x v="315"/>
    <x v="268"/>
    <x v="4"/>
    <x v="14"/>
    <x v="14"/>
    <x v="15"/>
    <x v="210"/>
    <x v="16"/>
    <x v="88"/>
    <x v="277"/>
    <x v="158"/>
    <x v="206"/>
    <x v="124"/>
    <x v="1"/>
    <x v="120"/>
    <x v="160"/>
    <x v="311"/>
    <x v="2"/>
    <x v="5"/>
    <x v="0"/>
  </r>
  <r>
    <x v="316"/>
    <x v="269"/>
    <x v="5"/>
    <x v="5"/>
    <x v="5"/>
    <x v="14"/>
    <x v="189"/>
    <x v="15"/>
    <x v="11"/>
    <x v="278"/>
    <x v="151"/>
    <x v="298"/>
    <x v="295"/>
    <x v="1"/>
    <x v="179"/>
    <x v="161"/>
    <x v="312"/>
    <x v="1"/>
    <x v="2"/>
    <x v="68"/>
  </r>
  <r>
    <x v="317"/>
    <x v="270"/>
    <x v="3"/>
    <x v="14"/>
    <x v="14"/>
    <x v="17"/>
    <x v="62"/>
    <x v="18"/>
    <x v="72"/>
    <x v="279"/>
    <x v="39"/>
    <x v="299"/>
    <x v="296"/>
    <x v="0"/>
    <x v="180"/>
    <x v="124"/>
    <x v="313"/>
    <x v="1"/>
    <x v="6"/>
    <x v="69"/>
  </r>
  <r>
    <x v="318"/>
    <x v="271"/>
    <x v="2"/>
    <x v="3"/>
    <x v="3"/>
    <x v="12"/>
    <x v="116"/>
    <x v="13"/>
    <x v="4"/>
    <x v="261"/>
    <x v="219"/>
    <x v="300"/>
    <x v="297"/>
    <x v="1"/>
    <x v="102"/>
    <x v="2"/>
    <x v="314"/>
    <x v="0"/>
    <x v="11"/>
    <x v="0"/>
  </r>
  <r>
    <x v="319"/>
    <x v="272"/>
    <x v="0"/>
    <x v="10"/>
    <x v="10"/>
    <x v="8"/>
    <x v="80"/>
    <x v="8"/>
    <x v="50"/>
    <x v="280"/>
    <x v="220"/>
    <x v="301"/>
    <x v="298"/>
    <x v="0"/>
    <x v="136"/>
    <x v="103"/>
    <x v="315"/>
    <x v="0"/>
    <x v="5"/>
    <x v="0"/>
  </r>
  <r>
    <x v="320"/>
    <x v="273"/>
    <x v="6"/>
    <x v="5"/>
    <x v="5"/>
    <x v="10"/>
    <x v="193"/>
    <x v="10"/>
    <x v="68"/>
    <x v="281"/>
    <x v="221"/>
    <x v="302"/>
    <x v="299"/>
    <x v="0"/>
    <x v="45"/>
    <x v="162"/>
    <x v="316"/>
    <x v="1"/>
    <x v="10"/>
    <x v="70"/>
  </r>
  <r>
    <x v="321"/>
    <x v="274"/>
    <x v="6"/>
    <x v="12"/>
    <x v="12"/>
    <x v="0"/>
    <x v="165"/>
    <x v="0"/>
    <x v="2"/>
    <x v="282"/>
    <x v="18"/>
    <x v="303"/>
    <x v="300"/>
    <x v="0"/>
    <x v="181"/>
    <x v="147"/>
    <x v="317"/>
    <x v="1"/>
    <x v="34"/>
    <x v="41"/>
  </r>
  <r>
    <x v="322"/>
    <x v="275"/>
    <x v="6"/>
    <x v="4"/>
    <x v="19"/>
    <x v="2"/>
    <x v="211"/>
    <x v="2"/>
    <x v="25"/>
    <x v="283"/>
    <x v="205"/>
    <x v="304"/>
    <x v="301"/>
    <x v="1"/>
    <x v="130"/>
    <x v="144"/>
    <x v="318"/>
    <x v="0"/>
    <x v="33"/>
    <x v="0"/>
  </r>
  <r>
    <x v="323"/>
    <x v="264"/>
    <x v="4"/>
    <x v="11"/>
    <x v="11"/>
    <x v="6"/>
    <x v="140"/>
    <x v="6"/>
    <x v="74"/>
    <x v="284"/>
    <x v="8"/>
    <x v="305"/>
    <x v="302"/>
    <x v="0"/>
    <x v="24"/>
    <x v="163"/>
    <x v="319"/>
    <x v="1"/>
    <x v="31"/>
    <x v="71"/>
  </r>
  <r>
    <x v="324"/>
    <x v="276"/>
    <x v="2"/>
    <x v="11"/>
    <x v="11"/>
    <x v="3"/>
    <x v="15"/>
    <x v="3"/>
    <x v="52"/>
    <x v="285"/>
    <x v="222"/>
    <x v="306"/>
    <x v="303"/>
    <x v="3"/>
    <x v="149"/>
    <x v="112"/>
    <x v="320"/>
    <x v="1"/>
    <x v="8"/>
    <x v="72"/>
  </r>
  <r>
    <x v="325"/>
    <x v="277"/>
    <x v="1"/>
    <x v="15"/>
    <x v="15"/>
    <x v="18"/>
    <x v="170"/>
    <x v="19"/>
    <x v="23"/>
    <x v="286"/>
    <x v="35"/>
    <x v="307"/>
    <x v="304"/>
    <x v="2"/>
    <x v="182"/>
    <x v="74"/>
    <x v="321"/>
    <x v="0"/>
    <x v="1"/>
    <x v="0"/>
  </r>
  <r>
    <x v="326"/>
    <x v="278"/>
    <x v="4"/>
    <x v="14"/>
    <x v="14"/>
    <x v="11"/>
    <x v="212"/>
    <x v="12"/>
    <x v="69"/>
    <x v="287"/>
    <x v="223"/>
    <x v="56"/>
    <x v="124"/>
    <x v="1"/>
    <x v="119"/>
    <x v="12"/>
    <x v="322"/>
    <x v="1"/>
    <x v="30"/>
    <x v="51"/>
  </r>
  <r>
    <x v="327"/>
    <x v="279"/>
    <x v="5"/>
    <x v="17"/>
    <x v="17"/>
    <x v="4"/>
    <x v="213"/>
    <x v="4"/>
    <x v="78"/>
    <x v="71"/>
    <x v="224"/>
    <x v="308"/>
    <x v="305"/>
    <x v="0"/>
    <x v="78"/>
    <x v="111"/>
    <x v="323"/>
    <x v="0"/>
    <x v="8"/>
    <x v="0"/>
  </r>
  <r>
    <x v="328"/>
    <x v="280"/>
    <x v="4"/>
    <x v="4"/>
    <x v="19"/>
    <x v="7"/>
    <x v="123"/>
    <x v="7"/>
    <x v="65"/>
    <x v="288"/>
    <x v="115"/>
    <x v="309"/>
    <x v="306"/>
    <x v="2"/>
    <x v="2"/>
    <x v="77"/>
    <x v="324"/>
    <x v="1"/>
    <x v="14"/>
    <x v="73"/>
  </r>
  <r>
    <x v="329"/>
    <x v="36"/>
    <x v="4"/>
    <x v="17"/>
    <x v="17"/>
    <x v="0"/>
    <x v="214"/>
    <x v="0"/>
    <x v="70"/>
    <x v="289"/>
    <x v="225"/>
    <x v="310"/>
    <x v="9"/>
    <x v="2"/>
    <x v="139"/>
    <x v="163"/>
    <x v="325"/>
    <x v="0"/>
    <x v="5"/>
    <x v="0"/>
  </r>
  <r>
    <x v="330"/>
    <x v="281"/>
    <x v="7"/>
    <x v="13"/>
    <x v="13"/>
    <x v="14"/>
    <x v="215"/>
    <x v="15"/>
    <x v="76"/>
    <x v="290"/>
    <x v="45"/>
    <x v="311"/>
    <x v="307"/>
    <x v="1"/>
    <x v="157"/>
    <x v="49"/>
    <x v="326"/>
    <x v="1"/>
    <x v="9"/>
    <x v="55"/>
  </r>
  <r>
    <x v="331"/>
    <x v="282"/>
    <x v="2"/>
    <x v="14"/>
    <x v="14"/>
    <x v="5"/>
    <x v="216"/>
    <x v="5"/>
    <x v="67"/>
    <x v="291"/>
    <x v="214"/>
    <x v="312"/>
    <x v="308"/>
    <x v="0"/>
    <x v="148"/>
    <x v="164"/>
    <x v="327"/>
    <x v="0"/>
    <x v="15"/>
    <x v="0"/>
  </r>
  <r>
    <x v="332"/>
    <x v="283"/>
    <x v="0"/>
    <x v="10"/>
    <x v="10"/>
    <x v="16"/>
    <x v="217"/>
    <x v="17"/>
    <x v="22"/>
    <x v="292"/>
    <x v="226"/>
    <x v="313"/>
    <x v="309"/>
    <x v="2"/>
    <x v="108"/>
    <x v="64"/>
    <x v="328"/>
    <x v="1"/>
    <x v="6"/>
    <x v="7"/>
  </r>
  <r>
    <x v="333"/>
    <x v="134"/>
    <x v="3"/>
    <x v="11"/>
    <x v="11"/>
    <x v="14"/>
    <x v="126"/>
    <x v="15"/>
    <x v="94"/>
    <x v="293"/>
    <x v="227"/>
    <x v="314"/>
    <x v="310"/>
    <x v="0"/>
    <x v="87"/>
    <x v="25"/>
    <x v="329"/>
    <x v="1"/>
    <x v="10"/>
    <x v="49"/>
  </r>
  <r>
    <x v="334"/>
    <x v="284"/>
    <x v="1"/>
    <x v="10"/>
    <x v="10"/>
    <x v="11"/>
    <x v="34"/>
    <x v="12"/>
    <x v="72"/>
    <x v="105"/>
    <x v="87"/>
    <x v="315"/>
    <x v="311"/>
    <x v="0"/>
    <x v="134"/>
    <x v="133"/>
    <x v="330"/>
    <x v="0"/>
    <x v="29"/>
    <x v="0"/>
  </r>
  <r>
    <x v="335"/>
    <x v="285"/>
    <x v="1"/>
    <x v="3"/>
    <x v="3"/>
    <x v="2"/>
    <x v="197"/>
    <x v="2"/>
    <x v="6"/>
    <x v="294"/>
    <x v="228"/>
    <x v="316"/>
    <x v="312"/>
    <x v="0"/>
    <x v="183"/>
    <x v="131"/>
    <x v="331"/>
    <x v="1"/>
    <x v="10"/>
    <x v="74"/>
  </r>
  <r>
    <x v="336"/>
    <x v="286"/>
    <x v="6"/>
    <x v="2"/>
    <x v="2"/>
    <x v="6"/>
    <x v="68"/>
    <x v="11"/>
    <x v="46"/>
    <x v="295"/>
    <x v="229"/>
    <x v="317"/>
    <x v="313"/>
    <x v="2"/>
    <x v="92"/>
    <x v="4"/>
    <x v="332"/>
    <x v="0"/>
    <x v="27"/>
    <x v="0"/>
  </r>
  <r>
    <x v="337"/>
    <x v="287"/>
    <x v="3"/>
    <x v="4"/>
    <x v="19"/>
    <x v="3"/>
    <x v="24"/>
    <x v="3"/>
    <x v="54"/>
    <x v="64"/>
    <x v="230"/>
    <x v="318"/>
    <x v="314"/>
    <x v="1"/>
    <x v="154"/>
    <x v="133"/>
    <x v="333"/>
    <x v="1"/>
    <x v="13"/>
    <x v="24"/>
  </r>
  <r>
    <x v="338"/>
    <x v="288"/>
    <x v="6"/>
    <x v="4"/>
    <x v="19"/>
    <x v="1"/>
    <x v="85"/>
    <x v="1"/>
    <x v="95"/>
    <x v="296"/>
    <x v="202"/>
    <x v="319"/>
    <x v="315"/>
    <x v="2"/>
    <x v="131"/>
    <x v="37"/>
    <x v="334"/>
    <x v="1"/>
    <x v="17"/>
    <x v="75"/>
  </r>
  <r>
    <x v="339"/>
    <x v="289"/>
    <x v="4"/>
    <x v="4"/>
    <x v="4"/>
    <x v="5"/>
    <x v="149"/>
    <x v="5"/>
    <x v="0"/>
    <x v="297"/>
    <x v="231"/>
    <x v="320"/>
    <x v="316"/>
    <x v="1"/>
    <x v="119"/>
    <x v="64"/>
    <x v="335"/>
    <x v="0"/>
    <x v="6"/>
    <x v="0"/>
  </r>
  <r>
    <x v="340"/>
    <x v="290"/>
    <x v="0"/>
    <x v="14"/>
    <x v="14"/>
    <x v="5"/>
    <x v="216"/>
    <x v="5"/>
    <x v="66"/>
    <x v="140"/>
    <x v="128"/>
    <x v="321"/>
    <x v="317"/>
    <x v="2"/>
    <x v="54"/>
    <x v="159"/>
    <x v="336"/>
    <x v="1"/>
    <x v="4"/>
    <x v="76"/>
  </r>
  <r>
    <x v="341"/>
    <x v="291"/>
    <x v="5"/>
    <x v="7"/>
    <x v="7"/>
    <x v="3"/>
    <x v="70"/>
    <x v="3"/>
    <x v="71"/>
    <x v="108"/>
    <x v="232"/>
    <x v="322"/>
    <x v="318"/>
    <x v="1"/>
    <x v="184"/>
    <x v="113"/>
    <x v="337"/>
    <x v="0"/>
    <x v="11"/>
    <x v="0"/>
  </r>
  <r>
    <x v="342"/>
    <x v="292"/>
    <x v="7"/>
    <x v="18"/>
    <x v="18"/>
    <x v="18"/>
    <x v="141"/>
    <x v="19"/>
    <x v="84"/>
    <x v="298"/>
    <x v="233"/>
    <x v="323"/>
    <x v="319"/>
    <x v="0"/>
    <x v="185"/>
    <x v="34"/>
    <x v="338"/>
    <x v="0"/>
    <x v="25"/>
    <x v="0"/>
  </r>
  <r>
    <x v="343"/>
    <x v="136"/>
    <x v="1"/>
    <x v="17"/>
    <x v="17"/>
    <x v="16"/>
    <x v="76"/>
    <x v="17"/>
    <x v="18"/>
    <x v="299"/>
    <x v="234"/>
    <x v="324"/>
    <x v="320"/>
    <x v="2"/>
    <x v="186"/>
    <x v="69"/>
    <x v="339"/>
    <x v="1"/>
    <x v="24"/>
    <x v="47"/>
  </r>
  <r>
    <x v="344"/>
    <x v="293"/>
    <x v="5"/>
    <x v="11"/>
    <x v="11"/>
    <x v="13"/>
    <x v="218"/>
    <x v="14"/>
    <x v="53"/>
    <x v="297"/>
    <x v="235"/>
    <x v="325"/>
    <x v="321"/>
    <x v="1"/>
    <x v="187"/>
    <x v="54"/>
    <x v="340"/>
    <x v="0"/>
    <x v="34"/>
    <x v="0"/>
  </r>
  <r>
    <x v="345"/>
    <x v="294"/>
    <x v="2"/>
    <x v="15"/>
    <x v="15"/>
    <x v="10"/>
    <x v="219"/>
    <x v="10"/>
    <x v="80"/>
    <x v="300"/>
    <x v="170"/>
    <x v="326"/>
    <x v="322"/>
    <x v="0"/>
    <x v="188"/>
    <x v="140"/>
    <x v="341"/>
    <x v="1"/>
    <x v="19"/>
    <x v="0"/>
  </r>
  <r>
    <x v="346"/>
    <x v="295"/>
    <x v="5"/>
    <x v="8"/>
    <x v="8"/>
    <x v="14"/>
    <x v="220"/>
    <x v="15"/>
    <x v="1"/>
    <x v="301"/>
    <x v="156"/>
    <x v="327"/>
    <x v="323"/>
    <x v="0"/>
    <x v="189"/>
    <x v="19"/>
    <x v="342"/>
    <x v="0"/>
    <x v="3"/>
    <x v="0"/>
  </r>
  <r>
    <x v="347"/>
    <x v="296"/>
    <x v="3"/>
    <x v="7"/>
    <x v="7"/>
    <x v="6"/>
    <x v="181"/>
    <x v="6"/>
    <x v="19"/>
    <x v="302"/>
    <x v="236"/>
    <x v="328"/>
    <x v="324"/>
    <x v="2"/>
    <x v="14"/>
    <x v="127"/>
    <x v="343"/>
    <x v="0"/>
    <x v="24"/>
    <x v="0"/>
  </r>
  <r>
    <x v="348"/>
    <x v="297"/>
    <x v="0"/>
    <x v="4"/>
    <x v="19"/>
    <x v="5"/>
    <x v="149"/>
    <x v="5"/>
    <x v="74"/>
    <x v="303"/>
    <x v="52"/>
    <x v="329"/>
    <x v="325"/>
    <x v="0"/>
    <x v="116"/>
    <x v="0"/>
    <x v="344"/>
    <x v="0"/>
    <x v="25"/>
    <x v="0"/>
  </r>
  <r>
    <x v="349"/>
    <x v="281"/>
    <x v="3"/>
    <x v="2"/>
    <x v="2"/>
    <x v="13"/>
    <x v="29"/>
    <x v="14"/>
    <x v="6"/>
    <x v="304"/>
    <x v="105"/>
    <x v="330"/>
    <x v="326"/>
    <x v="0"/>
    <x v="114"/>
    <x v="8"/>
    <x v="345"/>
    <x v="1"/>
    <x v="9"/>
    <x v="77"/>
  </r>
  <r>
    <x v="350"/>
    <x v="298"/>
    <x v="5"/>
    <x v="8"/>
    <x v="8"/>
    <x v="6"/>
    <x v="221"/>
    <x v="11"/>
    <x v="53"/>
    <x v="305"/>
    <x v="197"/>
    <x v="331"/>
    <x v="327"/>
    <x v="1"/>
    <x v="133"/>
    <x v="10"/>
    <x v="346"/>
    <x v="1"/>
    <x v="4"/>
    <x v="6"/>
  </r>
  <r>
    <x v="351"/>
    <x v="299"/>
    <x v="7"/>
    <x v="3"/>
    <x v="3"/>
    <x v="6"/>
    <x v="22"/>
    <x v="11"/>
    <x v="5"/>
    <x v="93"/>
    <x v="237"/>
    <x v="113"/>
    <x v="328"/>
    <x v="0"/>
    <x v="168"/>
    <x v="106"/>
    <x v="151"/>
    <x v="0"/>
    <x v="1"/>
    <x v="0"/>
  </r>
  <r>
    <x v="352"/>
    <x v="300"/>
    <x v="2"/>
    <x v="17"/>
    <x v="17"/>
    <x v="17"/>
    <x v="108"/>
    <x v="18"/>
    <x v="54"/>
    <x v="81"/>
    <x v="238"/>
    <x v="93"/>
    <x v="329"/>
    <x v="0"/>
    <x v="190"/>
    <x v="3"/>
    <x v="347"/>
    <x v="1"/>
    <x v="3"/>
    <x v="78"/>
  </r>
  <r>
    <x v="353"/>
    <x v="195"/>
    <x v="6"/>
    <x v="16"/>
    <x v="16"/>
    <x v="7"/>
    <x v="35"/>
    <x v="7"/>
    <x v="23"/>
    <x v="306"/>
    <x v="50"/>
    <x v="332"/>
    <x v="330"/>
    <x v="0"/>
    <x v="53"/>
    <x v="159"/>
    <x v="348"/>
    <x v="1"/>
    <x v="8"/>
    <x v="50"/>
  </r>
  <r>
    <x v="354"/>
    <x v="301"/>
    <x v="7"/>
    <x v="4"/>
    <x v="4"/>
    <x v="16"/>
    <x v="146"/>
    <x v="17"/>
    <x v="48"/>
    <x v="280"/>
    <x v="100"/>
    <x v="333"/>
    <x v="331"/>
    <x v="0"/>
    <x v="191"/>
    <x v="41"/>
    <x v="349"/>
    <x v="0"/>
    <x v="28"/>
    <x v="0"/>
  </r>
  <r>
    <x v="355"/>
    <x v="302"/>
    <x v="3"/>
    <x v="5"/>
    <x v="5"/>
    <x v="10"/>
    <x v="193"/>
    <x v="10"/>
    <x v="6"/>
    <x v="113"/>
    <x v="142"/>
    <x v="334"/>
    <x v="332"/>
    <x v="2"/>
    <x v="140"/>
    <x v="112"/>
    <x v="350"/>
    <x v="0"/>
    <x v="4"/>
    <x v="0"/>
  </r>
  <r>
    <x v="356"/>
    <x v="303"/>
    <x v="3"/>
    <x v="10"/>
    <x v="10"/>
    <x v="15"/>
    <x v="113"/>
    <x v="16"/>
    <x v="66"/>
    <x v="142"/>
    <x v="29"/>
    <x v="335"/>
    <x v="333"/>
    <x v="0"/>
    <x v="121"/>
    <x v="75"/>
    <x v="351"/>
    <x v="1"/>
    <x v="10"/>
    <x v="19"/>
  </r>
  <r>
    <x v="357"/>
    <x v="304"/>
    <x v="0"/>
    <x v="1"/>
    <x v="1"/>
    <x v="9"/>
    <x v="16"/>
    <x v="9"/>
    <x v="61"/>
    <x v="307"/>
    <x v="84"/>
    <x v="336"/>
    <x v="334"/>
    <x v="0"/>
    <x v="40"/>
    <x v="130"/>
    <x v="352"/>
    <x v="1"/>
    <x v="3"/>
    <x v="67"/>
  </r>
  <r>
    <x v="358"/>
    <x v="305"/>
    <x v="6"/>
    <x v="16"/>
    <x v="16"/>
    <x v="4"/>
    <x v="106"/>
    <x v="4"/>
    <x v="26"/>
    <x v="308"/>
    <x v="47"/>
    <x v="337"/>
    <x v="335"/>
    <x v="1"/>
    <x v="179"/>
    <x v="165"/>
    <x v="353"/>
    <x v="0"/>
    <x v="29"/>
    <x v="0"/>
  </r>
  <r>
    <x v="359"/>
    <x v="131"/>
    <x v="4"/>
    <x v="7"/>
    <x v="7"/>
    <x v="18"/>
    <x v="110"/>
    <x v="19"/>
    <x v="36"/>
    <x v="309"/>
    <x v="239"/>
    <x v="201"/>
    <x v="336"/>
    <x v="2"/>
    <x v="192"/>
    <x v="147"/>
    <x v="354"/>
    <x v="0"/>
    <x v="15"/>
    <x v="0"/>
  </r>
  <r>
    <x v="360"/>
    <x v="306"/>
    <x v="6"/>
    <x v="6"/>
    <x v="6"/>
    <x v="12"/>
    <x v="41"/>
    <x v="13"/>
    <x v="65"/>
    <x v="310"/>
    <x v="240"/>
    <x v="338"/>
    <x v="337"/>
    <x v="0"/>
    <x v="193"/>
    <x v="4"/>
    <x v="355"/>
    <x v="0"/>
    <x v="23"/>
    <x v="0"/>
  </r>
  <r>
    <x v="361"/>
    <x v="198"/>
    <x v="3"/>
    <x v="5"/>
    <x v="5"/>
    <x v="16"/>
    <x v="222"/>
    <x v="17"/>
    <x v="4"/>
    <x v="311"/>
    <x v="241"/>
    <x v="339"/>
    <x v="14"/>
    <x v="1"/>
    <x v="194"/>
    <x v="102"/>
    <x v="356"/>
    <x v="0"/>
    <x v="26"/>
    <x v="0"/>
  </r>
  <r>
    <x v="362"/>
    <x v="307"/>
    <x v="4"/>
    <x v="15"/>
    <x v="15"/>
    <x v="3"/>
    <x v="203"/>
    <x v="3"/>
    <x v="90"/>
    <x v="312"/>
    <x v="136"/>
    <x v="340"/>
    <x v="338"/>
    <x v="0"/>
    <x v="184"/>
    <x v="81"/>
    <x v="357"/>
    <x v="1"/>
    <x v="20"/>
    <x v="79"/>
  </r>
  <r>
    <x v="363"/>
    <x v="308"/>
    <x v="3"/>
    <x v="0"/>
    <x v="0"/>
    <x v="17"/>
    <x v="223"/>
    <x v="18"/>
    <x v="79"/>
    <x v="313"/>
    <x v="11"/>
    <x v="341"/>
    <x v="339"/>
    <x v="0"/>
    <x v="84"/>
    <x v="29"/>
    <x v="358"/>
    <x v="1"/>
    <x v="14"/>
    <x v="80"/>
  </r>
  <r>
    <x v="364"/>
    <x v="309"/>
    <x v="6"/>
    <x v="3"/>
    <x v="3"/>
    <x v="7"/>
    <x v="92"/>
    <x v="7"/>
    <x v="81"/>
    <x v="314"/>
    <x v="242"/>
    <x v="119"/>
    <x v="340"/>
    <x v="0"/>
    <x v="77"/>
    <x v="112"/>
    <x v="359"/>
    <x v="0"/>
    <x v="24"/>
    <x v="0"/>
  </r>
  <r>
    <x v="365"/>
    <x v="202"/>
    <x v="7"/>
    <x v="2"/>
    <x v="2"/>
    <x v="18"/>
    <x v="224"/>
    <x v="19"/>
    <x v="17"/>
    <x v="315"/>
    <x v="61"/>
    <x v="342"/>
    <x v="341"/>
    <x v="2"/>
    <x v="195"/>
    <x v="166"/>
    <x v="360"/>
    <x v="0"/>
    <x v="9"/>
    <x v="0"/>
  </r>
  <r>
    <x v="366"/>
    <x v="310"/>
    <x v="4"/>
    <x v="9"/>
    <x v="9"/>
    <x v="16"/>
    <x v="127"/>
    <x v="17"/>
    <x v="10"/>
    <x v="51"/>
    <x v="126"/>
    <x v="343"/>
    <x v="342"/>
    <x v="0"/>
    <x v="196"/>
    <x v="19"/>
    <x v="361"/>
    <x v="0"/>
    <x v="35"/>
    <x v="0"/>
  </r>
  <r>
    <x v="367"/>
    <x v="287"/>
    <x v="0"/>
    <x v="17"/>
    <x v="17"/>
    <x v="1"/>
    <x v="225"/>
    <x v="1"/>
    <x v="21"/>
    <x v="316"/>
    <x v="104"/>
    <x v="181"/>
    <x v="343"/>
    <x v="3"/>
    <x v="57"/>
    <x v="167"/>
    <x v="362"/>
    <x v="0"/>
    <x v="13"/>
    <x v="0"/>
  </r>
  <r>
    <x v="368"/>
    <x v="311"/>
    <x v="4"/>
    <x v="9"/>
    <x v="9"/>
    <x v="11"/>
    <x v="25"/>
    <x v="12"/>
    <x v="81"/>
    <x v="315"/>
    <x v="43"/>
    <x v="344"/>
    <x v="344"/>
    <x v="0"/>
    <x v="55"/>
    <x v="94"/>
    <x v="363"/>
    <x v="0"/>
    <x v="1"/>
    <x v="0"/>
  </r>
  <r>
    <x v="369"/>
    <x v="15"/>
    <x v="5"/>
    <x v="10"/>
    <x v="10"/>
    <x v="12"/>
    <x v="226"/>
    <x v="13"/>
    <x v="42"/>
    <x v="317"/>
    <x v="243"/>
    <x v="345"/>
    <x v="345"/>
    <x v="3"/>
    <x v="159"/>
    <x v="0"/>
    <x v="364"/>
    <x v="1"/>
    <x v="12"/>
    <x v="81"/>
  </r>
  <r>
    <x v="370"/>
    <x v="312"/>
    <x v="4"/>
    <x v="4"/>
    <x v="19"/>
    <x v="18"/>
    <x v="227"/>
    <x v="19"/>
    <x v="59"/>
    <x v="318"/>
    <x v="98"/>
    <x v="272"/>
    <x v="346"/>
    <x v="1"/>
    <x v="14"/>
    <x v="127"/>
    <x v="343"/>
    <x v="0"/>
    <x v="18"/>
    <x v="0"/>
  </r>
  <r>
    <x v="371"/>
    <x v="313"/>
    <x v="6"/>
    <x v="0"/>
    <x v="0"/>
    <x v="14"/>
    <x v="228"/>
    <x v="15"/>
    <x v="75"/>
    <x v="319"/>
    <x v="244"/>
    <x v="89"/>
    <x v="55"/>
    <x v="0"/>
    <x v="51"/>
    <x v="69"/>
    <x v="365"/>
    <x v="0"/>
    <x v="3"/>
    <x v="0"/>
  </r>
  <r>
    <x v="372"/>
    <x v="314"/>
    <x v="5"/>
    <x v="18"/>
    <x v="18"/>
    <x v="1"/>
    <x v="63"/>
    <x v="1"/>
    <x v="77"/>
    <x v="320"/>
    <x v="121"/>
    <x v="346"/>
    <x v="347"/>
    <x v="0"/>
    <x v="197"/>
    <x v="159"/>
    <x v="366"/>
    <x v="0"/>
    <x v="20"/>
    <x v="0"/>
  </r>
  <r>
    <x v="373"/>
    <x v="186"/>
    <x v="5"/>
    <x v="9"/>
    <x v="9"/>
    <x v="9"/>
    <x v="83"/>
    <x v="9"/>
    <x v="13"/>
    <x v="177"/>
    <x v="140"/>
    <x v="14"/>
    <x v="348"/>
    <x v="1"/>
    <x v="3"/>
    <x v="41"/>
    <x v="367"/>
    <x v="1"/>
    <x v="12"/>
    <x v="11"/>
  </r>
  <r>
    <x v="374"/>
    <x v="315"/>
    <x v="7"/>
    <x v="3"/>
    <x v="3"/>
    <x v="4"/>
    <x v="137"/>
    <x v="4"/>
    <x v="10"/>
    <x v="321"/>
    <x v="245"/>
    <x v="347"/>
    <x v="13"/>
    <x v="0"/>
    <x v="106"/>
    <x v="168"/>
    <x v="368"/>
    <x v="0"/>
    <x v="22"/>
    <x v="0"/>
  </r>
  <r>
    <x v="375"/>
    <x v="166"/>
    <x v="1"/>
    <x v="3"/>
    <x v="3"/>
    <x v="17"/>
    <x v="97"/>
    <x v="18"/>
    <x v="80"/>
    <x v="322"/>
    <x v="167"/>
    <x v="348"/>
    <x v="349"/>
    <x v="2"/>
    <x v="0"/>
    <x v="15"/>
    <x v="369"/>
    <x v="1"/>
    <x v="25"/>
    <x v="82"/>
  </r>
  <r>
    <x v="376"/>
    <x v="316"/>
    <x v="4"/>
    <x v="4"/>
    <x v="19"/>
    <x v="13"/>
    <x v="100"/>
    <x v="14"/>
    <x v="84"/>
    <x v="323"/>
    <x v="0"/>
    <x v="349"/>
    <x v="350"/>
    <x v="0"/>
    <x v="198"/>
    <x v="24"/>
    <x v="370"/>
    <x v="1"/>
    <x v="29"/>
    <x v="83"/>
  </r>
  <r>
    <x v="377"/>
    <x v="317"/>
    <x v="2"/>
    <x v="0"/>
    <x v="0"/>
    <x v="0"/>
    <x v="0"/>
    <x v="0"/>
    <x v="69"/>
    <x v="65"/>
    <x v="77"/>
    <x v="350"/>
    <x v="15"/>
    <x v="1"/>
    <x v="93"/>
    <x v="163"/>
    <x v="371"/>
    <x v="0"/>
    <x v="23"/>
    <x v="0"/>
  </r>
  <r>
    <x v="378"/>
    <x v="318"/>
    <x v="7"/>
    <x v="12"/>
    <x v="12"/>
    <x v="16"/>
    <x v="94"/>
    <x v="17"/>
    <x v="9"/>
    <x v="324"/>
    <x v="179"/>
    <x v="351"/>
    <x v="351"/>
    <x v="1"/>
    <x v="144"/>
    <x v="123"/>
    <x v="372"/>
    <x v="0"/>
    <x v="7"/>
    <x v="0"/>
  </r>
  <r>
    <x v="379"/>
    <x v="319"/>
    <x v="2"/>
    <x v="16"/>
    <x v="16"/>
    <x v="7"/>
    <x v="35"/>
    <x v="7"/>
    <x v="36"/>
    <x v="325"/>
    <x v="213"/>
    <x v="352"/>
    <x v="352"/>
    <x v="1"/>
    <x v="60"/>
    <x v="169"/>
    <x v="373"/>
    <x v="2"/>
    <x v="10"/>
    <x v="0"/>
  </r>
  <r>
    <x v="380"/>
    <x v="320"/>
    <x v="2"/>
    <x v="17"/>
    <x v="17"/>
    <x v="18"/>
    <x v="229"/>
    <x v="19"/>
    <x v="84"/>
    <x v="7"/>
    <x v="60"/>
    <x v="10"/>
    <x v="353"/>
    <x v="2"/>
    <x v="6"/>
    <x v="42"/>
    <x v="374"/>
    <x v="0"/>
    <x v="32"/>
    <x v="0"/>
  </r>
  <r>
    <x v="381"/>
    <x v="321"/>
    <x v="6"/>
    <x v="12"/>
    <x v="12"/>
    <x v="5"/>
    <x v="111"/>
    <x v="5"/>
    <x v="5"/>
    <x v="326"/>
    <x v="246"/>
    <x v="183"/>
    <x v="354"/>
    <x v="2"/>
    <x v="101"/>
    <x v="104"/>
    <x v="375"/>
    <x v="0"/>
    <x v="26"/>
    <x v="0"/>
  </r>
  <r>
    <x v="382"/>
    <x v="32"/>
    <x v="1"/>
    <x v="1"/>
    <x v="1"/>
    <x v="13"/>
    <x v="230"/>
    <x v="14"/>
    <x v="6"/>
    <x v="327"/>
    <x v="2"/>
    <x v="353"/>
    <x v="355"/>
    <x v="2"/>
    <x v="199"/>
    <x v="29"/>
    <x v="376"/>
    <x v="0"/>
    <x v="18"/>
    <x v="0"/>
  </r>
  <r>
    <x v="383"/>
    <x v="322"/>
    <x v="0"/>
    <x v="6"/>
    <x v="6"/>
    <x v="18"/>
    <x v="179"/>
    <x v="19"/>
    <x v="59"/>
    <x v="328"/>
    <x v="79"/>
    <x v="354"/>
    <x v="356"/>
    <x v="1"/>
    <x v="42"/>
    <x v="94"/>
    <x v="377"/>
    <x v="0"/>
    <x v="12"/>
    <x v="0"/>
  </r>
  <r>
    <x v="384"/>
    <x v="323"/>
    <x v="3"/>
    <x v="11"/>
    <x v="11"/>
    <x v="1"/>
    <x v="21"/>
    <x v="1"/>
    <x v="33"/>
    <x v="329"/>
    <x v="247"/>
    <x v="355"/>
    <x v="357"/>
    <x v="1"/>
    <x v="118"/>
    <x v="170"/>
    <x v="378"/>
    <x v="0"/>
    <x v="24"/>
    <x v="0"/>
  </r>
  <r>
    <x v="385"/>
    <x v="324"/>
    <x v="6"/>
    <x v="12"/>
    <x v="12"/>
    <x v="12"/>
    <x v="231"/>
    <x v="13"/>
    <x v="38"/>
    <x v="330"/>
    <x v="248"/>
    <x v="356"/>
    <x v="358"/>
    <x v="1"/>
    <x v="200"/>
    <x v="130"/>
    <x v="379"/>
    <x v="0"/>
    <x v="13"/>
    <x v="0"/>
  </r>
  <r>
    <x v="386"/>
    <x v="325"/>
    <x v="1"/>
    <x v="0"/>
    <x v="0"/>
    <x v="9"/>
    <x v="73"/>
    <x v="9"/>
    <x v="59"/>
    <x v="130"/>
    <x v="249"/>
    <x v="180"/>
    <x v="359"/>
    <x v="2"/>
    <x v="145"/>
    <x v="83"/>
    <x v="380"/>
    <x v="0"/>
    <x v="18"/>
    <x v="0"/>
  </r>
  <r>
    <x v="387"/>
    <x v="67"/>
    <x v="7"/>
    <x v="16"/>
    <x v="16"/>
    <x v="17"/>
    <x v="232"/>
    <x v="18"/>
    <x v="39"/>
    <x v="331"/>
    <x v="235"/>
    <x v="357"/>
    <x v="360"/>
    <x v="0"/>
    <x v="166"/>
    <x v="105"/>
    <x v="381"/>
    <x v="0"/>
    <x v="29"/>
    <x v="0"/>
  </r>
  <r>
    <x v="388"/>
    <x v="326"/>
    <x v="4"/>
    <x v="18"/>
    <x v="18"/>
    <x v="15"/>
    <x v="233"/>
    <x v="16"/>
    <x v="50"/>
    <x v="28"/>
    <x v="132"/>
    <x v="358"/>
    <x v="9"/>
    <x v="1"/>
    <x v="78"/>
    <x v="18"/>
    <x v="382"/>
    <x v="0"/>
    <x v="19"/>
    <x v="0"/>
  </r>
  <r>
    <x v="389"/>
    <x v="327"/>
    <x v="6"/>
    <x v="8"/>
    <x v="8"/>
    <x v="3"/>
    <x v="185"/>
    <x v="3"/>
    <x v="74"/>
    <x v="332"/>
    <x v="123"/>
    <x v="359"/>
    <x v="361"/>
    <x v="2"/>
    <x v="119"/>
    <x v="61"/>
    <x v="383"/>
    <x v="0"/>
    <x v="5"/>
    <x v="0"/>
  </r>
  <r>
    <x v="390"/>
    <x v="328"/>
    <x v="6"/>
    <x v="12"/>
    <x v="12"/>
    <x v="3"/>
    <x v="56"/>
    <x v="3"/>
    <x v="23"/>
    <x v="333"/>
    <x v="222"/>
    <x v="360"/>
    <x v="362"/>
    <x v="1"/>
    <x v="116"/>
    <x v="140"/>
    <x v="384"/>
    <x v="0"/>
    <x v="1"/>
    <x v="0"/>
  </r>
  <r>
    <x v="391"/>
    <x v="329"/>
    <x v="1"/>
    <x v="4"/>
    <x v="19"/>
    <x v="8"/>
    <x v="133"/>
    <x v="8"/>
    <x v="93"/>
    <x v="334"/>
    <x v="101"/>
    <x v="361"/>
    <x v="363"/>
    <x v="0"/>
    <x v="201"/>
    <x v="171"/>
    <x v="385"/>
    <x v="1"/>
    <x v="23"/>
    <x v="36"/>
  </r>
  <r>
    <x v="392"/>
    <x v="330"/>
    <x v="6"/>
    <x v="9"/>
    <x v="9"/>
    <x v="13"/>
    <x v="86"/>
    <x v="14"/>
    <x v="56"/>
    <x v="335"/>
    <x v="250"/>
    <x v="362"/>
    <x v="364"/>
    <x v="3"/>
    <x v="45"/>
    <x v="126"/>
    <x v="386"/>
    <x v="0"/>
    <x v="27"/>
    <x v="0"/>
  </r>
  <r>
    <x v="393"/>
    <x v="331"/>
    <x v="1"/>
    <x v="12"/>
    <x v="12"/>
    <x v="18"/>
    <x v="234"/>
    <x v="19"/>
    <x v="56"/>
    <x v="336"/>
    <x v="64"/>
    <x v="363"/>
    <x v="365"/>
    <x v="1"/>
    <x v="166"/>
    <x v="98"/>
    <x v="387"/>
    <x v="0"/>
    <x v="23"/>
    <x v="0"/>
  </r>
  <r>
    <x v="394"/>
    <x v="332"/>
    <x v="6"/>
    <x v="17"/>
    <x v="17"/>
    <x v="17"/>
    <x v="108"/>
    <x v="18"/>
    <x v="11"/>
    <x v="337"/>
    <x v="251"/>
    <x v="364"/>
    <x v="55"/>
    <x v="0"/>
    <x v="136"/>
    <x v="172"/>
    <x v="388"/>
    <x v="0"/>
    <x v="3"/>
    <x v="0"/>
  </r>
  <r>
    <x v="395"/>
    <x v="333"/>
    <x v="4"/>
    <x v="14"/>
    <x v="14"/>
    <x v="15"/>
    <x v="210"/>
    <x v="16"/>
    <x v="25"/>
    <x v="338"/>
    <x v="35"/>
    <x v="365"/>
    <x v="366"/>
    <x v="1"/>
    <x v="83"/>
    <x v="92"/>
    <x v="389"/>
    <x v="0"/>
    <x v="15"/>
    <x v="0"/>
  </r>
  <r>
    <x v="396"/>
    <x v="334"/>
    <x v="5"/>
    <x v="7"/>
    <x v="7"/>
    <x v="11"/>
    <x v="122"/>
    <x v="12"/>
    <x v="0"/>
    <x v="0"/>
    <x v="0"/>
    <x v="366"/>
    <x v="367"/>
    <x v="2"/>
    <x v="100"/>
    <x v="23"/>
    <x v="390"/>
    <x v="1"/>
    <x v="20"/>
    <x v="62"/>
  </r>
  <r>
    <x v="397"/>
    <x v="335"/>
    <x v="2"/>
    <x v="12"/>
    <x v="12"/>
    <x v="9"/>
    <x v="128"/>
    <x v="9"/>
    <x v="52"/>
    <x v="339"/>
    <x v="35"/>
    <x v="367"/>
    <x v="368"/>
    <x v="0"/>
    <x v="58"/>
    <x v="148"/>
    <x v="391"/>
    <x v="0"/>
    <x v="25"/>
    <x v="0"/>
  </r>
  <r>
    <x v="398"/>
    <x v="162"/>
    <x v="4"/>
    <x v="10"/>
    <x v="10"/>
    <x v="6"/>
    <x v="235"/>
    <x v="6"/>
    <x v="43"/>
    <x v="340"/>
    <x v="213"/>
    <x v="368"/>
    <x v="369"/>
    <x v="2"/>
    <x v="79"/>
    <x v="56"/>
    <x v="392"/>
    <x v="0"/>
    <x v="33"/>
    <x v="0"/>
  </r>
  <r>
    <x v="399"/>
    <x v="336"/>
    <x v="3"/>
    <x v="8"/>
    <x v="8"/>
    <x v="12"/>
    <x v="67"/>
    <x v="13"/>
    <x v="38"/>
    <x v="341"/>
    <x v="173"/>
    <x v="369"/>
    <x v="370"/>
    <x v="2"/>
    <x v="37"/>
    <x v="51"/>
    <x v="393"/>
    <x v="2"/>
    <x v="18"/>
    <x v="0"/>
  </r>
  <r>
    <x v="400"/>
    <x v="337"/>
    <x v="7"/>
    <x v="15"/>
    <x v="15"/>
    <x v="2"/>
    <x v="236"/>
    <x v="2"/>
    <x v="19"/>
    <x v="342"/>
    <x v="95"/>
    <x v="370"/>
    <x v="13"/>
    <x v="3"/>
    <x v="202"/>
    <x v="173"/>
    <x v="394"/>
    <x v="0"/>
    <x v="16"/>
    <x v="0"/>
  </r>
  <r>
    <x v="401"/>
    <x v="338"/>
    <x v="4"/>
    <x v="7"/>
    <x v="7"/>
    <x v="0"/>
    <x v="142"/>
    <x v="0"/>
    <x v="53"/>
    <x v="343"/>
    <x v="252"/>
    <x v="371"/>
    <x v="371"/>
    <x v="0"/>
    <x v="44"/>
    <x v="38"/>
    <x v="395"/>
    <x v="0"/>
    <x v="15"/>
    <x v="0"/>
  </r>
  <r>
    <x v="402"/>
    <x v="339"/>
    <x v="7"/>
    <x v="17"/>
    <x v="17"/>
    <x v="13"/>
    <x v="237"/>
    <x v="14"/>
    <x v="20"/>
    <x v="242"/>
    <x v="182"/>
    <x v="372"/>
    <x v="372"/>
    <x v="1"/>
    <x v="152"/>
    <x v="54"/>
    <x v="396"/>
    <x v="0"/>
    <x v="22"/>
    <x v="0"/>
  </r>
  <r>
    <x v="403"/>
    <x v="340"/>
    <x v="1"/>
    <x v="12"/>
    <x v="12"/>
    <x v="12"/>
    <x v="231"/>
    <x v="13"/>
    <x v="68"/>
    <x v="344"/>
    <x v="170"/>
    <x v="373"/>
    <x v="373"/>
    <x v="2"/>
    <x v="198"/>
    <x v="35"/>
    <x v="397"/>
    <x v="0"/>
    <x v="35"/>
    <x v="0"/>
  </r>
  <r>
    <x v="404"/>
    <x v="341"/>
    <x v="0"/>
    <x v="1"/>
    <x v="1"/>
    <x v="6"/>
    <x v="18"/>
    <x v="11"/>
    <x v="68"/>
    <x v="345"/>
    <x v="79"/>
    <x v="374"/>
    <x v="374"/>
    <x v="1"/>
    <x v="104"/>
    <x v="71"/>
    <x v="398"/>
    <x v="0"/>
    <x v="19"/>
    <x v="0"/>
  </r>
  <r>
    <x v="405"/>
    <x v="81"/>
    <x v="6"/>
    <x v="11"/>
    <x v="11"/>
    <x v="18"/>
    <x v="78"/>
    <x v="19"/>
    <x v="20"/>
    <x v="94"/>
    <x v="6"/>
    <x v="375"/>
    <x v="375"/>
    <x v="2"/>
    <x v="1"/>
    <x v="174"/>
    <x v="399"/>
    <x v="0"/>
    <x v="3"/>
    <x v="0"/>
  </r>
  <r>
    <x v="406"/>
    <x v="342"/>
    <x v="4"/>
    <x v="15"/>
    <x v="15"/>
    <x v="15"/>
    <x v="238"/>
    <x v="16"/>
    <x v="76"/>
    <x v="346"/>
    <x v="253"/>
    <x v="376"/>
    <x v="9"/>
    <x v="2"/>
    <x v="183"/>
    <x v="12"/>
    <x v="400"/>
    <x v="1"/>
    <x v="10"/>
    <x v="84"/>
  </r>
  <r>
    <x v="407"/>
    <x v="315"/>
    <x v="1"/>
    <x v="6"/>
    <x v="6"/>
    <x v="5"/>
    <x v="7"/>
    <x v="5"/>
    <x v="32"/>
    <x v="347"/>
    <x v="63"/>
    <x v="377"/>
    <x v="376"/>
    <x v="2"/>
    <x v="130"/>
    <x v="175"/>
    <x v="401"/>
    <x v="0"/>
    <x v="22"/>
    <x v="0"/>
  </r>
  <r>
    <x v="408"/>
    <x v="343"/>
    <x v="7"/>
    <x v="6"/>
    <x v="6"/>
    <x v="11"/>
    <x v="120"/>
    <x v="12"/>
    <x v="5"/>
    <x v="348"/>
    <x v="155"/>
    <x v="378"/>
    <x v="13"/>
    <x v="2"/>
    <x v="60"/>
    <x v="176"/>
    <x v="402"/>
    <x v="0"/>
    <x v="13"/>
    <x v="0"/>
  </r>
  <r>
    <x v="409"/>
    <x v="344"/>
    <x v="7"/>
    <x v="4"/>
    <x v="19"/>
    <x v="16"/>
    <x v="146"/>
    <x v="17"/>
    <x v="42"/>
    <x v="349"/>
    <x v="254"/>
    <x v="379"/>
    <x v="377"/>
    <x v="0"/>
    <x v="49"/>
    <x v="52"/>
    <x v="403"/>
    <x v="0"/>
    <x v="15"/>
    <x v="0"/>
  </r>
  <r>
    <x v="410"/>
    <x v="345"/>
    <x v="1"/>
    <x v="2"/>
    <x v="2"/>
    <x v="9"/>
    <x v="176"/>
    <x v="9"/>
    <x v="34"/>
    <x v="350"/>
    <x v="255"/>
    <x v="380"/>
    <x v="378"/>
    <x v="1"/>
    <x v="146"/>
    <x v="106"/>
    <x v="404"/>
    <x v="1"/>
    <x v="1"/>
    <x v="12"/>
  </r>
  <r>
    <x v="411"/>
    <x v="346"/>
    <x v="6"/>
    <x v="1"/>
    <x v="1"/>
    <x v="18"/>
    <x v="239"/>
    <x v="19"/>
    <x v="71"/>
    <x v="204"/>
    <x v="245"/>
    <x v="381"/>
    <x v="379"/>
    <x v="1"/>
    <x v="133"/>
    <x v="35"/>
    <x v="405"/>
    <x v="0"/>
    <x v="13"/>
    <x v="0"/>
  </r>
  <r>
    <x v="412"/>
    <x v="347"/>
    <x v="6"/>
    <x v="16"/>
    <x v="16"/>
    <x v="6"/>
    <x v="59"/>
    <x v="6"/>
    <x v="31"/>
    <x v="351"/>
    <x v="256"/>
    <x v="382"/>
    <x v="380"/>
    <x v="1"/>
    <x v="94"/>
    <x v="177"/>
    <x v="406"/>
    <x v="0"/>
    <x v="25"/>
    <x v="0"/>
  </r>
  <r>
    <x v="413"/>
    <x v="348"/>
    <x v="5"/>
    <x v="10"/>
    <x v="10"/>
    <x v="15"/>
    <x v="113"/>
    <x v="16"/>
    <x v="52"/>
    <x v="352"/>
    <x v="177"/>
    <x v="383"/>
    <x v="381"/>
    <x v="2"/>
    <x v="73"/>
    <x v="110"/>
    <x v="407"/>
    <x v="0"/>
    <x v="20"/>
    <x v="0"/>
  </r>
  <r>
    <x v="414"/>
    <x v="56"/>
    <x v="0"/>
    <x v="3"/>
    <x v="3"/>
    <x v="18"/>
    <x v="240"/>
    <x v="19"/>
    <x v="69"/>
    <x v="353"/>
    <x v="116"/>
    <x v="384"/>
    <x v="382"/>
    <x v="0"/>
    <x v="122"/>
    <x v="178"/>
    <x v="408"/>
    <x v="0"/>
    <x v="26"/>
    <x v="0"/>
  </r>
  <r>
    <x v="415"/>
    <x v="349"/>
    <x v="3"/>
    <x v="3"/>
    <x v="3"/>
    <x v="11"/>
    <x v="241"/>
    <x v="12"/>
    <x v="37"/>
    <x v="66"/>
    <x v="128"/>
    <x v="385"/>
    <x v="383"/>
    <x v="0"/>
    <x v="149"/>
    <x v="37"/>
    <x v="333"/>
    <x v="0"/>
    <x v="35"/>
    <x v="0"/>
  </r>
  <r>
    <x v="416"/>
    <x v="350"/>
    <x v="3"/>
    <x v="11"/>
    <x v="11"/>
    <x v="0"/>
    <x v="60"/>
    <x v="0"/>
    <x v="58"/>
    <x v="196"/>
    <x v="257"/>
    <x v="386"/>
    <x v="384"/>
    <x v="3"/>
    <x v="174"/>
    <x v="178"/>
    <x v="409"/>
    <x v="1"/>
    <x v="13"/>
    <x v="35"/>
  </r>
  <r>
    <x v="417"/>
    <x v="351"/>
    <x v="0"/>
    <x v="5"/>
    <x v="5"/>
    <x v="0"/>
    <x v="8"/>
    <x v="0"/>
    <x v="1"/>
    <x v="354"/>
    <x v="258"/>
    <x v="387"/>
    <x v="385"/>
    <x v="2"/>
    <x v="203"/>
    <x v="110"/>
    <x v="410"/>
    <x v="0"/>
    <x v="18"/>
    <x v="0"/>
  </r>
  <r>
    <x v="418"/>
    <x v="289"/>
    <x v="2"/>
    <x v="11"/>
    <x v="11"/>
    <x v="11"/>
    <x v="242"/>
    <x v="12"/>
    <x v="84"/>
    <x v="355"/>
    <x v="48"/>
    <x v="388"/>
    <x v="386"/>
    <x v="2"/>
    <x v="71"/>
    <x v="179"/>
    <x v="411"/>
    <x v="2"/>
    <x v="6"/>
    <x v="0"/>
  </r>
  <r>
    <x v="419"/>
    <x v="352"/>
    <x v="5"/>
    <x v="1"/>
    <x v="1"/>
    <x v="6"/>
    <x v="18"/>
    <x v="6"/>
    <x v="42"/>
    <x v="153"/>
    <x v="257"/>
    <x v="389"/>
    <x v="387"/>
    <x v="0"/>
    <x v="8"/>
    <x v="148"/>
    <x v="412"/>
    <x v="0"/>
    <x v="1"/>
    <x v="0"/>
  </r>
  <r>
    <x v="420"/>
    <x v="353"/>
    <x v="5"/>
    <x v="4"/>
    <x v="19"/>
    <x v="18"/>
    <x v="227"/>
    <x v="19"/>
    <x v="30"/>
    <x v="218"/>
    <x v="5"/>
    <x v="179"/>
    <x v="388"/>
    <x v="2"/>
    <x v="57"/>
    <x v="158"/>
    <x v="413"/>
    <x v="0"/>
    <x v="31"/>
    <x v="0"/>
  </r>
  <r>
    <x v="421"/>
    <x v="354"/>
    <x v="2"/>
    <x v="2"/>
    <x v="2"/>
    <x v="6"/>
    <x v="68"/>
    <x v="6"/>
    <x v="13"/>
    <x v="92"/>
    <x v="99"/>
    <x v="390"/>
    <x v="389"/>
    <x v="3"/>
    <x v="204"/>
    <x v="42"/>
    <x v="414"/>
    <x v="0"/>
    <x v="35"/>
    <x v="0"/>
  </r>
  <r>
    <x v="422"/>
    <x v="190"/>
    <x v="2"/>
    <x v="3"/>
    <x v="3"/>
    <x v="0"/>
    <x v="243"/>
    <x v="0"/>
    <x v="39"/>
    <x v="356"/>
    <x v="154"/>
    <x v="391"/>
    <x v="390"/>
    <x v="1"/>
    <x v="115"/>
    <x v="54"/>
    <x v="415"/>
    <x v="0"/>
    <x v="6"/>
    <x v="0"/>
  </r>
  <r>
    <x v="423"/>
    <x v="355"/>
    <x v="0"/>
    <x v="11"/>
    <x v="11"/>
    <x v="14"/>
    <x v="126"/>
    <x v="15"/>
    <x v="1"/>
    <x v="36"/>
    <x v="259"/>
    <x v="392"/>
    <x v="391"/>
    <x v="1"/>
    <x v="126"/>
    <x v="72"/>
    <x v="416"/>
    <x v="2"/>
    <x v="29"/>
    <x v="0"/>
  </r>
  <r>
    <x v="424"/>
    <x v="356"/>
    <x v="2"/>
    <x v="15"/>
    <x v="15"/>
    <x v="11"/>
    <x v="144"/>
    <x v="12"/>
    <x v="29"/>
    <x v="357"/>
    <x v="16"/>
    <x v="290"/>
    <x v="392"/>
    <x v="2"/>
    <x v="139"/>
    <x v="20"/>
    <x v="417"/>
    <x v="0"/>
    <x v="24"/>
    <x v="0"/>
  </r>
  <r>
    <x v="425"/>
    <x v="206"/>
    <x v="1"/>
    <x v="0"/>
    <x v="0"/>
    <x v="14"/>
    <x v="228"/>
    <x v="15"/>
    <x v="25"/>
    <x v="358"/>
    <x v="217"/>
    <x v="393"/>
    <x v="393"/>
    <x v="0"/>
    <x v="155"/>
    <x v="180"/>
    <x v="418"/>
    <x v="0"/>
    <x v="10"/>
    <x v="0"/>
  </r>
  <r>
    <x v="426"/>
    <x v="357"/>
    <x v="7"/>
    <x v="11"/>
    <x v="11"/>
    <x v="8"/>
    <x v="121"/>
    <x v="8"/>
    <x v="63"/>
    <x v="359"/>
    <x v="6"/>
    <x v="394"/>
    <x v="394"/>
    <x v="1"/>
    <x v="148"/>
    <x v="19"/>
    <x v="419"/>
    <x v="1"/>
    <x v="1"/>
    <x v="85"/>
  </r>
  <r>
    <x v="427"/>
    <x v="358"/>
    <x v="4"/>
    <x v="11"/>
    <x v="11"/>
    <x v="14"/>
    <x v="126"/>
    <x v="15"/>
    <x v="84"/>
    <x v="360"/>
    <x v="130"/>
    <x v="395"/>
    <x v="395"/>
    <x v="1"/>
    <x v="196"/>
    <x v="181"/>
    <x v="3"/>
    <x v="0"/>
    <x v="12"/>
    <x v="0"/>
  </r>
  <r>
    <x v="428"/>
    <x v="138"/>
    <x v="4"/>
    <x v="16"/>
    <x v="16"/>
    <x v="8"/>
    <x v="244"/>
    <x v="8"/>
    <x v="84"/>
    <x v="158"/>
    <x v="172"/>
    <x v="396"/>
    <x v="396"/>
    <x v="1"/>
    <x v="69"/>
    <x v="116"/>
    <x v="420"/>
    <x v="0"/>
    <x v="14"/>
    <x v="0"/>
  </r>
  <r>
    <x v="429"/>
    <x v="359"/>
    <x v="0"/>
    <x v="13"/>
    <x v="13"/>
    <x v="5"/>
    <x v="190"/>
    <x v="5"/>
    <x v="53"/>
    <x v="115"/>
    <x v="260"/>
    <x v="157"/>
    <x v="397"/>
    <x v="0"/>
    <x v="100"/>
    <x v="37"/>
    <x v="421"/>
    <x v="0"/>
    <x v="16"/>
    <x v="0"/>
  </r>
  <r>
    <x v="430"/>
    <x v="62"/>
    <x v="6"/>
    <x v="7"/>
    <x v="7"/>
    <x v="8"/>
    <x v="43"/>
    <x v="8"/>
    <x v="87"/>
    <x v="361"/>
    <x v="138"/>
    <x v="397"/>
    <x v="398"/>
    <x v="1"/>
    <x v="94"/>
    <x v="119"/>
    <x v="422"/>
    <x v="0"/>
    <x v="28"/>
    <x v="0"/>
  </r>
  <r>
    <x v="431"/>
    <x v="360"/>
    <x v="4"/>
    <x v="5"/>
    <x v="5"/>
    <x v="5"/>
    <x v="5"/>
    <x v="5"/>
    <x v="5"/>
    <x v="76"/>
    <x v="173"/>
    <x v="398"/>
    <x v="399"/>
    <x v="1"/>
    <x v="5"/>
    <x v="142"/>
    <x v="423"/>
    <x v="0"/>
    <x v="31"/>
    <x v="0"/>
  </r>
  <r>
    <x v="432"/>
    <x v="361"/>
    <x v="3"/>
    <x v="16"/>
    <x v="16"/>
    <x v="4"/>
    <x v="106"/>
    <x v="4"/>
    <x v="0"/>
    <x v="362"/>
    <x v="261"/>
    <x v="399"/>
    <x v="400"/>
    <x v="0"/>
    <x v="114"/>
    <x v="89"/>
    <x v="424"/>
    <x v="0"/>
    <x v="19"/>
    <x v="0"/>
  </r>
  <r>
    <x v="433"/>
    <x v="362"/>
    <x v="1"/>
    <x v="3"/>
    <x v="3"/>
    <x v="15"/>
    <x v="207"/>
    <x v="16"/>
    <x v="45"/>
    <x v="363"/>
    <x v="225"/>
    <x v="400"/>
    <x v="401"/>
    <x v="1"/>
    <x v="205"/>
    <x v="92"/>
    <x v="425"/>
    <x v="0"/>
    <x v="14"/>
    <x v="0"/>
  </r>
  <r>
    <x v="434"/>
    <x v="363"/>
    <x v="1"/>
    <x v="13"/>
    <x v="13"/>
    <x v="9"/>
    <x v="245"/>
    <x v="9"/>
    <x v="70"/>
    <x v="16"/>
    <x v="23"/>
    <x v="401"/>
    <x v="402"/>
    <x v="0"/>
    <x v="195"/>
    <x v="30"/>
    <x v="426"/>
    <x v="0"/>
    <x v="24"/>
    <x v="0"/>
  </r>
  <r>
    <x v="435"/>
    <x v="180"/>
    <x v="0"/>
    <x v="0"/>
    <x v="0"/>
    <x v="17"/>
    <x v="223"/>
    <x v="18"/>
    <x v="26"/>
    <x v="270"/>
    <x v="45"/>
    <x v="107"/>
    <x v="403"/>
    <x v="1"/>
    <x v="206"/>
    <x v="24"/>
    <x v="427"/>
    <x v="0"/>
    <x v="22"/>
    <x v="0"/>
  </r>
  <r>
    <x v="436"/>
    <x v="150"/>
    <x v="2"/>
    <x v="14"/>
    <x v="14"/>
    <x v="12"/>
    <x v="157"/>
    <x v="13"/>
    <x v="31"/>
    <x v="364"/>
    <x v="53"/>
    <x v="184"/>
    <x v="404"/>
    <x v="0"/>
    <x v="207"/>
    <x v="7"/>
    <x v="400"/>
    <x v="0"/>
    <x v="2"/>
    <x v="0"/>
  </r>
  <r>
    <x v="437"/>
    <x v="364"/>
    <x v="5"/>
    <x v="2"/>
    <x v="2"/>
    <x v="0"/>
    <x v="99"/>
    <x v="0"/>
    <x v="79"/>
    <x v="365"/>
    <x v="1"/>
    <x v="402"/>
    <x v="405"/>
    <x v="0"/>
    <x v="168"/>
    <x v="151"/>
    <x v="428"/>
    <x v="0"/>
    <x v="22"/>
    <x v="0"/>
  </r>
  <r>
    <x v="438"/>
    <x v="365"/>
    <x v="0"/>
    <x v="5"/>
    <x v="5"/>
    <x v="5"/>
    <x v="5"/>
    <x v="5"/>
    <x v="23"/>
    <x v="366"/>
    <x v="40"/>
    <x v="403"/>
    <x v="406"/>
    <x v="2"/>
    <x v="8"/>
    <x v="94"/>
    <x v="429"/>
    <x v="1"/>
    <x v="20"/>
    <x v="62"/>
  </r>
  <r>
    <x v="439"/>
    <x v="366"/>
    <x v="1"/>
    <x v="9"/>
    <x v="9"/>
    <x v="18"/>
    <x v="246"/>
    <x v="19"/>
    <x v="42"/>
    <x v="367"/>
    <x v="49"/>
    <x v="404"/>
    <x v="407"/>
    <x v="0"/>
    <x v="200"/>
    <x v="182"/>
    <x v="430"/>
    <x v="1"/>
    <x v="2"/>
    <x v="86"/>
  </r>
  <r>
    <x v="440"/>
    <x v="367"/>
    <x v="3"/>
    <x v="17"/>
    <x v="17"/>
    <x v="11"/>
    <x v="151"/>
    <x v="12"/>
    <x v="59"/>
    <x v="368"/>
    <x v="262"/>
    <x v="139"/>
    <x v="408"/>
    <x v="0"/>
    <x v="139"/>
    <x v="75"/>
    <x v="431"/>
    <x v="0"/>
    <x v="10"/>
    <x v="0"/>
  </r>
  <r>
    <x v="441"/>
    <x v="368"/>
    <x v="3"/>
    <x v="8"/>
    <x v="8"/>
    <x v="1"/>
    <x v="196"/>
    <x v="1"/>
    <x v="8"/>
    <x v="369"/>
    <x v="226"/>
    <x v="405"/>
    <x v="409"/>
    <x v="2"/>
    <x v="141"/>
    <x v="37"/>
    <x v="432"/>
    <x v="0"/>
    <x v="28"/>
    <x v="0"/>
  </r>
  <r>
    <x v="442"/>
    <x v="369"/>
    <x v="3"/>
    <x v="12"/>
    <x v="12"/>
    <x v="15"/>
    <x v="247"/>
    <x v="16"/>
    <x v="83"/>
    <x v="370"/>
    <x v="130"/>
    <x v="269"/>
    <x v="410"/>
    <x v="3"/>
    <x v="79"/>
    <x v="110"/>
    <x v="3"/>
    <x v="2"/>
    <x v="0"/>
    <x v="0"/>
  </r>
  <r>
    <x v="443"/>
    <x v="370"/>
    <x v="3"/>
    <x v="18"/>
    <x v="18"/>
    <x v="16"/>
    <x v="248"/>
    <x v="17"/>
    <x v="92"/>
    <x v="64"/>
    <x v="263"/>
    <x v="406"/>
    <x v="411"/>
    <x v="0"/>
    <x v="208"/>
    <x v="154"/>
    <x v="433"/>
    <x v="0"/>
    <x v="2"/>
    <x v="0"/>
  </r>
  <r>
    <x v="444"/>
    <x v="371"/>
    <x v="1"/>
    <x v="15"/>
    <x v="15"/>
    <x v="5"/>
    <x v="249"/>
    <x v="5"/>
    <x v="25"/>
    <x v="371"/>
    <x v="142"/>
    <x v="407"/>
    <x v="412"/>
    <x v="1"/>
    <x v="97"/>
    <x v="183"/>
    <x v="434"/>
    <x v="0"/>
    <x v="32"/>
    <x v="0"/>
  </r>
  <r>
    <x v="445"/>
    <x v="244"/>
    <x v="6"/>
    <x v="6"/>
    <x v="6"/>
    <x v="15"/>
    <x v="198"/>
    <x v="16"/>
    <x v="46"/>
    <x v="100"/>
    <x v="14"/>
    <x v="408"/>
    <x v="413"/>
    <x v="2"/>
    <x v="56"/>
    <x v="184"/>
    <x v="435"/>
    <x v="2"/>
    <x v="29"/>
    <x v="0"/>
  </r>
  <r>
    <x v="446"/>
    <x v="372"/>
    <x v="1"/>
    <x v="18"/>
    <x v="18"/>
    <x v="6"/>
    <x v="40"/>
    <x v="11"/>
    <x v="10"/>
    <x v="107"/>
    <x v="264"/>
    <x v="409"/>
    <x v="414"/>
    <x v="1"/>
    <x v="137"/>
    <x v="57"/>
    <x v="436"/>
    <x v="0"/>
    <x v="32"/>
    <x v="0"/>
  </r>
  <r>
    <x v="447"/>
    <x v="297"/>
    <x v="4"/>
    <x v="12"/>
    <x v="12"/>
    <x v="10"/>
    <x v="153"/>
    <x v="10"/>
    <x v="1"/>
    <x v="372"/>
    <x v="174"/>
    <x v="410"/>
    <x v="415"/>
    <x v="2"/>
    <x v="75"/>
    <x v="51"/>
    <x v="437"/>
    <x v="0"/>
    <x v="25"/>
    <x v="0"/>
  </r>
  <r>
    <x v="448"/>
    <x v="373"/>
    <x v="0"/>
    <x v="13"/>
    <x v="13"/>
    <x v="5"/>
    <x v="190"/>
    <x v="5"/>
    <x v="84"/>
    <x v="373"/>
    <x v="256"/>
    <x v="411"/>
    <x v="416"/>
    <x v="1"/>
    <x v="73"/>
    <x v="185"/>
    <x v="438"/>
    <x v="0"/>
    <x v="29"/>
    <x v="0"/>
  </r>
  <r>
    <x v="449"/>
    <x v="19"/>
    <x v="4"/>
    <x v="8"/>
    <x v="8"/>
    <x v="4"/>
    <x v="163"/>
    <x v="4"/>
    <x v="76"/>
    <x v="374"/>
    <x v="149"/>
    <x v="412"/>
    <x v="417"/>
    <x v="0"/>
    <x v="196"/>
    <x v="153"/>
    <x v="439"/>
    <x v="0"/>
    <x v="15"/>
    <x v="0"/>
  </r>
  <r>
    <x v="450"/>
    <x v="374"/>
    <x v="4"/>
    <x v="17"/>
    <x v="17"/>
    <x v="14"/>
    <x v="180"/>
    <x v="15"/>
    <x v="17"/>
    <x v="375"/>
    <x v="29"/>
    <x v="101"/>
    <x v="9"/>
    <x v="0"/>
    <x v="96"/>
    <x v="147"/>
    <x v="440"/>
    <x v="1"/>
    <x v="30"/>
    <x v="56"/>
  </r>
  <r>
    <x v="451"/>
    <x v="342"/>
    <x v="2"/>
    <x v="2"/>
    <x v="2"/>
    <x v="16"/>
    <x v="250"/>
    <x v="17"/>
    <x v="12"/>
    <x v="376"/>
    <x v="244"/>
    <x v="413"/>
    <x v="418"/>
    <x v="2"/>
    <x v="83"/>
    <x v="186"/>
    <x v="441"/>
    <x v="0"/>
    <x v="10"/>
    <x v="0"/>
  </r>
  <r>
    <x v="452"/>
    <x v="375"/>
    <x v="3"/>
    <x v="7"/>
    <x v="7"/>
    <x v="6"/>
    <x v="181"/>
    <x v="6"/>
    <x v="63"/>
    <x v="276"/>
    <x v="96"/>
    <x v="414"/>
    <x v="419"/>
    <x v="0"/>
    <x v="118"/>
    <x v="93"/>
    <x v="442"/>
    <x v="0"/>
    <x v="9"/>
    <x v="0"/>
  </r>
  <r>
    <x v="453"/>
    <x v="70"/>
    <x v="3"/>
    <x v="11"/>
    <x v="11"/>
    <x v="2"/>
    <x v="251"/>
    <x v="2"/>
    <x v="43"/>
    <x v="22"/>
    <x v="265"/>
    <x v="415"/>
    <x v="420"/>
    <x v="2"/>
    <x v="51"/>
    <x v="116"/>
    <x v="443"/>
    <x v="2"/>
    <x v="30"/>
    <x v="0"/>
  </r>
  <r>
    <x v="454"/>
    <x v="121"/>
    <x v="7"/>
    <x v="15"/>
    <x v="15"/>
    <x v="7"/>
    <x v="252"/>
    <x v="7"/>
    <x v="55"/>
    <x v="332"/>
    <x v="266"/>
    <x v="416"/>
    <x v="421"/>
    <x v="1"/>
    <x v="101"/>
    <x v="8"/>
    <x v="444"/>
    <x v="0"/>
    <x v="0"/>
    <x v="0"/>
  </r>
  <r>
    <x v="455"/>
    <x v="359"/>
    <x v="6"/>
    <x v="17"/>
    <x v="17"/>
    <x v="7"/>
    <x v="82"/>
    <x v="7"/>
    <x v="12"/>
    <x v="281"/>
    <x v="267"/>
    <x v="417"/>
    <x v="422"/>
    <x v="0"/>
    <x v="142"/>
    <x v="86"/>
    <x v="445"/>
    <x v="0"/>
    <x v="16"/>
    <x v="0"/>
  </r>
  <r>
    <x v="456"/>
    <x v="90"/>
    <x v="0"/>
    <x v="5"/>
    <x v="5"/>
    <x v="4"/>
    <x v="253"/>
    <x v="4"/>
    <x v="68"/>
    <x v="305"/>
    <x v="268"/>
    <x v="418"/>
    <x v="423"/>
    <x v="1"/>
    <x v="209"/>
    <x v="119"/>
    <x v="446"/>
    <x v="0"/>
    <x v="30"/>
    <x v="0"/>
  </r>
  <r>
    <x v="457"/>
    <x v="251"/>
    <x v="3"/>
    <x v="2"/>
    <x v="2"/>
    <x v="14"/>
    <x v="192"/>
    <x v="15"/>
    <x v="69"/>
    <x v="377"/>
    <x v="269"/>
    <x v="333"/>
    <x v="424"/>
    <x v="2"/>
    <x v="210"/>
    <x v="50"/>
    <x v="447"/>
    <x v="0"/>
    <x v="6"/>
    <x v="0"/>
  </r>
  <r>
    <x v="458"/>
    <x v="35"/>
    <x v="5"/>
    <x v="17"/>
    <x v="17"/>
    <x v="6"/>
    <x v="132"/>
    <x v="6"/>
    <x v="34"/>
    <x v="378"/>
    <x v="108"/>
    <x v="419"/>
    <x v="425"/>
    <x v="1"/>
    <x v="209"/>
    <x v="165"/>
    <x v="3"/>
    <x v="0"/>
    <x v="11"/>
    <x v="0"/>
  </r>
  <r>
    <x v="459"/>
    <x v="376"/>
    <x v="1"/>
    <x v="3"/>
    <x v="3"/>
    <x v="4"/>
    <x v="137"/>
    <x v="4"/>
    <x v="24"/>
    <x v="379"/>
    <x v="219"/>
    <x v="420"/>
    <x v="426"/>
    <x v="0"/>
    <x v="211"/>
    <x v="86"/>
    <x v="448"/>
    <x v="0"/>
    <x v="24"/>
    <x v="0"/>
  </r>
  <r>
    <x v="460"/>
    <x v="377"/>
    <x v="7"/>
    <x v="10"/>
    <x v="10"/>
    <x v="8"/>
    <x v="80"/>
    <x v="8"/>
    <x v="59"/>
    <x v="380"/>
    <x v="83"/>
    <x v="421"/>
    <x v="427"/>
    <x v="0"/>
    <x v="84"/>
    <x v="187"/>
    <x v="449"/>
    <x v="0"/>
    <x v="5"/>
    <x v="0"/>
  </r>
  <r>
    <x v="461"/>
    <x v="74"/>
    <x v="1"/>
    <x v="8"/>
    <x v="8"/>
    <x v="13"/>
    <x v="254"/>
    <x v="14"/>
    <x v="48"/>
    <x v="381"/>
    <x v="232"/>
    <x v="422"/>
    <x v="428"/>
    <x v="2"/>
    <x v="212"/>
    <x v="188"/>
    <x v="450"/>
    <x v="0"/>
    <x v="26"/>
    <x v="0"/>
  </r>
  <r>
    <x v="462"/>
    <x v="378"/>
    <x v="4"/>
    <x v="11"/>
    <x v="11"/>
    <x v="18"/>
    <x v="78"/>
    <x v="19"/>
    <x v="86"/>
    <x v="382"/>
    <x v="221"/>
    <x v="234"/>
    <x v="429"/>
    <x v="1"/>
    <x v="132"/>
    <x v="189"/>
    <x v="451"/>
    <x v="0"/>
    <x v="31"/>
    <x v="0"/>
  </r>
  <r>
    <x v="463"/>
    <x v="379"/>
    <x v="2"/>
    <x v="15"/>
    <x v="15"/>
    <x v="15"/>
    <x v="238"/>
    <x v="16"/>
    <x v="32"/>
    <x v="383"/>
    <x v="161"/>
    <x v="423"/>
    <x v="430"/>
    <x v="0"/>
    <x v="54"/>
    <x v="190"/>
    <x v="452"/>
    <x v="1"/>
    <x v="2"/>
    <x v="74"/>
  </r>
  <r>
    <x v="464"/>
    <x v="380"/>
    <x v="2"/>
    <x v="6"/>
    <x v="6"/>
    <x v="9"/>
    <x v="19"/>
    <x v="9"/>
    <x v="90"/>
    <x v="384"/>
    <x v="213"/>
    <x v="424"/>
    <x v="431"/>
    <x v="0"/>
    <x v="96"/>
    <x v="191"/>
    <x v="453"/>
    <x v="0"/>
    <x v="8"/>
    <x v="0"/>
  </r>
  <r>
    <x v="465"/>
    <x v="360"/>
    <x v="0"/>
    <x v="10"/>
    <x v="10"/>
    <x v="11"/>
    <x v="34"/>
    <x v="12"/>
    <x v="75"/>
    <x v="385"/>
    <x v="207"/>
    <x v="425"/>
    <x v="432"/>
    <x v="0"/>
    <x v="157"/>
    <x v="32"/>
    <x v="454"/>
    <x v="1"/>
    <x v="31"/>
    <x v="82"/>
  </r>
  <r>
    <x v="466"/>
    <x v="381"/>
    <x v="3"/>
    <x v="0"/>
    <x v="0"/>
    <x v="12"/>
    <x v="69"/>
    <x v="13"/>
    <x v="37"/>
    <x v="386"/>
    <x v="153"/>
    <x v="426"/>
    <x v="433"/>
    <x v="0"/>
    <x v="53"/>
    <x v="131"/>
    <x v="455"/>
    <x v="0"/>
    <x v="7"/>
    <x v="0"/>
  </r>
  <r>
    <x v="467"/>
    <x v="382"/>
    <x v="7"/>
    <x v="12"/>
    <x v="12"/>
    <x v="4"/>
    <x v="168"/>
    <x v="4"/>
    <x v="70"/>
    <x v="321"/>
    <x v="49"/>
    <x v="427"/>
    <x v="434"/>
    <x v="1"/>
    <x v="95"/>
    <x v="90"/>
    <x v="456"/>
    <x v="0"/>
    <x v="0"/>
    <x v="0"/>
  </r>
  <r>
    <x v="468"/>
    <x v="383"/>
    <x v="3"/>
    <x v="14"/>
    <x v="14"/>
    <x v="5"/>
    <x v="216"/>
    <x v="5"/>
    <x v="90"/>
    <x v="387"/>
    <x v="184"/>
    <x v="428"/>
    <x v="435"/>
    <x v="1"/>
    <x v="213"/>
    <x v="192"/>
    <x v="457"/>
    <x v="0"/>
    <x v="17"/>
    <x v="0"/>
  </r>
  <r>
    <x v="469"/>
    <x v="10"/>
    <x v="6"/>
    <x v="10"/>
    <x v="10"/>
    <x v="11"/>
    <x v="34"/>
    <x v="12"/>
    <x v="40"/>
    <x v="388"/>
    <x v="270"/>
    <x v="429"/>
    <x v="436"/>
    <x v="2"/>
    <x v="40"/>
    <x v="67"/>
    <x v="458"/>
    <x v="0"/>
    <x v="8"/>
    <x v="0"/>
  </r>
  <r>
    <x v="470"/>
    <x v="244"/>
    <x v="5"/>
    <x v="15"/>
    <x v="15"/>
    <x v="14"/>
    <x v="173"/>
    <x v="15"/>
    <x v="88"/>
    <x v="389"/>
    <x v="271"/>
    <x v="430"/>
    <x v="437"/>
    <x v="2"/>
    <x v="131"/>
    <x v="85"/>
    <x v="459"/>
    <x v="1"/>
    <x v="29"/>
    <x v="63"/>
  </r>
  <r>
    <x v="471"/>
    <x v="384"/>
    <x v="1"/>
    <x v="12"/>
    <x v="12"/>
    <x v="13"/>
    <x v="158"/>
    <x v="14"/>
    <x v="5"/>
    <x v="390"/>
    <x v="26"/>
    <x v="431"/>
    <x v="438"/>
    <x v="1"/>
    <x v="15"/>
    <x v="24"/>
    <x v="460"/>
    <x v="0"/>
    <x v="5"/>
    <x v="0"/>
  </r>
  <r>
    <x v="472"/>
    <x v="237"/>
    <x v="7"/>
    <x v="14"/>
    <x v="14"/>
    <x v="12"/>
    <x v="157"/>
    <x v="13"/>
    <x v="1"/>
    <x v="156"/>
    <x v="272"/>
    <x v="42"/>
    <x v="439"/>
    <x v="1"/>
    <x v="166"/>
    <x v="24"/>
    <x v="461"/>
    <x v="2"/>
    <x v="20"/>
    <x v="0"/>
  </r>
  <r>
    <x v="473"/>
    <x v="385"/>
    <x v="1"/>
    <x v="2"/>
    <x v="2"/>
    <x v="6"/>
    <x v="68"/>
    <x v="11"/>
    <x v="43"/>
    <x v="391"/>
    <x v="247"/>
    <x v="428"/>
    <x v="440"/>
    <x v="2"/>
    <x v="43"/>
    <x v="166"/>
    <x v="462"/>
    <x v="0"/>
    <x v="27"/>
    <x v="0"/>
  </r>
  <r>
    <x v="474"/>
    <x v="17"/>
    <x v="5"/>
    <x v="17"/>
    <x v="17"/>
    <x v="5"/>
    <x v="255"/>
    <x v="5"/>
    <x v="10"/>
    <x v="107"/>
    <x v="264"/>
    <x v="432"/>
    <x v="441"/>
    <x v="2"/>
    <x v="97"/>
    <x v="66"/>
    <x v="463"/>
    <x v="1"/>
    <x v="14"/>
    <x v="87"/>
  </r>
  <r>
    <x v="475"/>
    <x v="386"/>
    <x v="6"/>
    <x v="4"/>
    <x v="19"/>
    <x v="15"/>
    <x v="256"/>
    <x v="16"/>
    <x v="25"/>
    <x v="392"/>
    <x v="233"/>
    <x v="433"/>
    <x v="442"/>
    <x v="0"/>
    <x v="214"/>
    <x v="167"/>
    <x v="464"/>
    <x v="0"/>
    <x v="34"/>
    <x v="0"/>
  </r>
  <r>
    <x v="476"/>
    <x v="387"/>
    <x v="1"/>
    <x v="9"/>
    <x v="9"/>
    <x v="11"/>
    <x v="25"/>
    <x v="12"/>
    <x v="28"/>
    <x v="393"/>
    <x v="246"/>
    <x v="434"/>
    <x v="443"/>
    <x v="1"/>
    <x v="38"/>
    <x v="13"/>
    <x v="465"/>
    <x v="0"/>
    <x v="32"/>
    <x v="0"/>
  </r>
  <r>
    <x v="477"/>
    <x v="13"/>
    <x v="5"/>
    <x v="5"/>
    <x v="5"/>
    <x v="9"/>
    <x v="187"/>
    <x v="9"/>
    <x v="66"/>
    <x v="394"/>
    <x v="156"/>
    <x v="435"/>
    <x v="444"/>
    <x v="2"/>
    <x v="215"/>
    <x v="97"/>
    <x v="466"/>
    <x v="0"/>
    <x v="4"/>
    <x v="0"/>
  </r>
  <r>
    <x v="478"/>
    <x v="388"/>
    <x v="2"/>
    <x v="13"/>
    <x v="13"/>
    <x v="6"/>
    <x v="257"/>
    <x v="11"/>
    <x v="31"/>
    <x v="395"/>
    <x v="151"/>
    <x v="436"/>
    <x v="445"/>
    <x v="0"/>
    <x v="36"/>
    <x v="3"/>
    <x v="467"/>
    <x v="0"/>
    <x v="0"/>
    <x v="0"/>
  </r>
  <r>
    <x v="479"/>
    <x v="389"/>
    <x v="4"/>
    <x v="4"/>
    <x v="4"/>
    <x v="18"/>
    <x v="227"/>
    <x v="19"/>
    <x v="18"/>
    <x v="396"/>
    <x v="218"/>
    <x v="437"/>
    <x v="446"/>
    <x v="0"/>
    <x v="216"/>
    <x v="33"/>
    <x v="468"/>
    <x v="0"/>
    <x v="16"/>
    <x v="0"/>
  </r>
  <r>
    <x v="480"/>
    <x v="239"/>
    <x v="6"/>
    <x v="14"/>
    <x v="14"/>
    <x v="8"/>
    <x v="172"/>
    <x v="8"/>
    <x v="13"/>
    <x v="184"/>
    <x v="273"/>
    <x v="438"/>
    <x v="447"/>
    <x v="1"/>
    <x v="52"/>
    <x v="106"/>
    <x v="469"/>
    <x v="2"/>
    <x v="34"/>
    <x v="0"/>
  </r>
  <r>
    <x v="481"/>
    <x v="390"/>
    <x v="5"/>
    <x v="3"/>
    <x v="3"/>
    <x v="5"/>
    <x v="195"/>
    <x v="5"/>
    <x v="37"/>
    <x v="145"/>
    <x v="274"/>
    <x v="439"/>
    <x v="448"/>
    <x v="2"/>
    <x v="137"/>
    <x v="136"/>
    <x v="470"/>
    <x v="1"/>
    <x v="7"/>
    <x v="88"/>
  </r>
  <r>
    <x v="482"/>
    <x v="391"/>
    <x v="7"/>
    <x v="7"/>
    <x v="7"/>
    <x v="8"/>
    <x v="43"/>
    <x v="8"/>
    <x v="66"/>
    <x v="397"/>
    <x v="272"/>
    <x v="440"/>
    <x v="449"/>
    <x v="0"/>
    <x v="24"/>
    <x v="176"/>
    <x v="471"/>
    <x v="1"/>
    <x v="33"/>
    <x v="42"/>
  </r>
  <r>
    <x v="483"/>
    <x v="392"/>
    <x v="0"/>
    <x v="3"/>
    <x v="3"/>
    <x v="9"/>
    <x v="38"/>
    <x v="9"/>
    <x v="42"/>
    <x v="398"/>
    <x v="275"/>
    <x v="441"/>
    <x v="450"/>
    <x v="0"/>
    <x v="144"/>
    <x v="8"/>
    <x v="472"/>
    <x v="0"/>
    <x v="1"/>
    <x v="0"/>
  </r>
  <r>
    <x v="484"/>
    <x v="3"/>
    <x v="5"/>
    <x v="8"/>
    <x v="8"/>
    <x v="12"/>
    <x v="67"/>
    <x v="13"/>
    <x v="60"/>
    <x v="399"/>
    <x v="5"/>
    <x v="442"/>
    <x v="451"/>
    <x v="1"/>
    <x v="97"/>
    <x v="193"/>
    <x v="473"/>
    <x v="0"/>
    <x v="3"/>
    <x v="0"/>
  </r>
  <r>
    <x v="485"/>
    <x v="393"/>
    <x v="1"/>
    <x v="2"/>
    <x v="2"/>
    <x v="9"/>
    <x v="176"/>
    <x v="9"/>
    <x v="92"/>
    <x v="400"/>
    <x v="207"/>
    <x v="443"/>
    <x v="452"/>
    <x v="1"/>
    <x v="39"/>
    <x v="194"/>
    <x v="474"/>
    <x v="0"/>
    <x v="19"/>
    <x v="0"/>
  </r>
  <r>
    <x v="486"/>
    <x v="346"/>
    <x v="3"/>
    <x v="15"/>
    <x v="15"/>
    <x v="16"/>
    <x v="186"/>
    <x v="17"/>
    <x v="78"/>
    <x v="9"/>
    <x v="7"/>
    <x v="444"/>
    <x v="453"/>
    <x v="2"/>
    <x v="150"/>
    <x v="37"/>
    <x v="219"/>
    <x v="0"/>
    <x v="13"/>
    <x v="0"/>
  </r>
  <r>
    <x v="487"/>
    <x v="289"/>
    <x v="6"/>
    <x v="3"/>
    <x v="3"/>
    <x v="10"/>
    <x v="258"/>
    <x v="10"/>
    <x v="69"/>
    <x v="65"/>
    <x v="77"/>
    <x v="445"/>
    <x v="161"/>
    <x v="1"/>
    <x v="32"/>
    <x v="84"/>
    <x v="475"/>
    <x v="0"/>
    <x v="6"/>
    <x v="0"/>
  </r>
  <r>
    <x v="488"/>
    <x v="125"/>
    <x v="0"/>
    <x v="4"/>
    <x v="19"/>
    <x v="7"/>
    <x v="123"/>
    <x v="7"/>
    <x v="50"/>
    <x v="401"/>
    <x v="163"/>
    <x v="157"/>
    <x v="454"/>
    <x v="0"/>
    <x v="151"/>
    <x v="112"/>
    <x v="332"/>
    <x v="0"/>
    <x v="6"/>
    <x v="0"/>
  </r>
  <r>
    <x v="489"/>
    <x v="394"/>
    <x v="2"/>
    <x v="5"/>
    <x v="5"/>
    <x v="16"/>
    <x v="222"/>
    <x v="17"/>
    <x v="51"/>
    <x v="272"/>
    <x v="27"/>
    <x v="446"/>
    <x v="455"/>
    <x v="0"/>
    <x v="83"/>
    <x v="4"/>
    <x v="476"/>
    <x v="0"/>
    <x v="25"/>
    <x v="0"/>
  </r>
  <r>
    <x v="490"/>
    <x v="386"/>
    <x v="0"/>
    <x v="1"/>
    <x v="1"/>
    <x v="9"/>
    <x v="16"/>
    <x v="9"/>
    <x v="78"/>
    <x v="402"/>
    <x v="261"/>
    <x v="447"/>
    <x v="456"/>
    <x v="0"/>
    <x v="88"/>
    <x v="133"/>
    <x v="477"/>
    <x v="1"/>
    <x v="34"/>
    <x v="87"/>
  </r>
  <r>
    <x v="491"/>
    <x v="395"/>
    <x v="1"/>
    <x v="16"/>
    <x v="16"/>
    <x v="1"/>
    <x v="259"/>
    <x v="1"/>
    <x v="49"/>
    <x v="403"/>
    <x v="250"/>
    <x v="448"/>
    <x v="457"/>
    <x v="1"/>
    <x v="217"/>
    <x v="92"/>
    <x v="478"/>
    <x v="0"/>
    <x v="12"/>
    <x v="0"/>
  </r>
  <r>
    <x v="492"/>
    <x v="221"/>
    <x v="0"/>
    <x v="11"/>
    <x v="11"/>
    <x v="9"/>
    <x v="30"/>
    <x v="9"/>
    <x v="39"/>
    <x v="377"/>
    <x v="136"/>
    <x v="449"/>
    <x v="458"/>
    <x v="1"/>
    <x v="125"/>
    <x v="133"/>
    <x v="479"/>
    <x v="0"/>
    <x v="17"/>
    <x v="0"/>
  </r>
  <r>
    <x v="493"/>
    <x v="396"/>
    <x v="2"/>
    <x v="10"/>
    <x v="10"/>
    <x v="6"/>
    <x v="235"/>
    <x v="11"/>
    <x v="44"/>
    <x v="123"/>
    <x v="164"/>
    <x v="450"/>
    <x v="459"/>
    <x v="1"/>
    <x v="66"/>
    <x v="16"/>
    <x v="480"/>
    <x v="0"/>
    <x v="34"/>
    <x v="0"/>
  </r>
  <r>
    <x v="494"/>
    <x v="397"/>
    <x v="1"/>
    <x v="16"/>
    <x v="16"/>
    <x v="18"/>
    <x v="109"/>
    <x v="19"/>
    <x v="89"/>
    <x v="55"/>
    <x v="60"/>
    <x v="451"/>
    <x v="460"/>
    <x v="0"/>
    <x v="118"/>
    <x v="116"/>
    <x v="481"/>
    <x v="0"/>
    <x v="15"/>
    <x v="0"/>
  </r>
  <r>
    <x v="495"/>
    <x v="398"/>
    <x v="3"/>
    <x v="3"/>
    <x v="3"/>
    <x v="15"/>
    <x v="207"/>
    <x v="16"/>
    <x v="55"/>
    <x v="404"/>
    <x v="72"/>
    <x v="452"/>
    <x v="14"/>
    <x v="0"/>
    <x v="26"/>
    <x v="39"/>
    <x v="482"/>
    <x v="0"/>
    <x v="34"/>
    <x v="0"/>
  </r>
  <r>
    <x v="496"/>
    <x v="306"/>
    <x v="4"/>
    <x v="0"/>
    <x v="0"/>
    <x v="16"/>
    <x v="260"/>
    <x v="17"/>
    <x v="90"/>
    <x v="405"/>
    <x v="149"/>
    <x v="453"/>
    <x v="461"/>
    <x v="1"/>
    <x v="20"/>
    <x v="195"/>
    <x v="483"/>
    <x v="1"/>
    <x v="23"/>
    <x v="89"/>
  </r>
  <r>
    <x v="497"/>
    <x v="271"/>
    <x v="1"/>
    <x v="6"/>
    <x v="6"/>
    <x v="3"/>
    <x v="66"/>
    <x v="3"/>
    <x v="8"/>
    <x v="406"/>
    <x v="258"/>
    <x v="218"/>
    <x v="462"/>
    <x v="1"/>
    <x v="4"/>
    <x v="18"/>
    <x v="484"/>
    <x v="2"/>
    <x v="11"/>
    <x v="0"/>
  </r>
  <r>
    <x v="498"/>
    <x v="50"/>
    <x v="4"/>
    <x v="13"/>
    <x v="13"/>
    <x v="18"/>
    <x v="182"/>
    <x v="19"/>
    <x v="21"/>
    <x v="262"/>
    <x v="193"/>
    <x v="454"/>
    <x v="463"/>
    <x v="2"/>
    <x v="132"/>
    <x v="86"/>
    <x v="485"/>
    <x v="0"/>
    <x v="25"/>
    <x v="0"/>
  </r>
  <r>
    <x v="499"/>
    <x v="298"/>
    <x v="4"/>
    <x v="4"/>
    <x v="19"/>
    <x v="13"/>
    <x v="100"/>
    <x v="14"/>
    <x v="9"/>
    <x v="407"/>
    <x v="71"/>
    <x v="455"/>
    <x v="464"/>
    <x v="2"/>
    <x v="194"/>
    <x v="21"/>
    <x v="486"/>
    <x v="1"/>
    <x v="4"/>
    <x v="6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3" cacheId="0" applyNumberFormats="0" applyBorderFormats="0" applyFontFormats="0" applyPatternFormats="0" applyAlignmentFormats="0" applyWidthHeightFormats="1" dataCaption="Values" updatedVersion="5" minRefreshableVersion="3" useAutoFormatting="1" createdVersion="5" indent="0" compact="0" outline="1" outlineData="1" compactData="0" multipleFieldFilters="0">
  <location ref="Z7:AA28" firstHeaderRow="1" firstDataRow="1" firstDataCol="1"/>
  <pivotFields count="20">
    <pivotField dataField="1" compact="0"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compact="0" numFmtId="167" showAll="0">
      <items count="400">
        <item x="238"/>
        <item x="71"/>
        <item x="186"/>
        <item x="322"/>
        <item x="15"/>
        <item x="255"/>
        <item x="211"/>
        <item x="53"/>
        <item x="395"/>
        <item x="358"/>
        <item x="143"/>
        <item x="54"/>
        <item x="233"/>
        <item x="43"/>
        <item x="120"/>
        <item x="222"/>
        <item x="243"/>
        <item x="94"/>
        <item x="115"/>
        <item x="192"/>
        <item x="217"/>
        <item x="201"/>
        <item x="253"/>
        <item x="166"/>
        <item x="335"/>
        <item x="394"/>
        <item x="347"/>
        <item x="64"/>
        <item x="65"/>
        <item x="50"/>
        <item x="297"/>
        <item x="292"/>
        <item x="33"/>
        <item x="140"/>
        <item x="263"/>
        <item x="280"/>
        <item x="138"/>
        <item x="58"/>
        <item x="17"/>
        <item x="362"/>
        <item x="133"/>
        <item x="308"/>
        <item x="127"/>
        <item x="177"/>
        <item x="93"/>
        <item x="245"/>
        <item x="9"/>
        <item x="381"/>
        <item x="128"/>
        <item x="105"/>
        <item x="390"/>
        <item x="318"/>
        <item x="38"/>
        <item x="183"/>
        <item x="274"/>
        <item x="104"/>
        <item x="184"/>
        <item x="239"/>
        <item x="386"/>
        <item x="171"/>
        <item x="117"/>
        <item x="181"/>
        <item x="396"/>
        <item x="398"/>
        <item x="96"/>
        <item x="293"/>
        <item x="392"/>
        <item x="345"/>
        <item x="66"/>
        <item x="241"/>
        <item x="1"/>
        <item x="357"/>
        <item x="328"/>
        <item x="352"/>
        <item x="277"/>
        <item x="311"/>
        <item x="116"/>
        <item x="299"/>
        <item x="151"/>
        <item x="249"/>
        <item x="267"/>
        <item x="203"/>
        <item x="187"/>
        <item x="121"/>
        <item x="102"/>
        <item x="388"/>
        <item x="30"/>
        <item x="226"/>
        <item x="0"/>
        <item x="69"/>
        <item x="103"/>
        <item x="91"/>
        <item x="382"/>
        <item x="129"/>
        <item x="369"/>
        <item x="141"/>
        <item x="324"/>
        <item x="343"/>
        <item x="34"/>
        <item x="346"/>
        <item x="28"/>
        <item x="350"/>
        <item x="287"/>
        <item x="208"/>
        <item x="16"/>
        <item x="24"/>
        <item x="122"/>
        <item x="374"/>
        <item x="111"/>
        <item x="229"/>
        <item x="278"/>
        <item x="110"/>
        <item x="95"/>
        <item x="170"/>
        <item x="70"/>
        <item x="149"/>
        <item x="248"/>
        <item x="90"/>
        <item x="72"/>
        <item x="135"/>
        <item x="29"/>
        <item x="334"/>
        <item x="365"/>
        <item x="237"/>
        <item x="252"/>
        <item x="158"/>
        <item x="348"/>
        <item x="307"/>
        <item x="314"/>
        <item x="112"/>
        <item x="338"/>
        <item x="19"/>
        <item x="333"/>
        <item x="344"/>
        <item x="108"/>
        <item x="131"/>
        <item x="397"/>
        <item x="153"/>
        <item x="261"/>
        <item x="282"/>
        <item x="321"/>
        <item x="74"/>
        <item x="259"/>
        <item x="56"/>
        <item x="198"/>
        <item x="231"/>
        <item x="107"/>
        <item x="262"/>
        <item x="189"/>
        <item x="301"/>
        <item x="197"/>
        <item x="62"/>
        <item x="152"/>
        <item x="266"/>
        <item x="368"/>
        <item x="242"/>
        <item x="146"/>
        <item x="60"/>
        <item x="376"/>
        <item x="136"/>
        <item x="363"/>
        <item x="85"/>
        <item x="356"/>
        <item x="309"/>
        <item x="172"/>
        <item x="48"/>
        <item x="234"/>
        <item x="296"/>
        <item x="175"/>
        <item x="323"/>
        <item x="372"/>
        <item x="144"/>
        <item x="320"/>
        <item x="387"/>
        <item x="371"/>
        <item x="86"/>
        <item x="225"/>
        <item x="199"/>
        <item x="303"/>
        <item x="12"/>
        <item x="367"/>
        <item x="173"/>
        <item x="319"/>
        <item x="219"/>
        <item x="22"/>
        <item x="212"/>
        <item x="273"/>
        <item x="206"/>
        <item x="342"/>
        <item x="134"/>
        <item x="285"/>
        <item x="75"/>
        <item x="92"/>
        <item x="351"/>
        <item x="230"/>
        <item x="257"/>
        <item x="336"/>
        <item x="312"/>
        <item x="325"/>
        <item x="26"/>
        <item x="147"/>
        <item x="32"/>
        <item x="269"/>
        <item x="379"/>
        <item x="150"/>
        <item x="79"/>
        <item x="185"/>
        <item x="370"/>
        <item x="179"/>
        <item x="168"/>
        <item x="2"/>
        <item x="18"/>
        <item x="366"/>
        <item x="385"/>
        <item x="254"/>
        <item x="330"/>
        <item x="106"/>
        <item x="68"/>
        <item x="63"/>
        <item x="61"/>
        <item x="205"/>
        <item x="286"/>
        <item x="77"/>
        <item x="256"/>
        <item x="76"/>
        <item x="25"/>
        <item x="23"/>
        <item x="288"/>
        <item x="89"/>
        <item x="383"/>
        <item x="221"/>
        <item x="210"/>
        <item x="98"/>
        <item x="384"/>
        <item x="268"/>
        <item x="145"/>
        <item x="272"/>
        <item x="7"/>
        <item x="327"/>
        <item x="377"/>
        <item x="40"/>
        <item x="142"/>
        <item x="36"/>
        <item x="46"/>
        <item x="99"/>
        <item x="31"/>
        <item x="380"/>
        <item x="55"/>
        <item x="195"/>
        <item x="109"/>
        <item x="154"/>
        <item x="176"/>
        <item x="279"/>
        <item x="10"/>
        <item x="276"/>
        <item x="331"/>
        <item x="306"/>
        <item x="165"/>
        <item x="317"/>
        <item x="47"/>
        <item x="204"/>
        <item x="329"/>
        <item x="236"/>
        <item x="78"/>
        <item x="119"/>
        <item x="100"/>
        <item x="295"/>
        <item x="87"/>
        <item x="304"/>
        <item x="3"/>
        <item x="194"/>
        <item x="4"/>
        <item x="84"/>
        <item x="332"/>
        <item x="300"/>
        <item x="5"/>
        <item x="80"/>
        <item x="313"/>
        <item x="81"/>
        <item x="224"/>
        <item x="14"/>
        <item x="49"/>
        <item x="193"/>
        <item x="240"/>
        <item x="35"/>
        <item x="271"/>
        <item x="169"/>
        <item x="291"/>
        <item x="42"/>
        <item x="246"/>
        <item x="244"/>
        <item x="305"/>
        <item x="284"/>
        <item x="164"/>
        <item x="316"/>
        <item x="373"/>
        <item x="228"/>
        <item x="355"/>
        <item x="137"/>
        <item x="124"/>
        <item x="67"/>
        <item x="250"/>
        <item x="264"/>
        <item x="82"/>
        <item x="360"/>
        <item x="97"/>
        <item x="378"/>
        <item x="353"/>
        <item x="289"/>
        <item x="251"/>
        <item x="101"/>
        <item x="83"/>
        <item x="163"/>
        <item x="214"/>
        <item x="270"/>
        <item x="283"/>
        <item x="20"/>
        <item x="125"/>
        <item x="39"/>
        <item x="126"/>
        <item x="156"/>
        <item x="209"/>
        <item x="8"/>
        <item x="190"/>
        <item x="326"/>
        <item x="294"/>
        <item x="51"/>
        <item x="182"/>
        <item x="188"/>
        <item x="393"/>
        <item x="216"/>
        <item x="341"/>
        <item x="27"/>
        <item x="361"/>
        <item x="73"/>
        <item x="265"/>
        <item x="130"/>
        <item x="196"/>
        <item x="157"/>
        <item x="88"/>
        <item x="113"/>
        <item x="391"/>
        <item x="159"/>
        <item x="178"/>
        <item x="162"/>
        <item x="118"/>
        <item x="207"/>
        <item x="155"/>
        <item x="275"/>
        <item x="298"/>
        <item x="6"/>
        <item x="227"/>
        <item x="260"/>
        <item x="52"/>
        <item x="132"/>
        <item x="57"/>
        <item x="302"/>
        <item x="123"/>
        <item x="290"/>
        <item x="13"/>
        <item x="359"/>
        <item x="21"/>
        <item x="337"/>
        <item x="232"/>
        <item x="148"/>
        <item x="389"/>
        <item x="41"/>
        <item x="200"/>
        <item x="44"/>
        <item x="191"/>
        <item x="340"/>
        <item x="213"/>
        <item x="349"/>
        <item x="218"/>
        <item x="114"/>
        <item x="167"/>
        <item x="310"/>
        <item x="354"/>
        <item x="215"/>
        <item x="11"/>
        <item x="202"/>
        <item x="375"/>
        <item x="281"/>
        <item x="174"/>
        <item x="139"/>
        <item x="37"/>
        <item x="220"/>
        <item x="247"/>
        <item x="161"/>
        <item x="315"/>
        <item x="59"/>
        <item x="180"/>
        <item x="160"/>
        <item x="223"/>
        <item x="364"/>
        <item x="339"/>
        <item x="235"/>
        <item x="45"/>
        <item x="258"/>
        <item t="default"/>
      </items>
    </pivotField>
    <pivotField compact="0" showAll="0">
      <items count="10">
        <item m="1" x="8"/>
        <item x="2"/>
        <item x="3"/>
        <item x="0"/>
        <item x="6"/>
        <item x="7"/>
        <item x="1"/>
        <item x="4"/>
        <item x="5"/>
        <item t="default"/>
      </items>
    </pivotField>
    <pivotField compact="0" showAll="0">
      <items count="20">
        <item x="14"/>
        <item x="0"/>
        <item x="16"/>
        <item x="4"/>
        <item x="9"/>
        <item x="1"/>
        <item x="17"/>
        <item x="10"/>
        <item x="8"/>
        <item x="11"/>
        <item x="2"/>
        <item x="7"/>
        <item x="15"/>
        <item x="6"/>
        <item x="13"/>
        <item x="12"/>
        <item x="3"/>
        <item x="5"/>
        <item x="18"/>
        <item t="default"/>
      </items>
    </pivotField>
    <pivotField axis="axisRow" compact="0" showAll="0" sortType="descending">
      <items count="21">
        <item x="14"/>
        <item x="0"/>
        <item x="16"/>
        <item x="1"/>
        <item x="9"/>
        <item x="17"/>
        <item x="6"/>
        <item x="10"/>
        <item x="15"/>
        <item x="8"/>
        <item x="11"/>
        <item x="13"/>
        <item x="19"/>
        <item x="2"/>
        <item x="7"/>
        <item x="4"/>
        <item x="12"/>
        <item x="3"/>
        <item x="18"/>
        <item x="5"/>
        <item t="default"/>
      </items>
      <autoSortScope>
        <pivotArea fieldPosition="0">
          <references count="1">
            <reference field="4294967294" count="1" selected="0">
              <x v="0"/>
            </reference>
          </references>
        </pivotArea>
      </autoSortScope>
    </pivotField>
    <pivotField compact="0" showAll="0">
      <items count="20">
        <item x="16"/>
        <item x="3"/>
        <item x="2"/>
        <item x="6"/>
        <item x="15"/>
        <item x="0"/>
        <item x="10"/>
        <item x="9"/>
        <item x="11"/>
        <item x="4"/>
        <item x="17"/>
        <item x="5"/>
        <item x="12"/>
        <item x="7"/>
        <item x="1"/>
        <item x="14"/>
        <item x="8"/>
        <item x="18"/>
        <item x="13"/>
        <item t="default"/>
      </items>
    </pivotField>
    <pivotField compact="0" showAll="0">
      <items count="262">
        <item x="156"/>
        <item x="32"/>
        <item x="54"/>
        <item x="210"/>
        <item x="134"/>
        <item x="89"/>
        <item x="103"/>
        <item x="212"/>
        <item x="62"/>
        <item x="216"/>
        <item x="157"/>
        <item x="55"/>
        <item x="172"/>
        <item x="160"/>
        <item x="260"/>
        <item x="42"/>
        <item x="6"/>
        <item x="0"/>
        <item x="73"/>
        <item x="26"/>
        <item x="223"/>
        <item x="45"/>
        <item x="69"/>
        <item x="39"/>
        <item x="13"/>
        <item x="228"/>
        <item x="184"/>
        <item x="102"/>
        <item x="143"/>
        <item x="50"/>
        <item x="59"/>
        <item x="47"/>
        <item x="117"/>
        <item x="155"/>
        <item x="91"/>
        <item x="106"/>
        <item x="232"/>
        <item x="35"/>
        <item x="259"/>
        <item x="44"/>
        <item x="244"/>
        <item x="109"/>
        <item x="146"/>
        <item x="24"/>
        <item x="211"/>
        <item x="167"/>
        <item x="256"/>
        <item x="104"/>
        <item x="150"/>
        <item x="31"/>
        <item x="4"/>
        <item x="149"/>
        <item x="123"/>
        <item x="85"/>
        <item x="72"/>
        <item x="133"/>
        <item x="227"/>
        <item x="100"/>
        <item x="127"/>
        <item x="124"/>
        <item x="175"/>
        <item x="20"/>
        <item x="83"/>
        <item x="25"/>
        <item x="75"/>
        <item x="101"/>
        <item x="11"/>
        <item x="79"/>
        <item x="200"/>
        <item x="169"/>
        <item x="52"/>
        <item x="246"/>
        <item x="86"/>
        <item x="205"/>
        <item x="18"/>
        <item x="87"/>
        <item x="16"/>
        <item x="136"/>
        <item x="93"/>
        <item x="1"/>
        <item x="53"/>
        <item x="12"/>
        <item x="239"/>
        <item x="230"/>
        <item x="76"/>
        <item x="177"/>
        <item x="139"/>
        <item x="132"/>
        <item x="214"/>
        <item x="183"/>
        <item x="151"/>
        <item x="213"/>
        <item x="108"/>
        <item x="255"/>
        <item x="82"/>
        <item x="225"/>
        <item x="180"/>
        <item x="36"/>
        <item x="229"/>
        <item x="237"/>
        <item x="217"/>
        <item x="14"/>
        <item x="235"/>
        <item x="113"/>
        <item x="112"/>
        <item x="174"/>
        <item x="34"/>
        <item x="226"/>
        <item x="80"/>
        <item x="96"/>
        <item x="208"/>
        <item x="185"/>
        <item x="10"/>
        <item x="221"/>
        <item x="49"/>
        <item x="95"/>
        <item x="163"/>
        <item x="28"/>
        <item x="67"/>
        <item x="204"/>
        <item x="196"/>
        <item x="220"/>
        <item x="64"/>
        <item x="152"/>
        <item x="254"/>
        <item x="15"/>
        <item x="251"/>
        <item x="140"/>
        <item x="60"/>
        <item x="17"/>
        <item x="30"/>
        <item x="242"/>
        <item x="65"/>
        <item x="191"/>
        <item x="202"/>
        <item x="21"/>
        <item x="126"/>
        <item x="121"/>
        <item x="78"/>
        <item x="218"/>
        <item x="250"/>
        <item x="2"/>
        <item x="68"/>
        <item x="164"/>
        <item x="99"/>
        <item x="176"/>
        <item x="130"/>
        <item x="131"/>
        <item x="37"/>
        <item x="192"/>
        <item x="147"/>
        <item x="224"/>
        <item x="29"/>
        <item x="70"/>
        <item x="119"/>
        <item x="181"/>
        <item x="142"/>
        <item x="201"/>
        <item x="122"/>
        <item x="88"/>
        <item x="74"/>
        <item x="9"/>
        <item x="166"/>
        <item x="107"/>
        <item x="43"/>
        <item x="110"/>
        <item x="186"/>
        <item x="203"/>
        <item x="236"/>
        <item x="81"/>
        <item x="238"/>
        <item x="219"/>
        <item x="48"/>
        <item x="144"/>
        <item x="209"/>
        <item x="249"/>
        <item x="252"/>
        <item x="33"/>
        <item x="173"/>
        <item x="170"/>
        <item x="84"/>
        <item x="61"/>
        <item x="66"/>
        <item x="90"/>
        <item x="198"/>
        <item x="148"/>
        <item x="19"/>
        <item x="120"/>
        <item x="105"/>
        <item x="7"/>
        <item x="41"/>
        <item x="57"/>
        <item x="188"/>
        <item x="179"/>
        <item x="114"/>
        <item x="135"/>
        <item x="257"/>
        <item x="98"/>
        <item x="46"/>
        <item x="245"/>
        <item x="199"/>
        <item x="206"/>
        <item x="161"/>
        <item x="190"/>
        <item x="27"/>
        <item x="194"/>
        <item x="215"/>
        <item x="138"/>
        <item x="182"/>
        <item x="94"/>
        <item x="56"/>
        <item x="23"/>
        <item x="247"/>
        <item x="165"/>
        <item x="153"/>
        <item x="128"/>
        <item x="129"/>
        <item x="168"/>
        <item x="111"/>
        <item x="231"/>
        <item x="234"/>
        <item x="158"/>
        <item x="3"/>
        <item x="197"/>
        <item x="22"/>
        <item x="207"/>
        <item x="243"/>
        <item x="258"/>
        <item x="38"/>
        <item x="241"/>
        <item x="137"/>
        <item x="97"/>
        <item x="195"/>
        <item x="116"/>
        <item x="92"/>
        <item x="115"/>
        <item x="240"/>
        <item x="222"/>
        <item x="145"/>
        <item x="58"/>
        <item x="77"/>
        <item x="8"/>
        <item x="193"/>
        <item x="187"/>
        <item x="171"/>
        <item x="253"/>
        <item x="178"/>
        <item x="5"/>
        <item x="159"/>
        <item x="118"/>
        <item x="189"/>
        <item x="248"/>
        <item x="125"/>
        <item x="40"/>
        <item x="233"/>
        <item x="162"/>
        <item x="51"/>
        <item x="71"/>
        <item x="154"/>
        <item x="63"/>
        <item x="141"/>
        <item t="default"/>
      </items>
    </pivotField>
    <pivotField compact="0" showAll="0">
      <items count="21">
        <item x="17"/>
        <item x="3"/>
        <item x="2"/>
        <item x="0"/>
        <item x="16"/>
        <item x="10"/>
        <item x="7"/>
        <item x="9"/>
        <item x="13"/>
        <item x="12"/>
        <item x="4"/>
        <item x="1"/>
        <item x="6"/>
        <item x="18"/>
        <item x="5"/>
        <item x="11"/>
        <item x="15"/>
        <item x="8"/>
        <item x="14"/>
        <item x="19"/>
        <item t="default"/>
      </items>
    </pivotField>
    <pivotField compact="0" showAll="0">
      <items count="97">
        <item x="48"/>
        <item x="38"/>
        <item x="54"/>
        <item x="22"/>
        <item x="88"/>
        <item x="90"/>
        <item x="26"/>
        <item x="3"/>
        <item x="12"/>
        <item x="20"/>
        <item x="34"/>
        <item x="25"/>
        <item x="24"/>
        <item x="14"/>
        <item x="62"/>
        <item x="58"/>
        <item x="68"/>
        <item x="92"/>
        <item x="73"/>
        <item x="8"/>
        <item x="11"/>
        <item x="46"/>
        <item x="89"/>
        <item x="10"/>
        <item x="94"/>
        <item x="87"/>
        <item x="5"/>
        <item x="18"/>
        <item x="61"/>
        <item x="0"/>
        <item x="6"/>
        <item x="60"/>
        <item x="53"/>
        <item x="57"/>
        <item x="44"/>
        <item x="70"/>
        <item x="45"/>
        <item x="19"/>
        <item x="43"/>
        <item x="31"/>
        <item x="85"/>
        <item x="40"/>
        <item x="2"/>
        <item x="37"/>
        <item x="95"/>
        <item x="86"/>
        <item x="23"/>
        <item x="28"/>
        <item x="63"/>
        <item x="42"/>
        <item x="77"/>
        <item x="64"/>
        <item x="27"/>
        <item x="15"/>
        <item x="21"/>
        <item x="33"/>
        <item x="17"/>
        <item x="66"/>
        <item x="52"/>
        <item x="91"/>
        <item x="35"/>
        <item x="81"/>
        <item x="49"/>
        <item x="55"/>
        <item x="84"/>
        <item x="65"/>
        <item x="9"/>
        <item x="79"/>
        <item x="74"/>
        <item x="29"/>
        <item x="71"/>
        <item x="67"/>
        <item x="36"/>
        <item x="39"/>
        <item x="75"/>
        <item x="51"/>
        <item x="1"/>
        <item x="69"/>
        <item x="59"/>
        <item x="13"/>
        <item x="78"/>
        <item x="93"/>
        <item x="56"/>
        <item x="7"/>
        <item x="80"/>
        <item x="4"/>
        <item x="32"/>
        <item x="30"/>
        <item x="72"/>
        <item x="76"/>
        <item x="47"/>
        <item x="82"/>
        <item x="83"/>
        <item x="50"/>
        <item x="16"/>
        <item x="41"/>
        <item t="default"/>
      </items>
    </pivotField>
    <pivotField compact="0" showAll="0">
      <items count="409">
        <item x="184"/>
        <item x="160"/>
        <item x="135"/>
        <item x="130"/>
        <item x="334"/>
        <item x="291"/>
        <item x="92"/>
        <item x="147"/>
        <item x="224"/>
        <item x="195"/>
        <item x="65"/>
        <item x="377"/>
        <item x="331"/>
        <item x="385"/>
        <item x="170"/>
        <item x="194"/>
        <item x="368"/>
        <item x="192"/>
        <item x="279"/>
        <item x="36"/>
        <item x="372"/>
        <item x="165"/>
        <item x="328"/>
        <item x="4"/>
        <item x="1"/>
        <item x="71"/>
        <item x="121"/>
        <item x="290"/>
        <item x="267"/>
        <item x="322"/>
        <item x="335"/>
        <item x="114"/>
        <item x="197"/>
        <item x="381"/>
        <item x="347"/>
        <item x="180"/>
        <item x="119"/>
        <item x="383"/>
        <item x="17"/>
        <item x="319"/>
        <item x="34"/>
        <item x="106"/>
        <item x="258"/>
        <item x="272"/>
        <item x="99"/>
        <item x="311"/>
        <item x="154"/>
        <item x="201"/>
        <item x="78"/>
        <item x="271"/>
        <item x="102"/>
        <item x="105"/>
        <item x="318"/>
        <item x="261"/>
        <item x="247"/>
        <item x="346"/>
        <item x="300"/>
        <item x="35"/>
        <item x="245"/>
        <item x="370"/>
        <item x="150"/>
        <item x="402"/>
        <item x="178"/>
        <item x="46"/>
        <item x="77"/>
        <item x="292"/>
        <item x="159"/>
        <item x="387"/>
        <item x="249"/>
        <item x="277"/>
        <item x="374"/>
        <item x="308"/>
        <item x="89"/>
        <item x="146"/>
        <item x="336"/>
        <item x="81"/>
        <item x="132"/>
        <item x="94"/>
        <item x="214"/>
        <item x="21"/>
        <item x="112"/>
        <item x="341"/>
        <item x="270"/>
        <item x="28"/>
        <item x="242"/>
        <item x="162"/>
        <item x="330"/>
        <item x="392"/>
        <item x="166"/>
        <item x="218"/>
        <item x="389"/>
        <item x="371"/>
        <item x="53"/>
        <item x="265"/>
        <item x="233"/>
        <item x="281"/>
        <item x="133"/>
        <item x="169"/>
        <item x="64"/>
        <item x="62"/>
        <item x="40"/>
        <item x="254"/>
        <item x="171"/>
        <item x="213"/>
        <item x="15"/>
        <item x="406"/>
        <item x="280"/>
        <item x="26"/>
        <item x="246"/>
        <item x="14"/>
        <item x="405"/>
        <item x="401"/>
        <item x="384"/>
        <item x="196"/>
        <item x="207"/>
        <item x="8"/>
        <item x="118"/>
        <item x="85"/>
        <item x="10"/>
        <item x="134"/>
        <item x="369"/>
        <item x="23"/>
        <item x="337"/>
        <item x="312"/>
        <item x="176"/>
        <item x="210"/>
        <item x="69"/>
        <item x="3"/>
        <item x="209"/>
        <item x="47"/>
        <item x="378"/>
        <item x="283"/>
        <item x="111"/>
        <item x="61"/>
        <item x="206"/>
        <item x="348"/>
        <item x="149"/>
        <item x="251"/>
        <item x="379"/>
        <item x="260"/>
        <item x="58"/>
        <item x="100"/>
        <item x="189"/>
        <item x="19"/>
        <item x="225"/>
        <item x="239"/>
        <item x="338"/>
        <item x="57"/>
        <item x="252"/>
        <item x="358"/>
        <item x="164"/>
        <item x="172"/>
        <item x="232"/>
        <item x="6"/>
        <item x="376"/>
        <item x="90"/>
        <item x="326"/>
        <item x="345"/>
        <item x="12"/>
        <item x="361"/>
        <item x="278"/>
        <item x="230"/>
        <item x="238"/>
        <item x="344"/>
        <item x="244"/>
        <item x="113"/>
        <item x="243"/>
        <item x="226"/>
        <item x="327"/>
        <item x="390"/>
        <item x="27"/>
        <item x="231"/>
        <item x="350"/>
        <item x="400"/>
        <item x="293"/>
        <item x="253"/>
        <item x="188"/>
        <item x="304"/>
        <item x="234"/>
        <item x="307"/>
        <item x="342"/>
        <item x="25"/>
        <item x="56"/>
        <item x="76"/>
        <item x="120"/>
        <item x="321"/>
        <item x="63"/>
        <item x="123"/>
        <item x="212"/>
        <item x="305"/>
        <item x="20"/>
        <item x="124"/>
        <item x="143"/>
        <item x="96"/>
        <item x="141"/>
        <item x="11"/>
        <item x="269"/>
        <item x="98"/>
        <item x="152"/>
        <item x="396"/>
        <item x="83"/>
        <item x="136"/>
        <item x="93"/>
        <item x="240"/>
        <item x="259"/>
        <item x="174"/>
        <item x="187"/>
        <item x="282"/>
        <item x="37"/>
        <item x="51"/>
        <item x="107"/>
        <item x="241"/>
        <item x="388"/>
        <item x="59"/>
        <item x="30"/>
        <item x="382"/>
        <item x="351"/>
        <item x="97"/>
        <item x="115"/>
        <item x="55"/>
        <item x="229"/>
        <item x="295"/>
        <item x="343"/>
        <item x="125"/>
        <item x="289"/>
        <item x="364"/>
        <item x="302"/>
        <item x="2"/>
        <item x="193"/>
        <item x="84"/>
        <item x="363"/>
        <item x="88"/>
        <item x="264"/>
        <item x="82"/>
        <item x="299"/>
        <item x="349"/>
        <item x="60"/>
        <item x="191"/>
        <item x="131"/>
        <item x="359"/>
        <item x="5"/>
        <item x="80"/>
        <item x="215"/>
        <item x="24"/>
        <item x="222"/>
        <item x="220"/>
        <item x="297"/>
        <item x="219"/>
        <item x="367"/>
        <item x="256"/>
        <item x="362"/>
        <item x="263"/>
        <item x="45"/>
        <item x="395"/>
        <item x="67"/>
        <item x="393"/>
        <item x="168"/>
        <item x="276"/>
        <item x="366"/>
        <item x="185"/>
        <item x="0"/>
        <item x="340"/>
        <item x="399"/>
        <item x="221"/>
        <item x="316"/>
        <item x="153"/>
        <item x="294"/>
        <item x="151"/>
        <item x="16"/>
        <item x="391"/>
        <item x="274"/>
        <item x="157"/>
        <item x="52"/>
        <item x="18"/>
        <item x="217"/>
        <item x="29"/>
        <item x="273"/>
        <item x="398"/>
        <item x="54"/>
        <item x="248"/>
        <item x="39"/>
        <item x="216"/>
        <item x="181"/>
        <item x="227"/>
        <item x="32"/>
        <item x="104"/>
        <item x="186"/>
        <item x="375"/>
        <item x="202"/>
        <item x="306"/>
        <item x="22"/>
        <item x="73"/>
        <item x="142"/>
        <item x="268"/>
        <item x="235"/>
        <item x="208"/>
        <item x="315"/>
        <item x="397"/>
        <item x="386"/>
        <item x="286"/>
        <item x="66"/>
        <item x="200"/>
        <item x="145"/>
        <item x="333"/>
        <item x="75"/>
        <item x="262"/>
        <item x="128"/>
        <item x="41"/>
        <item x="394"/>
        <item x="203"/>
        <item x="257"/>
        <item x="352"/>
        <item x="109"/>
        <item x="298"/>
        <item x="103"/>
        <item x="255"/>
        <item x="122"/>
        <item x="296"/>
        <item x="314"/>
        <item x="129"/>
        <item x="320"/>
        <item x="74"/>
        <item x="228"/>
        <item x="182"/>
        <item x="205"/>
        <item x="139"/>
        <item x="31"/>
        <item x="167"/>
        <item x="266"/>
        <item x="373"/>
        <item x="173"/>
        <item x="108"/>
        <item x="284"/>
        <item x="158"/>
        <item x="95"/>
        <item x="42"/>
        <item x="183"/>
        <item x="199"/>
        <item x="357"/>
        <item x="190"/>
        <item x="317"/>
        <item x="86"/>
        <item x="137"/>
        <item x="43"/>
        <item x="329"/>
        <item x="117"/>
        <item x="198"/>
        <item x="44"/>
        <item x="360"/>
        <item x="38"/>
        <item x="404"/>
        <item x="101"/>
        <item x="403"/>
        <item x="354"/>
        <item x="48"/>
        <item x="339"/>
        <item x="285"/>
        <item x="91"/>
        <item x="50"/>
        <item x="303"/>
        <item x="148"/>
        <item x="140"/>
        <item x="70"/>
        <item x="175"/>
        <item x="310"/>
        <item x="72"/>
        <item x="110"/>
        <item x="127"/>
        <item x="161"/>
        <item x="126"/>
        <item x="79"/>
        <item x="144"/>
        <item x="33"/>
        <item x="332"/>
        <item x="223"/>
        <item x="237"/>
        <item x="177"/>
        <item x="380"/>
        <item x="236"/>
        <item x="156"/>
        <item x="287"/>
        <item x="138"/>
        <item x="87"/>
        <item x="324"/>
        <item x="9"/>
        <item x="204"/>
        <item x="155"/>
        <item x="116"/>
        <item x="301"/>
        <item x="356"/>
        <item x="365"/>
        <item x="13"/>
        <item x="163"/>
        <item x="68"/>
        <item x="313"/>
        <item x="179"/>
        <item x="275"/>
        <item x="7"/>
        <item x="353"/>
        <item x="211"/>
        <item x="49"/>
        <item x="325"/>
        <item x="288"/>
        <item x="355"/>
        <item x="407"/>
        <item x="323"/>
        <item x="250"/>
        <item x="309"/>
        <item t="default"/>
      </items>
    </pivotField>
    <pivotField compact="0" showAll="0">
      <items count="277">
        <item x="185"/>
        <item x="10"/>
        <item x="139"/>
        <item x="95"/>
        <item x="254"/>
        <item x="221"/>
        <item x="258"/>
        <item x="159"/>
        <item x="232"/>
        <item x="263"/>
        <item x="127"/>
        <item x="118"/>
        <item x="150"/>
        <item x="104"/>
        <item x="114"/>
        <item x="18"/>
        <item x="155"/>
        <item x="6"/>
        <item x="20"/>
        <item x="19"/>
        <item x="81"/>
        <item x="21"/>
        <item x="204"/>
        <item x="148"/>
        <item x="43"/>
        <item x="89"/>
        <item x="49"/>
        <item x="140"/>
        <item x="8"/>
        <item x="184"/>
        <item x="16"/>
        <item x="233"/>
        <item x="270"/>
        <item x="54"/>
        <item x="47"/>
        <item x="17"/>
        <item x="109"/>
        <item x="76"/>
        <item x="189"/>
        <item x="251"/>
        <item x="124"/>
        <item x="83"/>
        <item x="164"/>
        <item x="142"/>
        <item x="182"/>
        <item x="158"/>
        <item x="122"/>
        <item x="7"/>
        <item x="226"/>
        <item x="135"/>
        <item x="66"/>
        <item x="2"/>
        <item x="24"/>
        <item x="39"/>
        <item x="125"/>
        <item x="46"/>
        <item x="171"/>
        <item x="166"/>
        <item x="96"/>
        <item x="58"/>
        <item x="75"/>
        <item x="29"/>
        <item x="246"/>
        <item x="144"/>
        <item x="141"/>
        <item x="223"/>
        <item x="256"/>
        <item x="257"/>
        <item x="105"/>
        <item x="192"/>
        <item x="197"/>
        <item x="45"/>
        <item x="129"/>
        <item x="272"/>
        <item x="28"/>
        <item x="13"/>
        <item x="212"/>
        <item x="242"/>
        <item x="172"/>
        <item x="200"/>
        <item x="14"/>
        <item x="69"/>
        <item x="61"/>
        <item x="53"/>
        <item x="40"/>
        <item x="152"/>
        <item x="138"/>
        <item x="267"/>
        <item x="238"/>
        <item x="57"/>
        <item x="106"/>
        <item x="56"/>
        <item x="22"/>
        <item x="177"/>
        <item x="84"/>
        <item x="59"/>
        <item x="210"/>
        <item x="26"/>
        <item x="44"/>
        <item x="80"/>
        <item x="156"/>
        <item x="101"/>
        <item x="4"/>
        <item x="275"/>
        <item x="143"/>
        <item x="236"/>
        <item x="52"/>
        <item x="102"/>
        <item x="191"/>
        <item x="196"/>
        <item x="195"/>
        <item x="130"/>
        <item x="116"/>
        <item x="63"/>
        <item x="273"/>
        <item x="34"/>
        <item x="15"/>
        <item x="271"/>
        <item x="193"/>
        <item x="88"/>
        <item x="161"/>
        <item x="225"/>
        <item x="173"/>
        <item x="137"/>
        <item x="181"/>
        <item x="91"/>
        <item x="99"/>
        <item x="227"/>
        <item x="167"/>
        <item x="131"/>
        <item x="33"/>
        <item x="249"/>
        <item x="112"/>
        <item x="154"/>
        <item x="248"/>
        <item x="87"/>
        <item x="72"/>
        <item x="253"/>
        <item x="42"/>
        <item x="97"/>
        <item x="123"/>
        <item x="260"/>
        <item x="151"/>
        <item x="175"/>
        <item x="169"/>
        <item x="67"/>
        <item x="241"/>
        <item x="92"/>
        <item x="250"/>
        <item x="252"/>
        <item x="86"/>
        <item x="183"/>
        <item x="94"/>
        <item x="162"/>
        <item x="218"/>
        <item x="32"/>
        <item x="245"/>
        <item x="240"/>
        <item x="205"/>
        <item x="262"/>
        <item x="224"/>
        <item x="77"/>
        <item x="269"/>
        <item x="30"/>
        <item x="149"/>
        <item x="230"/>
        <item x="108"/>
        <item x="132"/>
        <item x="206"/>
        <item x="168"/>
        <item x="213"/>
        <item x="219"/>
        <item x="237"/>
        <item x="50"/>
        <item x="51"/>
        <item x="79"/>
        <item x="37"/>
        <item x="198"/>
        <item x="85"/>
        <item x="133"/>
        <item x="65"/>
        <item x="36"/>
        <item x="107"/>
        <item x="239"/>
        <item x="259"/>
        <item x="174"/>
        <item x="111"/>
        <item x="187"/>
        <item x="170"/>
        <item x="3"/>
        <item x="179"/>
        <item x="247"/>
        <item x="180"/>
        <item x="266"/>
        <item x="35"/>
        <item x="121"/>
        <item x="160"/>
        <item x="9"/>
        <item x="207"/>
        <item x="38"/>
        <item x="222"/>
        <item x="1"/>
        <item x="82"/>
        <item x="208"/>
        <item x="217"/>
        <item x="190"/>
        <item x="136"/>
        <item x="235"/>
        <item x="203"/>
        <item x="100"/>
        <item x="214"/>
        <item x="199"/>
        <item x="188"/>
        <item x="165"/>
        <item x="11"/>
        <item x="211"/>
        <item x="119"/>
        <item x="73"/>
        <item x="78"/>
        <item x="201"/>
        <item x="126"/>
        <item x="264"/>
        <item x="70"/>
        <item x="23"/>
        <item x="153"/>
        <item x="74"/>
        <item x="110"/>
        <item x="194"/>
        <item x="145"/>
        <item x="128"/>
        <item x="113"/>
        <item x="274"/>
        <item x="234"/>
        <item x="68"/>
        <item x="215"/>
        <item x="103"/>
        <item x="231"/>
        <item x="268"/>
        <item x="220"/>
        <item x="62"/>
        <item x="178"/>
        <item x="93"/>
        <item x="71"/>
        <item x="31"/>
        <item x="98"/>
        <item x="261"/>
        <item x="243"/>
        <item x="27"/>
        <item x="115"/>
        <item x="120"/>
        <item x="55"/>
        <item x="60"/>
        <item x="5"/>
        <item x="176"/>
        <item x="244"/>
        <item x="202"/>
        <item x="64"/>
        <item x="163"/>
        <item x="90"/>
        <item x="147"/>
        <item x="134"/>
        <item x="117"/>
        <item x="265"/>
        <item x="12"/>
        <item x="48"/>
        <item x="229"/>
        <item x="0"/>
        <item x="209"/>
        <item x="25"/>
        <item x="216"/>
        <item x="186"/>
        <item x="41"/>
        <item x="228"/>
        <item x="255"/>
        <item x="157"/>
        <item x="146"/>
        <item t="default"/>
      </items>
    </pivotField>
    <pivotField compact="0" showAll="0">
      <items count="457">
        <item x="35"/>
        <item x="241"/>
        <item x="416"/>
        <item x="326"/>
        <item x="189"/>
        <item x="280"/>
        <item x="358"/>
        <item x="347"/>
        <item x="9"/>
        <item x="232"/>
        <item x="47"/>
        <item x="402"/>
        <item x="173"/>
        <item x="373"/>
        <item x="208"/>
        <item x="250"/>
        <item x="408"/>
        <item x="355"/>
        <item x="88"/>
        <item x="239"/>
        <item x="290"/>
        <item x="219"/>
        <item x="379"/>
        <item x="74"/>
        <item x="26"/>
        <item x="268"/>
        <item x="8"/>
        <item x="297"/>
        <item x="162"/>
        <item x="98"/>
        <item x="449"/>
        <item x="121"/>
        <item x="92"/>
        <item x="313"/>
        <item x="365"/>
        <item x="439"/>
        <item x="441"/>
        <item x="384"/>
        <item x="282"/>
        <item x="14"/>
        <item x="349"/>
        <item x="388"/>
        <item x="15"/>
        <item x="397"/>
        <item x="324"/>
        <item x="106"/>
        <item x="4"/>
        <item x="446"/>
        <item x="76"/>
        <item x="145"/>
        <item x="102"/>
        <item x="220"/>
        <item x="199"/>
        <item x="77"/>
        <item x="249"/>
        <item x="97"/>
        <item x="16"/>
        <item x="386"/>
        <item x="359"/>
        <item x="0"/>
        <item x="133"/>
        <item x="109"/>
        <item x="299"/>
        <item x="67"/>
        <item x="353"/>
        <item x="190"/>
        <item x="94"/>
        <item x="410"/>
        <item x="103"/>
        <item x="400"/>
        <item x="137"/>
        <item x="203"/>
        <item x="330"/>
        <item x="238"/>
        <item x="68"/>
        <item x="87"/>
        <item x="352"/>
        <item x="60"/>
        <item x="56"/>
        <item x="3"/>
        <item x="58"/>
        <item x="291"/>
        <item x="105"/>
        <item x="227"/>
        <item x="228"/>
        <item x="292"/>
        <item x="276"/>
        <item x="419"/>
        <item x="392"/>
        <item x="124"/>
        <item x="167"/>
        <item x="401"/>
        <item x="64"/>
        <item x="135"/>
        <item x="122"/>
        <item x="27"/>
        <item x="229"/>
        <item x="186"/>
        <item x="293"/>
        <item x="136"/>
        <item x="318"/>
        <item x="424"/>
        <item x="70"/>
        <item x="377"/>
        <item x="295"/>
        <item x="210"/>
        <item x="19"/>
        <item x="338"/>
        <item x="323"/>
        <item x="289"/>
        <item x="129"/>
        <item x="255"/>
        <item x="455"/>
        <item x="117"/>
        <item x="66"/>
        <item x="180"/>
        <item x="197"/>
        <item x="216"/>
        <item x="183"/>
        <item x="271"/>
        <item x="381"/>
        <item x="57"/>
        <item x="287"/>
        <item x="1"/>
        <item x="37"/>
        <item x="252"/>
        <item x="130"/>
        <item x="83"/>
        <item x="22"/>
        <item x="104"/>
        <item x="90"/>
        <item x="387"/>
        <item x="311"/>
        <item x="329"/>
        <item x="193"/>
        <item x="224"/>
        <item x="53"/>
        <item x="226"/>
        <item x="212"/>
        <item x="2"/>
        <item x="374"/>
        <item x="393"/>
        <item x="378"/>
        <item x="260"/>
        <item x="86"/>
        <item x="93"/>
        <item x="325"/>
        <item x="357"/>
        <item x="6"/>
        <item x="254"/>
        <item x="364"/>
        <item x="451"/>
        <item x="140"/>
        <item x="275"/>
        <item x="452"/>
        <item x="348"/>
        <item x="79"/>
        <item x="148"/>
        <item x="156"/>
        <item x="170"/>
        <item x="17"/>
        <item x="39"/>
        <item x="28"/>
        <item x="201"/>
        <item x="115"/>
        <item x="128"/>
        <item x="10"/>
        <item x="7"/>
        <item x="375"/>
        <item x="363"/>
        <item x="182"/>
        <item x="454"/>
        <item x="41"/>
        <item x="71"/>
        <item x="72"/>
        <item x="52"/>
        <item x="242"/>
        <item x="265"/>
        <item x="344"/>
        <item x="366"/>
        <item x="369"/>
        <item x="125"/>
        <item x="218"/>
        <item x="164"/>
        <item x="372"/>
        <item x="411"/>
        <item x="78"/>
        <item x="310"/>
        <item x="266"/>
        <item x="169"/>
        <item x="214"/>
        <item x="159"/>
        <item x="270"/>
        <item x="49"/>
        <item x="178"/>
        <item x="146"/>
        <item x="286"/>
        <item x="267"/>
        <item x="108"/>
        <item x="48"/>
        <item x="202"/>
        <item x="194"/>
        <item x="390"/>
        <item x="345"/>
        <item x="304"/>
        <item x="440"/>
        <item x="319"/>
        <item x="185"/>
        <item x="385"/>
        <item x="143"/>
        <item x="11"/>
        <item x="240"/>
        <item x="339"/>
        <item x="434"/>
        <item x="320"/>
        <item x="29"/>
        <item x="394"/>
        <item x="414"/>
        <item x="44"/>
        <item x="118"/>
        <item x="301"/>
        <item x="147"/>
        <item x="257"/>
        <item x="264"/>
        <item x="435"/>
        <item x="30"/>
        <item x="100"/>
        <item x="187"/>
        <item x="134"/>
        <item x="448"/>
        <item x="361"/>
        <item x="432"/>
        <item x="127"/>
        <item x="152"/>
        <item x="120"/>
        <item x="278"/>
        <item x="85"/>
        <item x="223"/>
        <item x="336"/>
        <item x="236"/>
        <item x="114"/>
        <item x="399"/>
        <item x="342"/>
        <item x="184"/>
        <item x="404"/>
        <item x="443"/>
        <item x="262"/>
        <item x="123"/>
        <item x="315"/>
        <item x="215"/>
        <item x="43"/>
        <item x="231"/>
        <item x="150"/>
        <item x="243"/>
        <item x="258"/>
        <item x="423"/>
        <item x="272"/>
        <item x="89"/>
        <item x="453"/>
        <item x="38"/>
        <item x="298"/>
        <item x="248"/>
        <item x="34"/>
        <item x="350"/>
        <item x="283"/>
        <item x="191"/>
        <item x="245"/>
        <item x="119"/>
        <item x="222"/>
        <item x="269"/>
        <item x="176"/>
        <item x="46"/>
        <item x="179"/>
        <item x="230"/>
        <item x="151"/>
        <item x="33"/>
        <item x="396"/>
        <item x="327"/>
        <item x="24"/>
        <item x="177"/>
        <item x="75"/>
        <item x="161"/>
        <item x="376"/>
        <item x="428"/>
        <item x="367"/>
        <item x="415"/>
        <item x="73"/>
        <item x="413"/>
        <item x="113"/>
        <item x="247"/>
        <item x="314"/>
        <item x="244"/>
        <item x="96"/>
        <item x="101"/>
        <item x="63"/>
        <item x="433"/>
        <item x="308"/>
        <item x="288"/>
        <item x="158"/>
        <item x="334"/>
        <item x="422"/>
        <item x="281"/>
        <item x="430"/>
        <item x="84"/>
        <item x="174"/>
        <item x="36"/>
        <item x="40"/>
        <item x="192"/>
        <item x="59"/>
        <item x="141"/>
        <item x="209"/>
        <item x="81"/>
        <item x="277"/>
        <item x="12"/>
        <item x="444"/>
        <item x="300"/>
        <item x="213"/>
        <item x="409"/>
        <item x="256"/>
        <item x="138"/>
        <item x="217"/>
        <item x="82"/>
        <item x="427"/>
        <item x="132"/>
        <item x="69"/>
        <item x="204"/>
        <item x="403"/>
        <item x="157"/>
        <item x="407"/>
        <item x="165"/>
        <item x="171"/>
        <item x="50"/>
        <item x="205"/>
        <item x="303"/>
        <item x="111"/>
        <item x="445"/>
        <item x="154"/>
        <item x="172"/>
        <item x="207"/>
        <item x="317"/>
        <item x="126"/>
        <item x="429"/>
        <item x="322"/>
        <item x="153"/>
        <item x="337"/>
        <item x="51"/>
        <item x="307"/>
        <item x="389"/>
        <item x="181"/>
        <item x="431"/>
        <item x="144"/>
        <item x="426"/>
        <item x="425"/>
        <item x="31"/>
        <item x="13"/>
        <item x="368"/>
        <item x="395"/>
        <item x="91"/>
        <item x="195"/>
        <item x="383"/>
        <item x="139"/>
        <item x="42"/>
        <item x="160"/>
        <item x="175"/>
        <item x="80"/>
        <item x="417"/>
        <item x="370"/>
        <item x="391"/>
        <item x="163"/>
        <item x="142"/>
        <item x="332"/>
        <item x="62"/>
        <item x="25"/>
        <item x="112"/>
        <item x="438"/>
        <item x="54"/>
        <item x="99"/>
        <item x="360"/>
        <item x="285"/>
        <item x="116"/>
        <item x="23"/>
        <item x="341"/>
        <item x="110"/>
        <item x="253"/>
        <item x="335"/>
        <item x="382"/>
        <item x="437"/>
        <item x="166"/>
        <item x="61"/>
        <item x="221"/>
        <item x="312"/>
        <item x="284"/>
        <item x="296"/>
        <item x="354"/>
        <item x="351"/>
        <item x="65"/>
        <item x="237"/>
        <item x="149"/>
        <item x="418"/>
        <item x="309"/>
        <item x="333"/>
        <item x="20"/>
        <item x="331"/>
        <item x="356"/>
        <item x="55"/>
        <item x="233"/>
        <item x="273"/>
        <item x="316"/>
        <item x="259"/>
        <item x="442"/>
        <item x="436"/>
        <item x="340"/>
        <item x="398"/>
        <item x="21"/>
        <item x="95"/>
        <item x="200"/>
        <item x="343"/>
        <item x="246"/>
        <item x="305"/>
        <item x="420"/>
        <item x="196"/>
        <item x="32"/>
        <item x="406"/>
        <item x="321"/>
        <item x="346"/>
        <item x="421"/>
        <item x="450"/>
        <item x="294"/>
        <item x="107"/>
        <item x="251"/>
        <item x="306"/>
        <item x="380"/>
        <item x="371"/>
        <item x="155"/>
        <item x="211"/>
        <item x="188"/>
        <item x="362"/>
        <item x="447"/>
        <item x="198"/>
        <item x="235"/>
        <item x="261"/>
        <item x="234"/>
        <item x="45"/>
        <item x="302"/>
        <item x="412"/>
        <item x="206"/>
        <item x="279"/>
        <item x="328"/>
        <item x="5"/>
        <item x="263"/>
        <item x="18"/>
        <item x="168"/>
        <item x="225"/>
        <item x="274"/>
        <item x="131"/>
        <item x="405"/>
        <item t="default"/>
      </items>
    </pivotField>
    <pivotField compact="0" showAll="0">
      <items count="466">
        <item x="87"/>
        <item x="179"/>
        <item x="213"/>
        <item x="432"/>
        <item x="379"/>
        <item x="122"/>
        <item x="366"/>
        <item x="139"/>
        <item x="271"/>
        <item x="140"/>
        <item x="159"/>
        <item x="384"/>
        <item x="248"/>
        <item x="342"/>
        <item x="292"/>
        <item x="405"/>
        <item x="314"/>
        <item x="238"/>
        <item x="130"/>
        <item x="268"/>
        <item x="440"/>
        <item x="177"/>
        <item x="378"/>
        <item x="222"/>
        <item x="112"/>
        <item x="77"/>
        <item x="20"/>
        <item x="50"/>
        <item x="5"/>
        <item x="51"/>
        <item x="97"/>
        <item x="235"/>
        <item x="49"/>
        <item x="263"/>
        <item x="118"/>
        <item x="231"/>
        <item x="448"/>
        <item x="234"/>
        <item x="129"/>
        <item x="74"/>
        <item x="447"/>
        <item x="62"/>
        <item x="294"/>
        <item x="358"/>
        <item x="310"/>
        <item x="286"/>
        <item x="99"/>
        <item x="68"/>
        <item x="35"/>
        <item x="330"/>
        <item x="372"/>
        <item x="383"/>
        <item x="297"/>
        <item x="46"/>
        <item x="291"/>
        <item x="301"/>
        <item x="313"/>
        <item x="230"/>
        <item x="355"/>
        <item x="237"/>
        <item x="425"/>
        <item x="264"/>
        <item x="79"/>
        <item x="226"/>
        <item x="408"/>
        <item x="70"/>
        <item x="160"/>
        <item x="135"/>
        <item x="167"/>
        <item x="368"/>
        <item x="191"/>
        <item x="7"/>
        <item x="455"/>
        <item x="283"/>
        <item x="95"/>
        <item x="24"/>
        <item x="183"/>
        <item x="400"/>
        <item x="67"/>
        <item x="338"/>
        <item x="257"/>
        <item x="205"/>
        <item x="173"/>
        <item x="256"/>
        <item x="306"/>
        <item x="189"/>
        <item x="280"/>
        <item x="326"/>
        <item x="198"/>
        <item x="373"/>
        <item x="380"/>
        <item x="184"/>
        <item x="172"/>
        <item x="123"/>
        <item x="429"/>
        <item x="156"/>
        <item x="290"/>
        <item x="199"/>
        <item x="300"/>
        <item x="275"/>
        <item x="274"/>
        <item x="369"/>
        <item x="228"/>
        <item x="337"/>
        <item x="174"/>
        <item x="334"/>
        <item x="163"/>
        <item x="247"/>
        <item x="110"/>
        <item x="371"/>
        <item x="25"/>
        <item x="353"/>
        <item x="351"/>
        <item x="78"/>
        <item x="33"/>
        <item x="352"/>
        <item x="348"/>
        <item x="261"/>
        <item x="398"/>
        <item x="463"/>
        <item x="186"/>
        <item x="454"/>
        <item x="403"/>
        <item x="236"/>
        <item x="406"/>
        <item x="76"/>
        <item x="422"/>
        <item x="459"/>
        <item x="89"/>
        <item x="136"/>
        <item x="420"/>
        <item x="396"/>
        <item x="220"/>
        <item x="44"/>
        <item x="258"/>
        <item x="449"/>
        <item x="269"/>
        <item x="90"/>
        <item x="276"/>
        <item x="22"/>
        <item x="401"/>
        <item x="442"/>
        <item x="58"/>
        <item x="441"/>
        <item x="464"/>
        <item x="219"/>
        <item x="203"/>
        <item x="61"/>
        <item x="438"/>
        <item x="363"/>
        <item x="328"/>
        <item x="316"/>
        <item x="18"/>
        <item x="180"/>
        <item x="116"/>
        <item x="28"/>
        <item x="277"/>
        <item x="88"/>
        <item x="374"/>
        <item x="287"/>
        <item x="394"/>
        <item x="196"/>
        <item x="273"/>
        <item x="439"/>
        <item x="208"/>
        <item x="40"/>
        <item x="65"/>
        <item x="153"/>
        <item x="424"/>
        <item x="214"/>
        <item x="105"/>
        <item x="381"/>
        <item x="117"/>
        <item x="154"/>
        <item x="86"/>
        <item x="42"/>
        <item x="450"/>
        <item x="10"/>
        <item x="55"/>
        <item x="240"/>
        <item x="324"/>
        <item x="13"/>
        <item x="304"/>
        <item x="336"/>
        <item x="102"/>
        <item x="168"/>
        <item x="144"/>
        <item x="91"/>
        <item x="323"/>
        <item x="242"/>
        <item x="341"/>
        <item x="451"/>
        <item x="158"/>
        <item x="83"/>
        <item x="14"/>
        <item x="331"/>
        <item x="413"/>
        <item x="345"/>
        <item x="445"/>
        <item x="59"/>
        <item x="204"/>
        <item x="296"/>
        <item x="311"/>
        <item x="202"/>
        <item x="281"/>
        <item x="161"/>
        <item x="32"/>
        <item x="343"/>
        <item x="84"/>
        <item x="64"/>
        <item x="397"/>
        <item x="254"/>
        <item x="207"/>
        <item x="416"/>
        <item x="367"/>
        <item x="157"/>
        <item x="12"/>
        <item x="27"/>
        <item x="415"/>
        <item x="417"/>
        <item x="9"/>
        <item x="211"/>
        <item x="137"/>
        <item x="176"/>
        <item x="93"/>
        <item x="392"/>
        <item x="29"/>
        <item x="170"/>
        <item x="150"/>
        <item x="370"/>
        <item x="124"/>
        <item x="461"/>
        <item x="215"/>
        <item x="152"/>
        <item x="216"/>
        <item x="195"/>
        <item x="131"/>
        <item x="460"/>
        <item x="267"/>
        <item x="327"/>
        <item x="15"/>
        <item x="81"/>
        <item x="308"/>
        <item x="295"/>
        <item x="212"/>
        <item x="66"/>
        <item x="359"/>
        <item x="354"/>
        <item x="282"/>
        <item x="16"/>
        <item x="332"/>
        <item x="245"/>
        <item x="357"/>
        <item x="134"/>
        <item x="435"/>
        <item x="404"/>
        <item x="298"/>
        <item x="407"/>
        <item x="315"/>
        <item x="126"/>
        <item x="200"/>
        <item x="82"/>
        <item x="138"/>
        <item x="11"/>
        <item x="285"/>
        <item x="223"/>
        <item x="60"/>
        <item x="456"/>
        <item x="312"/>
        <item x="389"/>
        <item x="265"/>
        <item x="229"/>
        <item x="165"/>
        <item x="239"/>
        <item x="47"/>
        <item x="427"/>
        <item x="395"/>
        <item x="419"/>
        <item x="148"/>
        <item x="111"/>
        <item x="284"/>
        <item x="210"/>
        <item x="377"/>
        <item x="266"/>
        <item x="250"/>
        <item x="53"/>
        <item x="288"/>
        <item x="344"/>
        <item x="303"/>
        <item x="340"/>
        <item x="444"/>
        <item x="365"/>
        <item x="132"/>
        <item x="421"/>
        <item x="225"/>
        <item x="364"/>
        <item x="193"/>
        <item x="119"/>
        <item x="162"/>
        <item x="411"/>
        <item x="243"/>
        <item x="48"/>
        <item x="34"/>
        <item x="307"/>
        <item x="57"/>
        <item x="428"/>
        <item x="431"/>
        <item x="227"/>
        <item x="376"/>
        <item x="335"/>
        <item x="418"/>
        <item x="339"/>
        <item x="45"/>
        <item x="252"/>
        <item x="127"/>
        <item x="107"/>
        <item x="322"/>
        <item x="217"/>
        <item x="244"/>
        <item x="96"/>
        <item x="37"/>
        <item x="73"/>
        <item x="289"/>
        <item x="349"/>
        <item x="399"/>
        <item x="385"/>
        <item x="145"/>
        <item x="458"/>
        <item x="387"/>
        <item x="453"/>
        <item x="382"/>
        <item x="305"/>
        <item x="278"/>
        <item x="31"/>
        <item x="293"/>
        <item x="146"/>
        <item x="309"/>
        <item x="72"/>
        <item x="151"/>
        <item x="0"/>
        <item x="436"/>
        <item x="106"/>
        <item x="121"/>
        <item x="182"/>
        <item x="155"/>
        <item x="414"/>
        <item x="75"/>
        <item x="361"/>
        <item x="402"/>
        <item x="347"/>
        <item x="21"/>
        <item x="329"/>
        <item x="1"/>
        <item x="249"/>
        <item x="133"/>
        <item x="43"/>
        <item x="101"/>
        <item x="430"/>
        <item x="253"/>
        <item x="393"/>
        <item x="94"/>
        <item x="194"/>
        <item x="320"/>
        <item x="113"/>
        <item x="325"/>
        <item x="166"/>
        <item x="346"/>
        <item x="41"/>
        <item x="255"/>
        <item x="109"/>
        <item x="233"/>
        <item x="270"/>
        <item x="206"/>
        <item x="232"/>
        <item x="224"/>
        <item x="181"/>
        <item x="143"/>
        <item x="141"/>
        <item x="375"/>
        <item x="17"/>
        <item x="185"/>
        <item x="260"/>
        <item x="446"/>
        <item x="443"/>
        <item x="125"/>
        <item x="23"/>
        <item x="360"/>
        <item x="251"/>
        <item x="279"/>
        <item x="6"/>
        <item x="318"/>
        <item x="272"/>
        <item x="259"/>
        <item x="114"/>
        <item x="69"/>
        <item x="386"/>
        <item x="423"/>
        <item x="188"/>
        <item x="433"/>
        <item x="452"/>
        <item x="412"/>
        <item x="120"/>
        <item x="36"/>
        <item x="63"/>
        <item x="30"/>
        <item x="4"/>
        <item x="8"/>
        <item x="92"/>
        <item x="356"/>
        <item x="164"/>
        <item x="104"/>
        <item x="149"/>
        <item x="434"/>
        <item x="39"/>
        <item x="388"/>
        <item x="115"/>
        <item x="437"/>
        <item x="178"/>
        <item x="241"/>
        <item x="321"/>
        <item x="142"/>
        <item x="171"/>
        <item x="26"/>
        <item x="100"/>
        <item x="175"/>
        <item x="317"/>
        <item x="201"/>
        <item x="209"/>
        <item x="350"/>
        <item x="218"/>
        <item x="192"/>
        <item x="390"/>
        <item x="462"/>
        <item x="197"/>
        <item x="362"/>
        <item x="190"/>
        <item x="409"/>
        <item x="426"/>
        <item x="299"/>
        <item x="128"/>
        <item x="52"/>
        <item x="187"/>
        <item x="80"/>
        <item x="333"/>
        <item x="103"/>
        <item x="98"/>
        <item x="2"/>
        <item x="457"/>
        <item x="410"/>
        <item x="169"/>
        <item x="71"/>
        <item x="302"/>
        <item x="38"/>
        <item x="85"/>
        <item x="56"/>
        <item x="262"/>
        <item x="319"/>
        <item x="3"/>
        <item x="246"/>
        <item x="147"/>
        <item x="19"/>
        <item x="221"/>
        <item x="391"/>
        <item x="108"/>
        <item x="54"/>
        <item t="default"/>
      </items>
    </pivotField>
    <pivotField compact="0" showAll="0">
      <items count="6">
        <item x="1"/>
        <item x="2"/>
        <item x="0"/>
        <item x="3"/>
        <item m="1" x="4"/>
        <item t="default"/>
      </items>
    </pivotField>
    <pivotField compact="0" showAll="0">
      <items count="219">
        <item x="161"/>
        <item x="126"/>
        <item x="163"/>
        <item x="66"/>
        <item x="195"/>
        <item x="205"/>
        <item x="186"/>
        <item x="189"/>
        <item x="173"/>
        <item x="74"/>
        <item x="182"/>
        <item x="103"/>
        <item x="197"/>
        <item x="127"/>
        <item x="188"/>
        <item x="85"/>
        <item x="3"/>
        <item x="150"/>
        <item x="0"/>
        <item x="210"/>
        <item x="86"/>
        <item x="207"/>
        <item x="2"/>
        <item x="82"/>
        <item x="31"/>
        <item x="51"/>
        <item x="165"/>
        <item x="34"/>
        <item x="100"/>
        <item x="78"/>
        <item x="139"/>
        <item x="70"/>
        <item x="69"/>
        <item x="129"/>
        <item x="159"/>
        <item x="171"/>
        <item x="170"/>
        <item x="5"/>
        <item x="93"/>
        <item x="52"/>
        <item x="42"/>
        <item x="183"/>
        <item x="13"/>
        <item x="40"/>
        <item x="81"/>
        <item x="191"/>
        <item x="119"/>
        <item x="128"/>
        <item x="30"/>
        <item x="91"/>
        <item x="167"/>
        <item x="101"/>
        <item x="22"/>
        <item x="36"/>
        <item x="158"/>
        <item x="132"/>
        <item x="19"/>
        <item x="108"/>
        <item x="166"/>
        <item x="110"/>
        <item x="198"/>
        <item x="211"/>
        <item x="217"/>
        <item x="109"/>
        <item x="124"/>
        <item x="24"/>
        <item x="168"/>
        <item x="88"/>
        <item x="134"/>
        <item x="141"/>
        <item x="94"/>
        <item x="155"/>
        <item x="209"/>
        <item x="64"/>
        <item x="48"/>
        <item x="116"/>
        <item x="133"/>
        <item x="115"/>
        <item x="112"/>
        <item x="181"/>
        <item x="4"/>
        <item x="32"/>
        <item x="187"/>
        <item x="140"/>
        <item x="6"/>
        <item x="21"/>
        <item x="55"/>
        <item x="61"/>
        <item x="148"/>
        <item x="145"/>
        <item x="16"/>
        <item x="92"/>
        <item x="35"/>
        <item x="190"/>
        <item x="102"/>
        <item x="79"/>
        <item x="17"/>
        <item x="95"/>
        <item x="38"/>
        <item x="105"/>
        <item x="203"/>
        <item x="43"/>
        <item x="49"/>
        <item x="123"/>
        <item x="180"/>
        <item x="201"/>
        <item x="153"/>
        <item x="143"/>
        <item x="113"/>
        <item x="196"/>
        <item x="10"/>
        <item x="215"/>
        <item x="184"/>
        <item x="192"/>
        <item x="131"/>
        <item x="83"/>
        <item x="50"/>
        <item x="185"/>
        <item x="23"/>
        <item x="58"/>
        <item x="1"/>
        <item x="14"/>
        <item x="142"/>
        <item x="7"/>
        <item x="89"/>
        <item x="208"/>
        <item x="72"/>
        <item x="151"/>
        <item x="147"/>
        <item x="27"/>
        <item x="138"/>
        <item x="90"/>
        <item x="154"/>
        <item x="172"/>
        <item x="25"/>
        <item x="53"/>
        <item x="200"/>
        <item x="46"/>
        <item x="152"/>
        <item x="8"/>
        <item x="176"/>
        <item x="60"/>
        <item x="26"/>
        <item x="193"/>
        <item x="146"/>
        <item x="206"/>
        <item x="149"/>
        <item x="15"/>
        <item x="194"/>
        <item x="199"/>
        <item x="9"/>
        <item x="157"/>
        <item x="37"/>
        <item x="216"/>
        <item x="135"/>
        <item x="136"/>
        <item x="65"/>
        <item x="214"/>
        <item x="97"/>
        <item x="41"/>
        <item x="84"/>
        <item x="160"/>
        <item x="212"/>
        <item x="87"/>
        <item x="130"/>
        <item x="20"/>
        <item x="47"/>
        <item x="76"/>
        <item x="68"/>
        <item x="59"/>
        <item x="12"/>
        <item x="117"/>
        <item x="73"/>
        <item x="28"/>
        <item x="111"/>
        <item x="104"/>
        <item x="57"/>
        <item x="107"/>
        <item x="29"/>
        <item x="44"/>
        <item x="125"/>
        <item x="99"/>
        <item x="122"/>
        <item x="77"/>
        <item x="175"/>
        <item x="156"/>
        <item x="179"/>
        <item x="174"/>
        <item x="39"/>
        <item x="204"/>
        <item x="45"/>
        <item x="114"/>
        <item x="67"/>
        <item x="118"/>
        <item x="62"/>
        <item x="121"/>
        <item x="75"/>
        <item x="202"/>
        <item x="137"/>
        <item x="120"/>
        <item x="96"/>
        <item x="162"/>
        <item x="213"/>
        <item x="177"/>
        <item x="33"/>
        <item x="56"/>
        <item x="11"/>
        <item x="106"/>
        <item x="169"/>
        <item x="164"/>
        <item x="71"/>
        <item x="80"/>
        <item x="178"/>
        <item x="54"/>
        <item x="98"/>
        <item x="144"/>
        <item x="18"/>
        <item x="63"/>
        <item t="default"/>
      </items>
    </pivotField>
    <pivotField compact="0" showAll="0">
      <items count="197">
        <item x="136"/>
        <item x="34"/>
        <item x="21"/>
        <item x="27"/>
        <item x="41"/>
        <item x="140"/>
        <item x="40"/>
        <item x="138"/>
        <item x="91"/>
        <item x="81"/>
        <item x="2"/>
        <item x="166"/>
        <item x="133"/>
        <item x="190"/>
        <item x="100"/>
        <item x="116"/>
        <item x="37"/>
        <item x="128"/>
        <item x="72"/>
        <item x="159"/>
        <item x="92"/>
        <item x="119"/>
        <item x="145"/>
        <item x="30"/>
        <item x="152"/>
        <item x="97"/>
        <item x="8"/>
        <item x="153"/>
        <item x="69"/>
        <item x="19"/>
        <item x="68"/>
        <item x="10"/>
        <item x="20"/>
        <item x="35"/>
        <item x="15"/>
        <item x="126"/>
        <item x="101"/>
        <item x="50"/>
        <item x="106"/>
        <item x="7"/>
        <item x="117"/>
        <item x="39"/>
        <item x="89"/>
        <item x="142"/>
        <item x="148"/>
        <item x="158"/>
        <item x="16"/>
        <item x="157"/>
        <item x="77"/>
        <item x="53"/>
        <item x="163"/>
        <item x="22"/>
        <item x="0"/>
        <item x="118"/>
        <item x="96"/>
        <item x="74"/>
        <item x="12"/>
        <item x="33"/>
        <item x="44"/>
        <item x="111"/>
        <item x="87"/>
        <item x="94"/>
        <item x="130"/>
        <item x="23"/>
        <item x="5"/>
        <item x="3"/>
        <item x="4"/>
        <item x="115"/>
        <item x="75"/>
        <item x="79"/>
        <item x="93"/>
        <item x="90"/>
        <item x="56"/>
        <item x="18"/>
        <item x="107"/>
        <item x="149"/>
        <item x="86"/>
        <item x="32"/>
        <item x="151"/>
        <item x="67"/>
        <item x="42"/>
        <item x="49"/>
        <item x="170"/>
        <item x="84"/>
        <item x="11"/>
        <item x="24"/>
        <item x="112"/>
        <item x="104"/>
        <item x="83"/>
        <item x="64"/>
        <item x="193"/>
        <item x="132"/>
        <item x="131"/>
        <item x="17"/>
        <item x="189"/>
        <item x="105"/>
        <item x="147"/>
        <item x="61"/>
        <item x="14"/>
        <item x="135"/>
        <item x="1"/>
        <item x="122"/>
        <item x="179"/>
        <item x="176"/>
        <item x="108"/>
        <item x="98"/>
        <item x="171"/>
        <item x="54"/>
        <item x="137"/>
        <item x="120"/>
        <item x="47"/>
        <item x="177"/>
        <item x="174"/>
        <item x="114"/>
        <item x="102"/>
        <item x="180"/>
        <item x="13"/>
        <item x="51"/>
        <item x="57"/>
        <item x="26"/>
        <item x="63"/>
        <item x="113"/>
        <item x="109"/>
        <item x="165"/>
        <item x="55"/>
        <item x="164"/>
        <item x="6"/>
        <item x="184"/>
        <item x="38"/>
        <item x="36"/>
        <item x="127"/>
        <item x="25"/>
        <item x="124"/>
        <item x="88"/>
        <item x="28"/>
        <item x="31"/>
        <item x="52"/>
        <item x="82"/>
        <item x="154"/>
        <item x="99"/>
        <item x="103"/>
        <item x="43"/>
        <item x="182"/>
        <item x="187"/>
        <item x="110"/>
        <item x="141"/>
        <item x="48"/>
        <item x="183"/>
        <item x="144"/>
        <item x="85"/>
        <item x="29"/>
        <item x="191"/>
        <item x="58"/>
        <item x="129"/>
        <item x="70"/>
        <item x="181"/>
        <item x="186"/>
        <item x="156"/>
        <item x="9"/>
        <item x="73"/>
        <item x="134"/>
        <item x="172"/>
        <item x="195"/>
        <item x="123"/>
        <item x="66"/>
        <item x="167"/>
        <item x="161"/>
        <item x="178"/>
        <item x="80"/>
        <item x="169"/>
        <item x="155"/>
        <item x="71"/>
        <item x="46"/>
        <item x="65"/>
        <item x="59"/>
        <item x="185"/>
        <item x="194"/>
        <item x="45"/>
        <item x="188"/>
        <item x="121"/>
        <item x="173"/>
        <item x="160"/>
        <item x="143"/>
        <item x="139"/>
        <item x="78"/>
        <item x="76"/>
        <item x="175"/>
        <item x="162"/>
        <item x="62"/>
        <item x="125"/>
        <item x="95"/>
        <item x="150"/>
        <item x="192"/>
        <item x="60"/>
        <item x="168"/>
        <item x="146"/>
        <item t="default"/>
      </items>
    </pivotField>
    <pivotField compact="0" showAll="0">
      <items count="488">
        <item x="470"/>
        <item x="38"/>
        <item x="452"/>
        <item x="486"/>
        <item x="307"/>
        <item x="336"/>
        <item x="479"/>
        <item x="481"/>
        <item x="114"/>
        <item x="338"/>
        <item x="310"/>
        <item x="472"/>
        <item x="129"/>
        <item x="248"/>
        <item x="185"/>
        <item x="345"/>
        <item x="221"/>
        <item x="46"/>
        <item x="333"/>
        <item x="158"/>
        <item x="287"/>
        <item x="308"/>
        <item x="357"/>
        <item x="284"/>
        <item x="217"/>
        <item x="386"/>
        <item x="302"/>
        <item x="229"/>
        <item x="257"/>
        <item x="139"/>
        <item x="113"/>
        <item x="348"/>
        <item x="12"/>
        <item x="18"/>
        <item x="309"/>
        <item x="143"/>
        <item x="142"/>
        <item x="172"/>
        <item x="462"/>
        <item x="106"/>
        <item x="334"/>
        <item x="314"/>
        <item x="61"/>
        <item x="424"/>
        <item x="384"/>
        <item x="24"/>
        <item x="389"/>
        <item x="149"/>
        <item x="283"/>
        <item x="123"/>
        <item x="413"/>
        <item x="301"/>
        <item x="44"/>
        <item x="466"/>
        <item x="195"/>
        <item x="404"/>
        <item x="10"/>
        <item x="30"/>
        <item x="94"/>
        <item x="439"/>
        <item x="197"/>
        <item x="213"/>
        <item x="8"/>
        <item x="167"/>
        <item x="482"/>
        <item x="330"/>
        <item x="349"/>
        <item x="361"/>
        <item x="477"/>
        <item x="240"/>
        <item x="227"/>
        <item x="200"/>
        <item x="175"/>
        <item x="250"/>
        <item x="49"/>
        <item x="234"/>
        <item x="117"/>
        <item x="86"/>
        <item x="412"/>
        <item x="191"/>
        <item x="432"/>
        <item x="297"/>
        <item x="118"/>
        <item x="45"/>
        <item x="351"/>
        <item x="174"/>
        <item x="194"/>
        <item x="204"/>
        <item x="271"/>
        <item x="419"/>
        <item x="39"/>
        <item x="182"/>
        <item x="446"/>
        <item x="295"/>
        <item x="442"/>
        <item x="21"/>
        <item x="422"/>
        <item x="468"/>
        <item x="17"/>
        <item x="391"/>
        <item x="274"/>
        <item x="289"/>
        <item x="58"/>
        <item x="25"/>
        <item x="478"/>
        <item x="222"/>
        <item x="140"/>
        <item x="254"/>
        <item x="300"/>
        <item x="93"/>
        <item x="273"/>
        <item x="258"/>
        <item x="64"/>
        <item x="233"/>
        <item x="235"/>
        <item x="346"/>
        <item x="171"/>
        <item x="262"/>
        <item x="414"/>
        <item x="378"/>
        <item x="23"/>
        <item x="224"/>
        <item x="405"/>
        <item x="429"/>
        <item x="198"/>
        <item x="26"/>
        <item x="255"/>
        <item x="20"/>
        <item x="14"/>
        <item x="253"/>
        <item x="367"/>
        <item x="266"/>
        <item x="379"/>
        <item x="181"/>
        <item x="355"/>
        <item x="176"/>
        <item x="184"/>
        <item x="359"/>
        <item x="78"/>
        <item x="264"/>
        <item x="440"/>
        <item x="278"/>
        <item x="162"/>
        <item x="288"/>
        <item x="411"/>
        <item x="232"/>
        <item x="179"/>
        <item x="132"/>
        <item x="341"/>
        <item x="124"/>
        <item x="444"/>
        <item x="420"/>
        <item x="2"/>
        <item x="454"/>
        <item x="397"/>
        <item x="192"/>
        <item x="216"/>
        <item x="151"/>
        <item x="99"/>
        <item x="326"/>
        <item x="110"/>
        <item x="115"/>
        <item x="421"/>
        <item x="294"/>
        <item x="443"/>
        <item x="96"/>
        <item x="134"/>
        <item x="209"/>
        <item x="303"/>
        <item x="304"/>
        <item x="173"/>
        <item x="22"/>
        <item x="155"/>
        <item x="476"/>
        <item x="246"/>
        <item x="473"/>
        <item x="237"/>
        <item x="460"/>
        <item x="243"/>
        <item x="148"/>
        <item x="427"/>
        <item x="320"/>
        <item x="436"/>
        <item x="178"/>
        <item x="136"/>
        <item x="437"/>
        <item x="445"/>
        <item x="63"/>
        <item x="70"/>
        <item x="344"/>
        <item x="219"/>
        <item x="177"/>
        <item x="285"/>
        <item x="41"/>
        <item x="435"/>
        <item x="34"/>
        <item x="363"/>
        <item x="170"/>
        <item x="347"/>
        <item x="27"/>
        <item x="82"/>
        <item x="52"/>
        <item x="319"/>
        <item x="101"/>
        <item x="157"/>
        <item x="332"/>
        <item x="290"/>
        <item x="193"/>
        <item x="29"/>
        <item x="126"/>
        <item x="80"/>
        <item x="6"/>
        <item x="455"/>
        <item x="159"/>
        <item x="55"/>
        <item x="353"/>
        <item x="456"/>
        <item x="79"/>
        <item x="236"/>
        <item x="298"/>
        <item x="360"/>
        <item x="220"/>
        <item x="228"/>
        <item x="392"/>
        <item x="40"/>
        <item x="57"/>
        <item x="365"/>
        <item x="241"/>
        <item x="469"/>
        <item x="207"/>
        <item x="4"/>
        <item x="402"/>
        <item x="417"/>
        <item x="131"/>
        <item x="395"/>
        <item x="366"/>
        <item x="286"/>
        <item x="48"/>
        <item x="146"/>
        <item x="230"/>
        <item x="84"/>
        <item x="356"/>
        <item x="393"/>
        <item x="90"/>
        <item x="71"/>
        <item x="396"/>
        <item x="127"/>
        <item x="15"/>
        <item x="31"/>
        <item x="28"/>
        <item x="260"/>
        <item x="53"/>
        <item x="251"/>
        <item x="169"/>
        <item x="33"/>
        <item x="1"/>
        <item x="423"/>
        <item x="354"/>
        <item x="259"/>
        <item x="484"/>
        <item x="203"/>
        <item x="199"/>
        <item x="121"/>
        <item x="81"/>
        <item x="145"/>
        <item x="270"/>
        <item x="147"/>
        <item x="116"/>
        <item x="329"/>
        <item x="275"/>
        <item x="187"/>
        <item x="453"/>
        <item x="292"/>
        <item x="425"/>
        <item x="205"/>
        <item x="42"/>
        <item x="374"/>
        <item x="37"/>
        <item x="276"/>
        <item x="9"/>
        <item x="416"/>
        <item x="166"/>
        <item x="105"/>
        <item x="369"/>
        <item x="322"/>
        <item x="11"/>
        <item x="372"/>
        <item x="380"/>
        <item x="109"/>
        <item x="268"/>
        <item x="475"/>
        <item x="371"/>
        <item x="153"/>
        <item x="399"/>
        <item x="350"/>
        <item x="426"/>
        <item x="112"/>
        <item x="206"/>
        <item x="407"/>
        <item x="447"/>
        <item x="249"/>
        <item x="215"/>
        <item x="282"/>
        <item x="400"/>
        <item x="152"/>
        <item x="107"/>
        <item x="98"/>
        <item x="161"/>
        <item x="85"/>
        <item x="385"/>
        <item x="190"/>
        <item x="305"/>
        <item x="449"/>
        <item x="89"/>
        <item x="65"/>
        <item x="467"/>
        <item x="226"/>
        <item x="87"/>
        <item x="103"/>
        <item x="239"/>
        <item x="16"/>
        <item x="339"/>
        <item x="315"/>
        <item x="267"/>
        <item x="342"/>
        <item x="364"/>
        <item x="318"/>
        <item x="128"/>
        <item x="247"/>
        <item x="66"/>
        <item x="208"/>
        <item x="325"/>
        <item x="428"/>
        <item x="272"/>
        <item x="280"/>
        <item x="279"/>
        <item x="352"/>
        <item x="77"/>
        <item x="358"/>
        <item x="434"/>
        <item x="448"/>
        <item x="7"/>
        <item x="135"/>
        <item x="214"/>
        <item x="337"/>
        <item x="317"/>
        <item x="242"/>
        <item x="100"/>
        <item x="231"/>
        <item x="201"/>
        <item x="324"/>
        <item x="377"/>
        <item x="130"/>
        <item x="312"/>
        <item x="74"/>
        <item x="409"/>
        <item x="291"/>
        <item x="60"/>
        <item x="122"/>
        <item x="202"/>
        <item x="156"/>
        <item x="343"/>
        <item x="43"/>
        <item x="261"/>
        <item x="265"/>
        <item x="150"/>
        <item x="138"/>
        <item x="376"/>
        <item x="408"/>
        <item x="465"/>
        <item x="485"/>
        <item x="62"/>
        <item x="165"/>
        <item x="293"/>
        <item x="296"/>
        <item x="362"/>
        <item x="256"/>
        <item x="92"/>
        <item x="430"/>
        <item x="263"/>
        <item x="91"/>
        <item x="5"/>
        <item x="370"/>
        <item x="218"/>
        <item x="340"/>
        <item x="72"/>
        <item x="483"/>
        <item x="245"/>
        <item x="163"/>
        <item x="474"/>
        <item x="186"/>
        <item x="311"/>
        <item x="137"/>
        <item x="50"/>
        <item x="104"/>
        <item x="164"/>
        <item x="306"/>
        <item x="394"/>
        <item x="461"/>
        <item x="433"/>
        <item x="211"/>
        <item x="323"/>
        <item x="398"/>
        <item x="83"/>
        <item x="0"/>
        <item x="68"/>
        <item x="415"/>
        <item x="188"/>
        <item x="225"/>
        <item x="388"/>
        <item x="463"/>
        <item x="59"/>
        <item x="328"/>
        <item x="119"/>
        <item x="95"/>
        <item x="313"/>
        <item x="281"/>
        <item x="464"/>
        <item x="438"/>
        <item x="390"/>
        <item x="111"/>
        <item x="168"/>
        <item x="97"/>
        <item x="102"/>
        <item x="458"/>
        <item x="196"/>
        <item x="269"/>
        <item x="19"/>
        <item x="381"/>
        <item x="375"/>
        <item x="160"/>
        <item x="327"/>
        <item x="133"/>
        <item x="56"/>
        <item x="471"/>
        <item x="212"/>
        <item x="210"/>
        <item x="403"/>
        <item x="316"/>
        <item x="451"/>
        <item x="75"/>
        <item x="431"/>
        <item x="457"/>
        <item x="180"/>
        <item x="88"/>
        <item x="450"/>
        <item x="406"/>
        <item x="238"/>
        <item x="368"/>
        <item x="13"/>
        <item x="459"/>
        <item x="36"/>
        <item x="108"/>
        <item x="299"/>
        <item x="480"/>
        <item x="335"/>
        <item x="35"/>
        <item x="418"/>
        <item x="120"/>
        <item x="154"/>
        <item x="73"/>
        <item x="373"/>
        <item x="252"/>
        <item x="244"/>
        <item x="321"/>
        <item x="387"/>
        <item x="125"/>
        <item x="144"/>
        <item x="382"/>
        <item x="410"/>
        <item x="54"/>
        <item x="277"/>
        <item x="69"/>
        <item x="183"/>
        <item x="223"/>
        <item x="67"/>
        <item x="441"/>
        <item x="189"/>
        <item x="331"/>
        <item x="383"/>
        <item x="141"/>
        <item x="32"/>
        <item x="51"/>
        <item x="401"/>
        <item x="3"/>
        <item x="47"/>
        <item x="76"/>
        <item t="default"/>
      </items>
    </pivotField>
    <pivotField compact="0" showAll="0">
      <items count="4">
        <item x="2"/>
        <item x="1"/>
        <item x="0"/>
        <item t="default"/>
      </items>
    </pivotField>
    <pivotField compact="0" showAll="0"/>
    <pivotField compact="0" showAll="0">
      <items count="91">
        <item x="0"/>
        <item x="25"/>
        <item x="60"/>
        <item x="63"/>
        <item x="62"/>
        <item x="27"/>
        <item x="47"/>
        <item x="17"/>
        <item x="66"/>
        <item x="41"/>
        <item x="80"/>
        <item x="58"/>
        <item x="56"/>
        <item x="84"/>
        <item x="26"/>
        <item x="57"/>
        <item x="12"/>
        <item x="72"/>
        <item x="16"/>
        <item x="55"/>
        <item x="78"/>
        <item x="50"/>
        <item x="79"/>
        <item x="88"/>
        <item x="75"/>
        <item x="1"/>
        <item x="70"/>
        <item x="69"/>
        <item x="51"/>
        <item x="74"/>
        <item x="9"/>
        <item x="15"/>
        <item x="22"/>
        <item x="85"/>
        <item x="89"/>
        <item x="6"/>
        <item x="59"/>
        <item x="64"/>
        <item x="81"/>
        <item x="65"/>
        <item x="20"/>
        <item x="7"/>
        <item x="34"/>
        <item x="53"/>
        <item x="4"/>
        <item x="29"/>
        <item x="5"/>
        <item x="46"/>
        <item x="76"/>
        <item x="42"/>
        <item x="37"/>
        <item x="82"/>
        <item x="61"/>
        <item x="67"/>
        <item x="43"/>
        <item x="36"/>
        <item x="28"/>
        <item x="11"/>
        <item x="48"/>
        <item x="10"/>
        <item x="86"/>
        <item x="2"/>
        <item x="21"/>
        <item x="71"/>
        <item x="23"/>
        <item x="30"/>
        <item x="68"/>
        <item x="19"/>
        <item x="54"/>
        <item x="52"/>
        <item x="38"/>
        <item x="45"/>
        <item x="14"/>
        <item x="35"/>
        <item x="13"/>
        <item x="87"/>
        <item x="77"/>
        <item x="8"/>
        <item x="31"/>
        <item x="32"/>
        <item x="18"/>
        <item x="33"/>
        <item x="39"/>
        <item x="44"/>
        <item x="83"/>
        <item x="73"/>
        <item x="24"/>
        <item x="40"/>
        <item x="3"/>
        <item x="49"/>
        <item t="default"/>
      </items>
    </pivotField>
  </pivotFields>
  <rowFields count="1">
    <field x="4"/>
  </rowFields>
  <rowItems count="21">
    <i>
      <x/>
    </i>
    <i>
      <x v="10"/>
    </i>
    <i>
      <x v="17"/>
    </i>
    <i>
      <x v="19"/>
    </i>
    <i>
      <x v="14"/>
    </i>
    <i>
      <x v="2"/>
    </i>
    <i>
      <x v="8"/>
    </i>
    <i>
      <x v="5"/>
    </i>
    <i>
      <x v="1"/>
    </i>
    <i>
      <x v="16"/>
    </i>
    <i>
      <x v="12"/>
    </i>
    <i>
      <x v="15"/>
    </i>
    <i>
      <x v="6"/>
    </i>
    <i>
      <x v="4"/>
    </i>
    <i>
      <x v="11"/>
    </i>
    <i>
      <x v="9"/>
    </i>
    <i>
      <x v="13"/>
    </i>
    <i>
      <x v="7"/>
    </i>
    <i>
      <x v="3"/>
    </i>
    <i>
      <x v="18"/>
    </i>
    <i t="grand">
      <x/>
    </i>
  </rowItems>
  <colItems count="1">
    <i/>
  </colItems>
  <dataFields count="1">
    <dataField name="Count of Fligh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0" applyNumberFormats="0" applyBorderFormats="0" applyFontFormats="0" applyPatternFormats="0" applyAlignmentFormats="0" applyWidthHeightFormats="1" dataCaption="Values" updatedVersion="5" minRefreshableVersion="3" useAutoFormatting="1" createdVersion="5" indent="0" compact="0" outline="1" outlineData="1" compactData="0" multipleFieldFilters="0">
  <location ref="M9:N271" firstHeaderRow="1" firstDataRow="1" firstDataCol="1"/>
  <pivotFields count="20">
    <pivotField dataField="1" compact="0"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compact="0" numFmtId="167" showAll="0"/>
    <pivotField compact="0" showAll="0"/>
    <pivotField compact="0" showAll="0"/>
    <pivotField compact="0" showAll="0"/>
    <pivotField compact="0" showAll="0"/>
    <pivotField axis="axisRow" compact="0" showAll="0" sortType="descending">
      <items count="262">
        <item x="156"/>
        <item x="32"/>
        <item x="54"/>
        <item x="210"/>
        <item x="134"/>
        <item x="89"/>
        <item x="103"/>
        <item x="212"/>
        <item x="62"/>
        <item x="216"/>
        <item x="157"/>
        <item x="55"/>
        <item x="172"/>
        <item x="160"/>
        <item x="260"/>
        <item x="42"/>
        <item x="6"/>
        <item x="0"/>
        <item x="73"/>
        <item x="26"/>
        <item x="223"/>
        <item x="45"/>
        <item x="69"/>
        <item x="39"/>
        <item x="13"/>
        <item x="228"/>
        <item x="184"/>
        <item x="102"/>
        <item x="143"/>
        <item x="50"/>
        <item x="59"/>
        <item x="47"/>
        <item x="117"/>
        <item x="155"/>
        <item x="91"/>
        <item x="106"/>
        <item x="232"/>
        <item x="35"/>
        <item x="259"/>
        <item x="44"/>
        <item x="244"/>
        <item x="109"/>
        <item x="146"/>
        <item x="24"/>
        <item x="211"/>
        <item x="167"/>
        <item x="256"/>
        <item x="104"/>
        <item x="150"/>
        <item x="31"/>
        <item x="4"/>
        <item x="149"/>
        <item x="123"/>
        <item x="85"/>
        <item x="72"/>
        <item x="133"/>
        <item x="227"/>
        <item x="100"/>
        <item x="127"/>
        <item x="124"/>
        <item x="175"/>
        <item x="20"/>
        <item x="83"/>
        <item x="25"/>
        <item x="75"/>
        <item x="101"/>
        <item x="11"/>
        <item x="79"/>
        <item x="200"/>
        <item x="169"/>
        <item x="52"/>
        <item x="246"/>
        <item x="86"/>
        <item x="205"/>
        <item x="18"/>
        <item x="87"/>
        <item x="16"/>
        <item x="136"/>
        <item x="93"/>
        <item x="1"/>
        <item x="53"/>
        <item x="12"/>
        <item x="239"/>
        <item x="230"/>
        <item x="76"/>
        <item x="177"/>
        <item x="139"/>
        <item x="132"/>
        <item x="214"/>
        <item x="183"/>
        <item x="151"/>
        <item x="213"/>
        <item x="108"/>
        <item x="255"/>
        <item x="82"/>
        <item x="225"/>
        <item x="180"/>
        <item x="36"/>
        <item x="229"/>
        <item x="237"/>
        <item x="217"/>
        <item x="14"/>
        <item x="235"/>
        <item x="113"/>
        <item x="112"/>
        <item x="174"/>
        <item x="34"/>
        <item x="226"/>
        <item x="80"/>
        <item x="96"/>
        <item x="208"/>
        <item x="185"/>
        <item x="10"/>
        <item x="221"/>
        <item x="49"/>
        <item x="95"/>
        <item x="163"/>
        <item x="28"/>
        <item x="67"/>
        <item x="204"/>
        <item x="196"/>
        <item x="220"/>
        <item x="64"/>
        <item x="152"/>
        <item x="254"/>
        <item x="15"/>
        <item x="251"/>
        <item x="140"/>
        <item x="60"/>
        <item x="17"/>
        <item x="30"/>
        <item x="242"/>
        <item x="65"/>
        <item x="191"/>
        <item x="202"/>
        <item x="21"/>
        <item x="126"/>
        <item x="121"/>
        <item x="78"/>
        <item x="218"/>
        <item x="250"/>
        <item x="2"/>
        <item x="68"/>
        <item x="164"/>
        <item x="99"/>
        <item x="176"/>
        <item x="130"/>
        <item x="131"/>
        <item x="37"/>
        <item x="192"/>
        <item x="147"/>
        <item x="224"/>
        <item x="29"/>
        <item x="70"/>
        <item x="119"/>
        <item x="181"/>
        <item x="142"/>
        <item x="201"/>
        <item x="122"/>
        <item x="88"/>
        <item x="74"/>
        <item x="9"/>
        <item x="166"/>
        <item x="107"/>
        <item x="43"/>
        <item x="110"/>
        <item x="186"/>
        <item x="203"/>
        <item x="236"/>
        <item x="81"/>
        <item x="238"/>
        <item x="219"/>
        <item x="48"/>
        <item x="144"/>
        <item x="209"/>
        <item x="249"/>
        <item x="252"/>
        <item x="33"/>
        <item x="173"/>
        <item x="170"/>
        <item x="84"/>
        <item x="61"/>
        <item x="66"/>
        <item x="90"/>
        <item x="198"/>
        <item x="148"/>
        <item x="19"/>
        <item x="120"/>
        <item x="105"/>
        <item x="7"/>
        <item x="41"/>
        <item x="57"/>
        <item x="188"/>
        <item x="179"/>
        <item x="114"/>
        <item x="135"/>
        <item x="257"/>
        <item x="98"/>
        <item x="46"/>
        <item x="245"/>
        <item x="199"/>
        <item x="206"/>
        <item x="161"/>
        <item x="190"/>
        <item x="27"/>
        <item x="194"/>
        <item x="215"/>
        <item x="138"/>
        <item x="182"/>
        <item x="94"/>
        <item x="56"/>
        <item x="23"/>
        <item x="247"/>
        <item x="165"/>
        <item x="153"/>
        <item x="128"/>
        <item x="129"/>
        <item x="168"/>
        <item x="111"/>
        <item x="231"/>
        <item x="234"/>
        <item x="158"/>
        <item x="3"/>
        <item x="197"/>
        <item x="22"/>
        <item x="207"/>
        <item x="243"/>
        <item x="258"/>
        <item x="38"/>
        <item x="241"/>
        <item x="137"/>
        <item x="97"/>
        <item x="195"/>
        <item x="116"/>
        <item x="92"/>
        <item x="115"/>
        <item x="240"/>
        <item x="222"/>
        <item x="145"/>
        <item x="58"/>
        <item x="77"/>
        <item x="8"/>
        <item x="193"/>
        <item x="187"/>
        <item x="171"/>
        <item x="253"/>
        <item x="178"/>
        <item x="5"/>
        <item x="159"/>
        <item x="118"/>
        <item x="189"/>
        <item x="248"/>
        <item x="125"/>
        <item x="40"/>
        <item x="233"/>
        <item x="162"/>
        <item x="51"/>
        <item x="71"/>
        <item x="154"/>
        <item x="63"/>
        <item x="141"/>
        <item t="default"/>
      </items>
      <autoSortScope>
        <pivotArea fieldPosition="0">
          <references count="1">
            <reference field="4294967294" count="1" selected="0">
              <x v="0"/>
            </reference>
          </references>
        </pivotArea>
      </autoSortScope>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s>
  <rowFields count="1">
    <field x="6"/>
  </rowFields>
  <rowItems count="262">
    <i>
      <x v="43"/>
    </i>
    <i>
      <x v="247"/>
    </i>
    <i>
      <x v="224"/>
    </i>
    <i>
      <x v="106"/>
    </i>
    <i>
      <x v="47"/>
    </i>
    <i>
      <x v="41"/>
    </i>
    <i>
      <x v="37"/>
    </i>
    <i>
      <x v="186"/>
    </i>
    <i>
      <x v="179"/>
    </i>
    <i>
      <x v="142"/>
    </i>
    <i>
      <x v="136"/>
    </i>
    <i>
      <x v="87"/>
    </i>
    <i>
      <x v="81"/>
    </i>
    <i>
      <x v="76"/>
    </i>
    <i>
      <x v="63"/>
    </i>
    <i>
      <x v="57"/>
    </i>
    <i>
      <x v="50"/>
    </i>
    <i>
      <x v="42"/>
    </i>
    <i>
      <x v="23"/>
    </i>
    <i>
      <x v="10"/>
    </i>
    <i>
      <x v="2"/>
    </i>
    <i>
      <x v="1"/>
    </i>
    <i>
      <x v="259"/>
    </i>
    <i>
      <x v="253"/>
    </i>
    <i>
      <x v="242"/>
    </i>
    <i>
      <x v="240"/>
    </i>
    <i>
      <x v="234"/>
    </i>
    <i>
      <x v="230"/>
    </i>
    <i>
      <x v="225"/>
    </i>
    <i>
      <x v="209"/>
    </i>
    <i>
      <x v="208"/>
    </i>
    <i>
      <x v="203"/>
    </i>
    <i>
      <x v="165"/>
    </i>
    <i>
      <x v="164"/>
    </i>
    <i>
      <x v="161"/>
    </i>
    <i>
      <x v="155"/>
    </i>
    <i>
      <x v="145"/>
    </i>
    <i>
      <x v="138"/>
    </i>
    <i>
      <x v="130"/>
    </i>
    <i>
      <x v="128"/>
    </i>
    <i>
      <x v="125"/>
    </i>
    <i>
      <x v="118"/>
    </i>
    <i>
      <x v="116"/>
    </i>
    <i>
      <x v="111"/>
    </i>
    <i>
      <x v="108"/>
    </i>
    <i>
      <x v="103"/>
    </i>
    <i>
      <x v="92"/>
    </i>
    <i>
      <x v="74"/>
    </i>
    <i>
      <x v="62"/>
    </i>
    <i>
      <x v="56"/>
    </i>
    <i>
      <x v="55"/>
    </i>
    <i>
      <x v="54"/>
    </i>
    <i>
      <x v="53"/>
    </i>
    <i>
      <x v="52"/>
    </i>
    <i>
      <x v="51"/>
    </i>
    <i>
      <x v="49"/>
    </i>
    <i>
      <x v="35"/>
    </i>
    <i>
      <x v="30"/>
    </i>
    <i>
      <x v="19"/>
    </i>
    <i>
      <x v="9"/>
    </i>
    <i>
      <x v="8"/>
    </i>
    <i>
      <x v="260"/>
    </i>
    <i>
      <x v="258"/>
    </i>
    <i>
      <x v="250"/>
    </i>
    <i>
      <x v="249"/>
    </i>
    <i>
      <x v="243"/>
    </i>
    <i>
      <x v="241"/>
    </i>
    <i>
      <x v="238"/>
    </i>
    <i>
      <x v="237"/>
    </i>
    <i>
      <x v="233"/>
    </i>
    <i>
      <x v="232"/>
    </i>
    <i>
      <x v="231"/>
    </i>
    <i>
      <x v="228"/>
    </i>
    <i>
      <x v="223"/>
    </i>
    <i>
      <x v="221"/>
    </i>
    <i>
      <x v="219"/>
    </i>
    <i>
      <x v="218"/>
    </i>
    <i>
      <x v="217"/>
    </i>
    <i>
      <x v="216"/>
    </i>
    <i>
      <x v="215"/>
    </i>
    <i>
      <x v="214"/>
    </i>
    <i>
      <x v="213"/>
    </i>
    <i>
      <x v="211"/>
    </i>
    <i>
      <x v="210"/>
    </i>
    <i>
      <x v="207"/>
    </i>
    <i>
      <x v="202"/>
    </i>
    <i>
      <x v="198"/>
    </i>
    <i>
      <x v="194"/>
    </i>
    <i>
      <x v="193"/>
    </i>
    <i>
      <x v="191"/>
    </i>
    <i>
      <x v="190"/>
    </i>
    <i>
      <x v="189"/>
    </i>
    <i>
      <x v="188"/>
    </i>
    <i>
      <x v="187"/>
    </i>
    <i>
      <x v="184"/>
    </i>
    <i>
      <x v="182"/>
    </i>
    <i>
      <x v="178"/>
    </i>
    <i>
      <x v="177"/>
    </i>
    <i>
      <x v="173"/>
    </i>
    <i>
      <x v="172"/>
    </i>
    <i>
      <x v="170"/>
    </i>
    <i>
      <x v="169"/>
    </i>
    <i>
      <x v="167"/>
    </i>
    <i>
      <x v="166"/>
    </i>
    <i>
      <x v="163"/>
    </i>
    <i>
      <x v="159"/>
    </i>
    <i>
      <x v="158"/>
    </i>
    <i>
      <x v="156"/>
    </i>
    <i>
      <x v="154"/>
    </i>
    <i>
      <x v="153"/>
    </i>
    <i>
      <x v="152"/>
    </i>
    <i>
      <x v="149"/>
    </i>
    <i>
      <x v="144"/>
    </i>
    <i>
      <x v="137"/>
    </i>
    <i>
      <x v="135"/>
    </i>
    <i>
      <x v="133"/>
    </i>
    <i>
      <x v="132"/>
    </i>
    <i>
      <x v="129"/>
    </i>
    <i>
      <x v="127"/>
    </i>
    <i>
      <x v="123"/>
    </i>
    <i>
      <x v="120"/>
    </i>
    <i>
      <x v="109"/>
    </i>
    <i>
      <x v="102"/>
    </i>
    <i>
      <x v="97"/>
    </i>
    <i>
      <x v="96"/>
    </i>
    <i>
      <x v="94"/>
    </i>
    <i>
      <x v="90"/>
    </i>
    <i>
      <x v="84"/>
    </i>
    <i>
      <x v="78"/>
    </i>
    <i>
      <x v="72"/>
    </i>
    <i>
      <x v="64"/>
    </i>
    <i>
      <x v="61"/>
    </i>
    <i>
      <x v="58"/>
    </i>
    <i>
      <x v="39"/>
    </i>
    <i>
      <x v="27"/>
    </i>
    <i>
      <x v="25"/>
    </i>
    <i>
      <x v="22"/>
    </i>
    <i>
      <x v="20"/>
    </i>
    <i>
      <x v="18"/>
    </i>
    <i>
      <x v="17"/>
    </i>
    <i>
      <x v="16"/>
    </i>
    <i>
      <x v="13"/>
    </i>
    <i>
      <x v="12"/>
    </i>
    <i>
      <x v="11"/>
    </i>
    <i>
      <x v="5"/>
    </i>
    <i>
      <x v="3"/>
    </i>
    <i>
      <x/>
    </i>
    <i>
      <x v="257"/>
    </i>
    <i>
      <x v="256"/>
    </i>
    <i>
      <x v="255"/>
    </i>
    <i>
      <x v="254"/>
    </i>
    <i>
      <x v="252"/>
    </i>
    <i>
      <x v="251"/>
    </i>
    <i>
      <x v="248"/>
    </i>
    <i>
      <x v="246"/>
    </i>
    <i>
      <x v="245"/>
    </i>
    <i>
      <x v="244"/>
    </i>
    <i>
      <x v="239"/>
    </i>
    <i>
      <x v="236"/>
    </i>
    <i>
      <x v="235"/>
    </i>
    <i>
      <x v="229"/>
    </i>
    <i>
      <x v="227"/>
    </i>
    <i>
      <x v="226"/>
    </i>
    <i>
      <x v="222"/>
    </i>
    <i>
      <x v="220"/>
    </i>
    <i>
      <x v="212"/>
    </i>
    <i>
      <x v="206"/>
    </i>
    <i>
      <x v="205"/>
    </i>
    <i>
      <x v="204"/>
    </i>
    <i>
      <x v="201"/>
    </i>
    <i>
      <x v="200"/>
    </i>
    <i>
      <x v="199"/>
    </i>
    <i>
      <x v="197"/>
    </i>
    <i>
      <x v="196"/>
    </i>
    <i>
      <x v="195"/>
    </i>
    <i>
      <x v="192"/>
    </i>
    <i>
      <x v="185"/>
    </i>
    <i>
      <x v="183"/>
    </i>
    <i>
      <x v="181"/>
    </i>
    <i>
      <x v="180"/>
    </i>
    <i>
      <x v="176"/>
    </i>
    <i>
      <x v="175"/>
    </i>
    <i>
      <x v="174"/>
    </i>
    <i>
      <x v="171"/>
    </i>
    <i>
      <x v="168"/>
    </i>
    <i>
      <x v="162"/>
    </i>
    <i>
      <x v="160"/>
    </i>
    <i>
      <x v="157"/>
    </i>
    <i>
      <x v="151"/>
    </i>
    <i>
      <x v="150"/>
    </i>
    <i>
      <x v="148"/>
    </i>
    <i>
      <x v="147"/>
    </i>
    <i>
      <x v="146"/>
    </i>
    <i>
      <x v="143"/>
    </i>
    <i>
      <x v="141"/>
    </i>
    <i>
      <x v="140"/>
    </i>
    <i>
      <x v="139"/>
    </i>
    <i>
      <x v="134"/>
    </i>
    <i>
      <x v="131"/>
    </i>
    <i>
      <x v="126"/>
    </i>
    <i>
      <x v="124"/>
    </i>
    <i>
      <x v="122"/>
    </i>
    <i>
      <x v="121"/>
    </i>
    <i>
      <x v="119"/>
    </i>
    <i>
      <x v="117"/>
    </i>
    <i>
      <x v="115"/>
    </i>
    <i>
      <x v="114"/>
    </i>
    <i>
      <x v="113"/>
    </i>
    <i>
      <x v="112"/>
    </i>
    <i>
      <x v="110"/>
    </i>
    <i>
      <x v="107"/>
    </i>
    <i>
      <x v="105"/>
    </i>
    <i>
      <x v="104"/>
    </i>
    <i>
      <x v="101"/>
    </i>
    <i>
      <x v="100"/>
    </i>
    <i>
      <x v="99"/>
    </i>
    <i>
      <x v="98"/>
    </i>
    <i>
      <x v="95"/>
    </i>
    <i>
      <x v="93"/>
    </i>
    <i>
      <x v="91"/>
    </i>
    <i>
      <x v="89"/>
    </i>
    <i>
      <x v="88"/>
    </i>
    <i>
      <x v="86"/>
    </i>
    <i>
      <x v="85"/>
    </i>
    <i>
      <x v="83"/>
    </i>
    <i>
      <x v="82"/>
    </i>
    <i>
      <x v="80"/>
    </i>
    <i>
      <x v="79"/>
    </i>
    <i>
      <x v="77"/>
    </i>
    <i>
      <x v="75"/>
    </i>
    <i>
      <x v="73"/>
    </i>
    <i>
      <x v="71"/>
    </i>
    <i>
      <x v="70"/>
    </i>
    <i>
      <x v="69"/>
    </i>
    <i>
      <x v="68"/>
    </i>
    <i>
      <x v="67"/>
    </i>
    <i>
      <x v="66"/>
    </i>
    <i>
      <x v="65"/>
    </i>
    <i>
      <x v="60"/>
    </i>
    <i>
      <x v="59"/>
    </i>
    <i>
      <x v="48"/>
    </i>
    <i>
      <x v="46"/>
    </i>
    <i>
      <x v="45"/>
    </i>
    <i>
      <x v="44"/>
    </i>
    <i>
      <x v="40"/>
    </i>
    <i>
      <x v="38"/>
    </i>
    <i>
      <x v="36"/>
    </i>
    <i>
      <x v="34"/>
    </i>
    <i>
      <x v="33"/>
    </i>
    <i>
      <x v="32"/>
    </i>
    <i>
      <x v="31"/>
    </i>
    <i>
      <x v="29"/>
    </i>
    <i>
      <x v="28"/>
    </i>
    <i>
      <x v="26"/>
    </i>
    <i>
      <x v="24"/>
    </i>
    <i>
      <x v="21"/>
    </i>
    <i>
      <x v="15"/>
    </i>
    <i>
      <x v="14"/>
    </i>
    <i>
      <x v="7"/>
    </i>
    <i>
      <x v="6"/>
    </i>
    <i>
      <x v="4"/>
    </i>
    <i t="grand">
      <x/>
    </i>
  </rowItems>
  <colItems count="1">
    <i/>
  </colItems>
  <dataFields count="1">
    <dataField name="Count of Fligh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800-000003000000}" name="PivotTable4" cacheId="0" applyNumberFormats="0" applyBorderFormats="0" applyFontFormats="0" applyPatternFormats="0" applyAlignmentFormats="0" applyWidthHeightFormats="1" dataCaption="Values" updatedVersion="5" minRefreshableVersion="3" useAutoFormatting="1" rowGrandTotals="0" colGrandTotals="0" createdVersion="5" indent="0" compact="0" outline="1" outlineData="1" compactData="0" multipleFieldFilters="0">
  <location ref="B5:E14" firstHeaderRow="1" firstDataRow="2" firstDataCol="1"/>
  <pivotFields count="20">
    <pivotField dataField="1" compact="0"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compact="0" numFmtId="167" showAll="0">
      <items count="400">
        <item x="238"/>
        <item x="71"/>
        <item x="186"/>
        <item x="322"/>
        <item x="15"/>
        <item x="255"/>
        <item x="211"/>
        <item x="53"/>
        <item x="395"/>
        <item x="358"/>
        <item x="143"/>
        <item x="54"/>
        <item x="233"/>
        <item x="43"/>
        <item x="120"/>
        <item x="222"/>
        <item x="243"/>
        <item x="94"/>
        <item x="115"/>
        <item x="192"/>
        <item x="217"/>
        <item x="201"/>
        <item x="253"/>
        <item x="166"/>
        <item x="335"/>
        <item x="394"/>
        <item x="347"/>
        <item x="64"/>
        <item x="65"/>
        <item x="50"/>
        <item x="297"/>
        <item x="292"/>
        <item x="33"/>
        <item x="140"/>
        <item x="263"/>
        <item x="280"/>
        <item x="138"/>
        <item x="58"/>
        <item x="17"/>
        <item x="362"/>
        <item x="133"/>
        <item x="308"/>
        <item x="127"/>
        <item x="177"/>
        <item x="93"/>
        <item x="245"/>
        <item x="9"/>
        <item x="381"/>
        <item x="128"/>
        <item x="105"/>
        <item x="390"/>
        <item x="318"/>
        <item x="38"/>
        <item x="183"/>
        <item x="274"/>
        <item x="104"/>
        <item x="184"/>
        <item x="239"/>
        <item x="386"/>
        <item x="171"/>
        <item x="117"/>
        <item x="181"/>
        <item x="396"/>
        <item x="398"/>
        <item x="96"/>
        <item x="293"/>
        <item x="392"/>
        <item x="345"/>
        <item x="66"/>
        <item x="241"/>
        <item x="1"/>
        <item x="357"/>
        <item x="328"/>
        <item x="352"/>
        <item x="277"/>
        <item x="311"/>
        <item x="116"/>
        <item x="299"/>
        <item x="151"/>
        <item x="249"/>
        <item x="267"/>
        <item x="203"/>
        <item x="187"/>
        <item x="121"/>
        <item x="102"/>
        <item x="388"/>
        <item x="30"/>
        <item x="226"/>
        <item x="0"/>
        <item x="69"/>
        <item x="103"/>
        <item x="91"/>
        <item x="382"/>
        <item x="129"/>
        <item x="369"/>
        <item x="141"/>
        <item x="324"/>
        <item x="343"/>
        <item x="34"/>
        <item x="346"/>
        <item x="28"/>
        <item x="350"/>
        <item x="287"/>
        <item x="208"/>
        <item x="16"/>
        <item x="24"/>
        <item x="122"/>
        <item x="374"/>
        <item x="111"/>
        <item x="229"/>
        <item x="278"/>
        <item x="110"/>
        <item x="95"/>
        <item x="170"/>
        <item x="70"/>
        <item x="149"/>
        <item x="248"/>
        <item x="90"/>
        <item x="72"/>
        <item x="135"/>
        <item x="29"/>
        <item x="334"/>
        <item x="365"/>
        <item x="237"/>
        <item x="252"/>
        <item x="158"/>
        <item x="348"/>
        <item x="307"/>
        <item x="314"/>
        <item x="112"/>
        <item x="338"/>
        <item x="19"/>
        <item x="333"/>
        <item x="344"/>
        <item x="108"/>
        <item x="131"/>
        <item x="397"/>
        <item x="153"/>
        <item x="261"/>
        <item x="282"/>
        <item x="321"/>
        <item x="74"/>
        <item x="259"/>
        <item x="56"/>
        <item x="198"/>
        <item x="231"/>
        <item x="107"/>
        <item x="262"/>
        <item x="189"/>
        <item x="301"/>
        <item x="197"/>
        <item x="62"/>
        <item x="152"/>
        <item x="266"/>
        <item x="368"/>
        <item x="242"/>
        <item x="146"/>
        <item x="60"/>
        <item x="376"/>
        <item x="136"/>
        <item x="363"/>
        <item x="85"/>
        <item x="356"/>
        <item x="309"/>
        <item x="172"/>
        <item x="48"/>
        <item x="234"/>
        <item x="296"/>
        <item x="175"/>
        <item x="323"/>
        <item x="372"/>
        <item x="144"/>
        <item x="320"/>
        <item x="387"/>
        <item x="371"/>
        <item x="86"/>
        <item x="225"/>
        <item x="199"/>
        <item x="303"/>
        <item x="12"/>
        <item x="367"/>
        <item x="173"/>
        <item x="319"/>
        <item x="219"/>
        <item x="22"/>
        <item x="212"/>
        <item x="273"/>
        <item x="206"/>
        <item x="342"/>
        <item x="134"/>
        <item x="285"/>
        <item x="75"/>
        <item x="92"/>
        <item x="351"/>
        <item x="230"/>
        <item x="257"/>
        <item x="336"/>
        <item x="312"/>
        <item x="325"/>
        <item x="26"/>
        <item x="147"/>
        <item x="32"/>
        <item x="269"/>
        <item x="379"/>
        <item x="150"/>
        <item x="79"/>
        <item x="185"/>
        <item x="370"/>
        <item x="179"/>
        <item x="168"/>
        <item x="2"/>
        <item x="18"/>
        <item x="366"/>
        <item x="385"/>
        <item x="254"/>
        <item x="330"/>
        <item x="106"/>
        <item x="68"/>
        <item x="63"/>
        <item x="61"/>
        <item x="205"/>
        <item x="286"/>
        <item x="77"/>
        <item x="256"/>
        <item x="76"/>
        <item x="25"/>
        <item x="23"/>
        <item x="288"/>
        <item x="89"/>
        <item x="383"/>
        <item x="221"/>
        <item x="210"/>
        <item x="98"/>
        <item x="384"/>
        <item x="268"/>
        <item x="145"/>
        <item x="272"/>
        <item x="7"/>
        <item x="327"/>
        <item x="377"/>
        <item x="40"/>
        <item x="142"/>
        <item x="36"/>
        <item x="46"/>
        <item x="99"/>
        <item x="31"/>
        <item x="380"/>
        <item x="55"/>
        <item x="195"/>
        <item x="109"/>
        <item x="154"/>
        <item x="176"/>
        <item x="279"/>
        <item x="10"/>
        <item x="276"/>
        <item x="331"/>
        <item x="306"/>
        <item x="165"/>
        <item x="317"/>
        <item x="47"/>
        <item x="204"/>
        <item x="329"/>
        <item x="236"/>
        <item x="78"/>
        <item x="119"/>
        <item x="100"/>
        <item x="295"/>
        <item x="87"/>
        <item x="304"/>
        <item x="3"/>
        <item x="194"/>
        <item x="4"/>
        <item x="84"/>
        <item x="332"/>
        <item x="300"/>
        <item x="5"/>
        <item x="80"/>
        <item x="313"/>
        <item x="81"/>
        <item x="224"/>
        <item x="14"/>
        <item x="49"/>
        <item x="193"/>
        <item x="240"/>
        <item x="35"/>
        <item x="271"/>
        <item x="169"/>
        <item x="291"/>
        <item x="42"/>
        <item x="246"/>
        <item x="244"/>
        <item x="305"/>
        <item x="284"/>
        <item x="164"/>
        <item x="316"/>
        <item x="373"/>
        <item x="228"/>
        <item x="355"/>
        <item x="137"/>
        <item x="124"/>
        <item x="67"/>
        <item x="250"/>
        <item x="264"/>
        <item x="82"/>
        <item x="360"/>
        <item x="97"/>
        <item x="378"/>
        <item x="353"/>
        <item x="289"/>
        <item x="251"/>
        <item x="101"/>
        <item x="83"/>
        <item x="163"/>
        <item x="214"/>
        <item x="270"/>
        <item x="283"/>
        <item x="20"/>
        <item x="125"/>
        <item x="39"/>
        <item x="126"/>
        <item x="156"/>
        <item x="209"/>
        <item x="8"/>
        <item x="190"/>
        <item x="326"/>
        <item x="294"/>
        <item x="51"/>
        <item x="182"/>
        <item x="188"/>
        <item x="393"/>
        <item x="216"/>
        <item x="341"/>
        <item x="27"/>
        <item x="361"/>
        <item x="73"/>
        <item x="265"/>
        <item x="130"/>
        <item x="196"/>
        <item x="157"/>
        <item x="88"/>
        <item x="113"/>
        <item x="391"/>
        <item x="159"/>
        <item x="178"/>
        <item x="162"/>
        <item x="118"/>
        <item x="207"/>
        <item x="155"/>
        <item x="275"/>
        <item x="298"/>
        <item x="6"/>
        <item x="227"/>
        <item x="260"/>
        <item x="52"/>
        <item x="132"/>
        <item x="57"/>
        <item x="302"/>
        <item x="123"/>
        <item x="290"/>
        <item x="13"/>
        <item x="359"/>
        <item x="21"/>
        <item x="337"/>
        <item x="232"/>
        <item x="148"/>
        <item x="389"/>
        <item x="41"/>
        <item x="200"/>
        <item x="44"/>
        <item x="191"/>
        <item x="340"/>
        <item x="213"/>
        <item x="349"/>
        <item x="218"/>
        <item x="114"/>
        <item x="167"/>
        <item x="310"/>
        <item x="354"/>
        <item x="215"/>
        <item x="11"/>
        <item x="202"/>
        <item x="375"/>
        <item x="281"/>
        <item x="174"/>
        <item x="139"/>
        <item x="37"/>
        <item x="220"/>
        <item x="247"/>
        <item x="161"/>
        <item x="315"/>
        <item x="59"/>
        <item x="180"/>
        <item x="160"/>
        <item x="223"/>
        <item x="364"/>
        <item x="339"/>
        <item x="235"/>
        <item x="45"/>
        <item x="258"/>
        <item t="default"/>
      </items>
    </pivotField>
    <pivotField axis="axisRow" compact="0" multipleItemSelectionAllowed="1" showAll="0">
      <items count="10">
        <item h="1" m="1" x="8"/>
        <item x="2"/>
        <item x="3"/>
        <item x="0"/>
        <item x="6"/>
        <item x="7"/>
        <item x="1"/>
        <item x="4"/>
        <item x="5"/>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axis="axisCol" compact="0" showAll="0">
      <items count="4">
        <item x="2"/>
        <item x="1"/>
        <item x="0"/>
        <item t="default"/>
      </items>
    </pivotField>
    <pivotField compact="0" showAll="0"/>
    <pivotField compact="0" showAll="0"/>
  </pivotFields>
  <rowFields count="1">
    <field x="2"/>
  </rowFields>
  <rowItems count="8">
    <i>
      <x v="1"/>
    </i>
    <i>
      <x v="2"/>
    </i>
    <i>
      <x v="3"/>
    </i>
    <i>
      <x v="4"/>
    </i>
    <i>
      <x v="5"/>
    </i>
    <i>
      <x v="6"/>
    </i>
    <i>
      <x v="7"/>
    </i>
    <i>
      <x v="8"/>
    </i>
  </rowItems>
  <colFields count="1">
    <field x="17"/>
  </colFields>
  <colItems count="3">
    <i>
      <x/>
    </i>
    <i>
      <x v="1"/>
    </i>
    <i>
      <x v="2"/>
    </i>
  </colItems>
  <dataFields count="1">
    <dataField name="Count of Fligh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ivotTable14" cacheId="2" applyNumberFormats="0" applyBorderFormats="0" applyFontFormats="0" applyPatternFormats="0" applyAlignmentFormats="0" applyWidthHeightFormats="1" dataCaption="Values" updatedVersion="5" minRefreshableVersion="3" useAutoFormatting="1" createdVersion="5" indent="0" compact="0" outline="1" outlineData="1" compactData="0" multipleFieldFilters="0">
  <location ref="B113:C133" firstHeaderRow="1" firstDataRow="1" firstDataCol="1"/>
  <pivotFields count="20">
    <pivotField compact="0"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compact="0" numFmtId="167" showAll="0"/>
    <pivotField compact="0" showAll="0"/>
    <pivotField axis="axisRow" compact="0" showAll="0" sortType="descending">
      <items count="20">
        <item x="14"/>
        <item x="0"/>
        <item x="16"/>
        <item x="4"/>
        <item x="9"/>
        <item x="1"/>
        <item x="17"/>
        <item x="10"/>
        <item x="8"/>
        <item x="11"/>
        <item x="2"/>
        <item x="7"/>
        <item x="15"/>
        <item x="6"/>
        <item x="13"/>
        <item x="12"/>
        <item x="3"/>
        <item x="5"/>
        <item x="18"/>
        <item t="default"/>
      </items>
      <autoSortScope>
        <pivotArea fieldPosition="0">
          <references count="1">
            <reference field="4294967294" count="1" selected="0">
              <x v="0"/>
            </reference>
          </references>
        </pivotArea>
      </autoSortScope>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dataField="1" compact="0" showAll="0">
      <items count="91">
        <item x="0"/>
        <item x="25"/>
        <item x="60"/>
        <item x="63"/>
        <item x="62"/>
        <item x="27"/>
        <item x="47"/>
        <item x="17"/>
        <item x="66"/>
        <item x="41"/>
        <item x="80"/>
        <item x="58"/>
        <item x="56"/>
        <item x="84"/>
        <item x="26"/>
        <item x="57"/>
        <item x="12"/>
        <item x="72"/>
        <item x="16"/>
        <item x="55"/>
        <item x="78"/>
        <item x="50"/>
        <item x="79"/>
        <item x="88"/>
        <item x="75"/>
        <item x="1"/>
        <item x="70"/>
        <item x="69"/>
        <item x="51"/>
        <item x="74"/>
        <item x="9"/>
        <item x="15"/>
        <item x="22"/>
        <item x="85"/>
        <item x="89"/>
        <item x="6"/>
        <item x="59"/>
        <item x="64"/>
        <item x="81"/>
        <item x="65"/>
        <item x="20"/>
        <item x="7"/>
        <item x="34"/>
        <item x="53"/>
        <item x="4"/>
        <item x="29"/>
        <item x="5"/>
        <item x="46"/>
        <item x="76"/>
        <item x="42"/>
        <item x="37"/>
        <item x="82"/>
        <item x="61"/>
        <item x="67"/>
        <item x="43"/>
        <item x="36"/>
        <item x="28"/>
        <item x="11"/>
        <item x="48"/>
        <item x="10"/>
        <item x="86"/>
        <item x="2"/>
        <item x="21"/>
        <item x="71"/>
        <item x="23"/>
        <item x="30"/>
        <item x="68"/>
        <item x="19"/>
        <item x="54"/>
        <item x="52"/>
        <item x="38"/>
        <item x="45"/>
        <item x="14"/>
        <item x="35"/>
        <item x="13"/>
        <item x="87"/>
        <item x="77"/>
        <item x="8"/>
        <item x="31"/>
        <item x="32"/>
        <item x="18"/>
        <item x="33"/>
        <item x="39"/>
        <item x="44"/>
        <item x="83"/>
        <item x="73"/>
        <item x="24"/>
        <item x="40"/>
        <item x="3"/>
        <item x="49"/>
        <item t="default"/>
      </items>
    </pivotField>
  </pivotFields>
  <rowFields count="1">
    <field x="3"/>
  </rowFields>
  <rowItems count="20">
    <i>
      <x v="17"/>
    </i>
    <i>
      <x v="5"/>
    </i>
    <i>
      <x v="4"/>
    </i>
    <i>
      <x v="3"/>
    </i>
    <i>
      <x v="13"/>
    </i>
    <i>
      <x v="8"/>
    </i>
    <i>
      <x v="7"/>
    </i>
    <i>
      <x v="18"/>
    </i>
    <i>
      <x v="9"/>
    </i>
    <i>
      <x v="14"/>
    </i>
    <i>
      <x v="10"/>
    </i>
    <i>
      <x v="12"/>
    </i>
    <i>
      <x v="11"/>
    </i>
    <i>
      <x v="16"/>
    </i>
    <i>
      <x v="15"/>
    </i>
    <i>
      <x v="1"/>
    </i>
    <i>
      <x/>
    </i>
    <i>
      <x v="2"/>
    </i>
    <i>
      <x v="6"/>
    </i>
    <i t="grand">
      <x/>
    </i>
  </rowItems>
  <colItems count="1">
    <i/>
  </colItems>
  <dataFields count="1">
    <dataField name="Average of Delay Minutes" fld="19" subtotal="average" baseField="0" baseItem="0"/>
  </dataFields>
  <formats count="114">
    <format dxfId="113">
      <pivotArea collapsedLevelsAreSubtotals="1" fieldPosition="0">
        <references count="1">
          <reference field="3" count="1" selected="0">
            <x v="0"/>
          </reference>
        </references>
      </pivotArea>
    </format>
    <format dxfId="112">
      <pivotArea collapsedLevelsAreSubtotals="1" fieldPosition="0">
        <references count="1">
          <reference field="3" count="1" selected="0">
            <x v="1"/>
          </reference>
        </references>
      </pivotArea>
    </format>
    <format dxfId="111">
      <pivotArea collapsedLevelsAreSubtotals="1" fieldPosition="0">
        <references count="1">
          <reference field="3" count="1" selected="0">
            <x v="2"/>
          </reference>
        </references>
      </pivotArea>
    </format>
    <format dxfId="110">
      <pivotArea collapsedLevelsAreSubtotals="1" fieldPosition="0">
        <references count="1">
          <reference field="3" count="1" selected="0">
            <x v="3"/>
          </reference>
        </references>
      </pivotArea>
    </format>
    <format dxfId="109">
      <pivotArea collapsedLevelsAreSubtotals="1" fieldPosition="0">
        <references count="1">
          <reference field="3" count="1" selected="0">
            <x v="4"/>
          </reference>
        </references>
      </pivotArea>
    </format>
    <format dxfId="108">
      <pivotArea collapsedLevelsAreSubtotals="1" fieldPosition="0">
        <references count="1">
          <reference field="3" count="1" selected="0">
            <x v="5"/>
          </reference>
        </references>
      </pivotArea>
    </format>
    <format dxfId="107">
      <pivotArea collapsedLevelsAreSubtotals="1" fieldPosition="0">
        <references count="1">
          <reference field="3" count="1" selected="0">
            <x v="6"/>
          </reference>
        </references>
      </pivotArea>
    </format>
    <format dxfId="106">
      <pivotArea collapsedLevelsAreSubtotals="1" fieldPosition="0">
        <references count="1">
          <reference field="3" count="1" selected="0">
            <x v="7"/>
          </reference>
        </references>
      </pivotArea>
    </format>
    <format dxfId="105">
      <pivotArea collapsedLevelsAreSubtotals="1" fieldPosition="0">
        <references count="1">
          <reference field="3" count="1" selected="0">
            <x v="8"/>
          </reference>
        </references>
      </pivotArea>
    </format>
    <format dxfId="104">
      <pivotArea collapsedLevelsAreSubtotals="1" fieldPosition="0">
        <references count="1">
          <reference field="3" count="1" selected="0">
            <x v="9"/>
          </reference>
        </references>
      </pivotArea>
    </format>
    <format dxfId="103">
      <pivotArea collapsedLevelsAreSubtotals="1" fieldPosition="0">
        <references count="1">
          <reference field="3" count="1" selected="0">
            <x v="10"/>
          </reference>
        </references>
      </pivotArea>
    </format>
    <format dxfId="102">
      <pivotArea collapsedLevelsAreSubtotals="1" fieldPosition="0">
        <references count="1">
          <reference field="3" count="1" selected="0">
            <x v="11"/>
          </reference>
        </references>
      </pivotArea>
    </format>
    <format dxfId="101">
      <pivotArea collapsedLevelsAreSubtotals="1" fieldPosition="0">
        <references count="1">
          <reference field="3" count="1" selected="0">
            <x v="12"/>
          </reference>
        </references>
      </pivotArea>
    </format>
    <format dxfId="100">
      <pivotArea collapsedLevelsAreSubtotals="1" fieldPosition="0">
        <references count="1">
          <reference field="3" count="1" selected="0">
            <x v="13"/>
          </reference>
        </references>
      </pivotArea>
    </format>
    <format dxfId="99">
      <pivotArea collapsedLevelsAreSubtotals="1" fieldPosition="0">
        <references count="1">
          <reference field="3" count="1" selected="0">
            <x v="14"/>
          </reference>
        </references>
      </pivotArea>
    </format>
    <format dxfId="98">
      <pivotArea collapsedLevelsAreSubtotals="1" fieldPosition="0">
        <references count="1">
          <reference field="3" count="1" selected="0">
            <x v="15"/>
          </reference>
        </references>
      </pivotArea>
    </format>
    <format dxfId="97">
      <pivotArea collapsedLevelsAreSubtotals="1" fieldPosition="0">
        <references count="1">
          <reference field="3" count="1" selected="0">
            <x v="16"/>
          </reference>
        </references>
      </pivotArea>
    </format>
    <format dxfId="96">
      <pivotArea collapsedLevelsAreSubtotals="1" fieldPosition="0">
        <references count="1">
          <reference field="3" count="1" selected="0">
            <x v="17"/>
          </reference>
        </references>
      </pivotArea>
    </format>
    <format dxfId="95">
      <pivotArea collapsedLevelsAreSubtotals="1" fieldPosition="0">
        <references count="1">
          <reference field="3" count="1" selected="0">
            <x v="18"/>
          </reference>
        </references>
      </pivotArea>
    </format>
    <format dxfId="94">
      <pivotArea collapsedLevelsAreSubtotals="1" fieldPosition="0">
        <references count="1">
          <reference field="3" count="1" selected="0">
            <x v="0"/>
          </reference>
        </references>
      </pivotArea>
    </format>
    <format dxfId="93">
      <pivotArea collapsedLevelsAreSubtotals="1" fieldPosition="0">
        <references count="1">
          <reference field="3" count="1" selected="0">
            <x v="1"/>
          </reference>
        </references>
      </pivotArea>
    </format>
    <format dxfId="92">
      <pivotArea collapsedLevelsAreSubtotals="1" fieldPosition="0">
        <references count="1">
          <reference field="3" count="1" selected="0">
            <x v="2"/>
          </reference>
        </references>
      </pivotArea>
    </format>
    <format dxfId="91">
      <pivotArea collapsedLevelsAreSubtotals="1" fieldPosition="0">
        <references count="1">
          <reference field="3" count="1" selected="0">
            <x v="3"/>
          </reference>
        </references>
      </pivotArea>
    </format>
    <format dxfId="90">
      <pivotArea collapsedLevelsAreSubtotals="1" fieldPosition="0">
        <references count="1">
          <reference field="3" count="1" selected="0">
            <x v="4"/>
          </reference>
        </references>
      </pivotArea>
    </format>
    <format dxfId="89">
      <pivotArea collapsedLevelsAreSubtotals="1" fieldPosition="0">
        <references count="1">
          <reference field="3" count="1" selected="0">
            <x v="5"/>
          </reference>
        </references>
      </pivotArea>
    </format>
    <format dxfId="88">
      <pivotArea collapsedLevelsAreSubtotals="1" fieldPosition="0">
        <references count="1">
          <reference field="3" count="1" selected="0">
            <x v="6"/>
          </reference>
        </references>
      </pivotArea>
    </format>
    <format dxfId="87">
      <pivotArea collapsedLevelsAreSubtotals="1" fieldPosition="0">
        <references count="1">
          <reference field="3" count="1" selected="0">
            <x v="7"/>
          </reference>
        </references>
      </pivotArea>
    </format>
    <format dxfId="86">
      <pivotArea collapsedLevelsAreSubtotals="1" fieldPosition="0">
        <references count="1">
          <reference field="3" count="1" selected="0">
            <x v="8"/>
          </reference>
        </references>
      </pivotArea>
    </format>
    <format dxfId="85">
      <pivotArea collapsedLevelsAreSubtotals="1" fieldPosition="0">
        <references count="1">
          <reference field="3" count="1" selected="0">
            <x v="9"/>
          </reference>
        </references>
      </pivotArea>
    </format>
    <format dxfId="84">
      <pivotArea collapsedLevelsAreSubtotals="1" fieldPosition="0">
        <references count="1">
          <reference field="3" count="1" selected="0">
            <x v="10"/>
          </reference>
        </references>
      </pivotArea>
    </format>
    <format dxfId="83">
      <pivotArea collapsedLevelsAreSubtotals="1" fieldPosition="0">
        <references count="1">
          <reference field="3" count="1" selected="0">
            <x v="11"/>
          </reference>
        </references>
      </pivotArea>
    </format>
    <format dxfId="82">
      <pivotArea collapsedLevelsAreSubtotals="1" fieldPosition="0">
        <references count="1">
          <reference field="3" count="1" selected="0">
            <x v="12"/>
          </reference>
        </references>
      </pivotArea>
    </format>
    <format dxfId="81">
      <pivotArea collapsedLevelsAreSubtotals="1" fieldPosition="0">
        <references count="1">
          <reference field="3" count="1" selected="0">
            <x v="13"/>
          </reference>
        </references>
      </pivotArea>
    </format>
    <format dxfId="80">
      <pivotArea collapsedLevelsAreSubtotals="1" fieldPosition="0">
        <references count="1">
          <reference field="3" count="1" selected="0">
            <x v="14"/>
          </reference>
        </references>
      </pivotArea>
    </format>
    <format dxfId="79">
      <pivotArea collapsedLevelsAreSubtotals="1" fieldPosition="0">
        <references count="1">
          <reference field="3" count="1" selected="0">
            <x v="15"/>
          </reference>
        </references>
      </pivotArea>
    </format>
    <format dxfId="78">
      <pivotArea collapsedLevelsAreSubtotals="1" fieldPosition="0">
        <references count="1">
          <reference field="3" count="1" selected="0">
            <x v="16"/>
          </reference>
        </references>
      </pivotArea>
    </format>
    <format dxfId="77">
      <pivotArea collapsedLevelsAreSubtotals="1" fieldPosition="0">
        <references count="1">
          <reference field="3" count="1" selected="0">
            <x v="17"/>
          </reference>
        </references>
      </pivotArea>
    </format>
    <format dxfId="76">
      <pivotArea collapsedLevelsAreSubtotals="1" fieldPosition="0">
        <references count="1">
          <reference field="3" count="1" selected="0">
            <x v="18"/>
          </reference>
        </references>
      </pivotArea>
    </format>
    <format dxfId="75">
      <pivotArea collapsedLevelsAreSubtotals="1" fieldPosition="0">
        <references count="1">
          <reference field="3" count="1" selected="0">
            <x v="0"/>
          </reference>
        </references>
      </pivotArea>
    </format>
    <format dxfId="74">
      <pivotArea collapsedLevelsAreSubtotals="1" fieldPosition="0">
        <references count="1">
          <reference field="3" count="1" selected="0">
            <x v="1"/>
          </reference>
        </references>
      </pivotArea>
    </format>
    <format dxfId="73">
      <pivotArea collapsedLevelsAreSubtotals="1" fieldPosition="0">
        <references count="1">
          <reference field="3" count="1" selected="0">
            <x v="2"/>
          </reference>
        </references>
      </pivotArea>
    </format>
    <format dxfId="72">
      <pivotArea collapsedLevelsAreSubtotals="1" fieldPosition="0">
        <references count="1">
          <reference field="3" count="1" selected="0">
            <x v="3"/>
          </reference>
        </references>
      </pivotArea>
    </format>
    <format dxfId="71">
      <pivotArea collapsedLevelsAreSubtotals="1" fieldPosition="0">
        <references count="1">
          <reference field="3" count="1" selected="0">
            <x v="4"/>
          </reference>
        </references>
      </pivotArea>
    </format>
    <format dxfId="70">
      <pivotArea collapsedLevelsAreSubtotals="1" fieldPosition="0">
        <references count="1">
          <reference field="3" count="1" selected="0">
            <x v="5"/>
          </reference>
        </references>
      </pivotArea>
    </format>
    <format dxfId="69">
      <pivotArea collapsedLevelsAreSubtotals="1" fieldPosition="0">
        <references count="1">
          <reference field="3" count="1" selected="0">
            <x v="6"/>
          </reference>
        </references>
      </pivotArea>
    </format>
    <format dxfId="68">
      <pivotArea collapsedLevelsAreSubtotals="1" fieldPosition="0">
        <references count="1">
          <reference field="3" count="1" selected="0">
            <x v="7"/>
          </reference>
        </references>
      </pivotArea>
    </format>
    <format dxfId="67">
      <pivotArea collapsedLevelsAreSubtotals="1" fieldPosition="0">
        <references count="1">
          <reference field="3" count="1" selected="0">
            <x v="8"/>
          </reference>
        </references>
      </pivotArea>
    </format>
    <format dxfId="66">
      <pivotArea collapsedLevelsAreSubtotals="1" fieldPosition="0">
        <references count="1">
          <reference field="3" count="1" selected="0">
            <x v="9"/>
          </reference>
        </references>
      </pivotArea>
    </format>
    <format dxfId="65">
      <pivotArea collapsedLevelsAreSubtotals="1" fieldPosition="0">
        <references count="1">
          <reference field="3" count="1" selected="0">
            <x v="10"/>
          </reference>
        </references>
      </pivotArea>
    </format>
    <format dxfId="64">
      <pivotArea collapsedLevelsAreSubtotals="1" fieldPosition="0">
        <references count="1">
          <reference field="3" count="1" selected="0">
            <x v="11"/>
          </reference>
        </references>
      </pivotArea>
    </format>
    <format dxfId="63">
      <pivotArea collapsedLevelsAreSubtotals="1" fieldPosition="0">
        <references count="1">
          <reference field="3" count="1" selected="0">
            <x v="12"/>
          </reference>
        </references>
      </pivotArea>
    </format>
    <format dxfId="62">
      <pivotArea collapsedLevelsAreSubtotals="1" fieldPosition="0">
        <references count="1">
          <reference field="3" count="1" selected="0">
            <x v="13"/>
          </reference>
        </references>
      </pivotArea>
    </format>
    <format dxfId="61">
      <pivotArea collapsedLevelsAreSubtotals="1" fieldPosition="0">
        <references count="1">
          <reference field="3" count="1" selected="0">
            <x v="14"/>
          </reference>
        </references>
      </pivotArea>
    </format>
    <format dxfId="60">
      <pivotArea collapsedLevelsAreSubtotals="1" fieldPosition="0">
        <references count="1">
          <reference field="3" count="1" selected="0">
            <x v="15"/>
          </reference>
        </references>
      </pivotArea>
    </format>
    <format dxfId="59">
      <pivotArea collapsedLevelsAreSubtotals="1" fieldPosition="0">
        <references count="1">
          <reference field="3" count="1" selected="0">
            <x v="16"/>
          </reference>
        </references>
      </pivotArea>
    </format>
    <format dxfId="58">
      <pivotArea collapsedLevelsAreSubtotals="1" fieldPosition="0">
        <references count="1">
          <reference field="3" count="1" selected="0">
            <x v="17"/>
          </reference>
        </references>
      </pivotArea>
    </format>
    <format dxfId="57">
      <pivotArea collapsedLevelsAreSubtotals="1" fieldPosition="0">
        <references count="1">
          <reference field="3" count="1" selected="0">
            <x v="18"/>
          </reference>
        </references>
      </pivotArea>
    </format>
    <format dxfId="56">
      <pivotArea collapsedLevelsAreSubtotals="1" fieldPosition="0">
        <references count="1">
          <reference field="3" count="1" selected="0">
            <x v="0"/>
          </reference>
        </references>
      </pivotArea>
    </format>
    <format dxfId="55">
      <pivotArea collapsedLevelsAreSubtotals="1" fieldPosition="0">
        <references count="1">
          <reference field="3" count="1" selected="0">
            <x v="1"/>
          </reference>
        </references>
      </pivotArea>
    </format>
    <format dxfId="54">
      <pivotArea collapsedLevelsAreSubtotals="1" fieldPosition="0">
        <references count="1">
          <reference field="3" count="1" selected="0">
            <x v="2"/>
          </reference>
        </references>
      </pivotArea>
    </format>
    <format dxfId="53">
      <pivotArea collapsedLevelsAreSubtotals="1" fieldPosition="0">
        <references count="1">
          <reference field="3" count="1" selected="0">
            <x v="3"/>
          </reference>
        </references>
      </pivotArea>
    </format>
    <format dxfId="52">
      <pivotArea collapsedLevelsAreSubtotals="1" fieldPosition="0">
        <references count="1">
          <reference field="3" count="1" selected="0">
            <x v="4"/>
          </reference>
        </references>
      </pivotArea>
    </format>
    <format dxfId="51">
      <pivotArea collapsedLevelsAreSubtotals="1" fieldPosition="0">
        <references count="1">
          <reference field="3" count="1" selected="0">
            <x v="5"/>
          </reference>
        </references>
      </pivotArea>
    </format>
    <format dxfId="50">
      <pivotArea collapsedLevelsAreSubtotals="1" fieldPosition="0">
        <references count="1">
          <reference field="3" count="1" selected="0">
            <x v="6"/>
          </reference>
        </references>
      </pivotArea>
    </format>
    <format dxfId="49">
      <pivotArea collapsedLevelsAreSubtotals="1" fieldPosition="0">
        <references count="1">
          <reference field="3" count="1" selected="0">
            <x v="7"/>
          </reference>
        </references>
      </pivotArea>
    </format>
    <format dxfId="48">
      <pivotArea collapsedLevelsAreSubtotals="1" fieldPosition="0">
        <references count="1">
          <reference field="3" count="1" selected="0">
            <x v="8"/>
          </reference>
        </references>
      </pivotArea>
    </format>
    <format dxfId="47">
      <pivotArea collapsedLevelsAreSubtotals="1" fieldPosition="0">
        <references count="1">
          <reference field="3" count="1" selected="0">
            <x v="9"/>
          </reference>
        </references>
      </pivotArea>
    </format>
    <format dxfId="46">
      <pivotArea collapsedLevelsAreSubtotals="1" fieldPosition="0">
        <references count="1">
          <reference field="3" count="1" selected="0">
            <x v="10"/>
          </reference>
        </references>
      </pivotArea>
    </format>
    <format dxfId="45">
      <pivotArea collapsedLevelsAreSubtotals="1" fieldPosition="0">
        <references count="1">
          <reference field="3" count="1" selected="0">
            <x v="11"/>
          </reference>
        </references>
      </pivotArea>
    </format>
    <format dxfId="44">
      <pivotArea collapsedLevelsAreSubtotals="1" fieldPosition="0">
        <references count="1">
          <reference field="3" count="1" selected="0">
            <x v="12"/>
          </reference>
        </references>
      </pivotArea>
    </format>
    <format dxfId="43">
      <pivotArea collapsedLevelsAreSubtotals="1" fieldPosition="0">
        <references count="1">
          <reference field="3" count="1" selected="0">
            <x v="13"/>
          </reference>
        </references>
      </pivotArea>
    </format>
    <format dxfId="42">
      <pivotArea collapsedLevelsAreSubtotals="1" fieldPosition="0">
        <references count="1">
          <reference field="3" count="1" selected="0">
            <x v="14"/>
          </reference>
        </references>
      </pivotArea>
    </format>
    <format dxfId="41">
      <pivotArea collapsedLevelsAreSubtotals="1" fieldPosition="0">
        <references count="1">
          <reference field="3" count="1" selected="0">
            <x v="15"/>
          </reference>
        </references>
      </pivotArea>
    </format>
    <format dxfId="40">
      <pivotArea collapsedLevelsAreSubtotals="1" fieldPosition="0">
        <references count="1">
          <reference field="3" count="1" selected="0">
            <x v="16"/>
          </reference>
        </references>
      </pivotArea>
    </format>
    <format dxfId="39">
      <pivotArea collapsedLevelsAreSubtotals="1" fieldPosition="0">
        <references count="1">
          <reference field="3" count="1" selected="0">
            <x v="17"/>
          </reference>
        </references>
      </pivotArea>
    </format>
    <format dxfId="38">
      <pivotArea collapsedLevelsAreSubtotals="1" fieldPosition="0">
        <references count="1">
          <reference field="3" count="1" selected="0">
            <x v="18"/>
          </reference>
        </references>
      </pivotArea>
    </format>
    <format dxfId="37">
      <pivotArea collapsedLevelsAreSubtotals="1" fieldPosition="0">
        <references count="1">
          <reference field="3" count="1" selected="0">
            <x v="0"/>
          </reference>
        </references>
      </pivotArea>
    </format>
    <format dxfId="36">
      <pivotArea collapsedLevelsAreSubtotals="1" fieldPosition="0">
        <references count="1">
          <reference field="3" count="1" selected="0">
            <x v="1"/>
          </reference>
        </references>
      </pivotArea>
    </format>
    <format dxfId="35">
      <pivotArea collapsedLevelsAreSubtotals="1" fieldPosition="0">
        <references count="1">
          <reference field="3" count="1" selected="0">
            <x v="2"/>
          </reference>
        </references>
      </pivotArea>
    </format>
    <format dxfId="34">
      <pivotArea collapsedLevelsAreSubtotals="1" fieldPosition="0">
        <references count="1">
          <reference field="3" count="1" selected="0">
            <x v="3"/>
          </reference>
        </references>
      </pivotArea>
    </format>
    <format dxfId="33">
      <pivotArea collapsedLevelsAreSubtotals="1" fieldPosition="0">
        <references count="1">
          <reference field="3" count="1" selected="0">
            <x v="4"/>
          </reference>
        </references>
      </pivotArea>
    </format>
    <format dxfId="32">
      <pivotArea collapsedLevelsAreSubtotals="1" fieldPosition="0">
        <references count="1">
          <reference field="3" count="1" selected="0">
            <x v="5"/>
          </reference>
        </references>
      </pivotArea>
    </format>
    <format dxfId="31">
      <pivotArea collapsedLevelsAreSubtotals="1" fieldPosition="0">
        <references count="1">
          <reference field="3" count="1" selected="0">
            <x v="6"/>
          </reference>
        </references>
      </pivotArea>
    </format>
    <format dxfId="30">
      <pivotArea collapsedLevelsAreSubtotals="1" fieldPosition="0">
        <references count="1">
          <reference field="3" count="1" selected="0">
            <x v="7"/>
          </reference>
        </references>
      </pivotArea>
    </format>
    <format dxfId="29">
      <pivotArea collapsedLevelsAreSubtotals="1" fieldPosition="0">
        <references count="1">
          <reference field="3" count="1" selected="0">
            <x v="8"/>
          </reference>
        </references>
      </pivotArea>
    </format>
    <format dxfId="28">
      <pivotArea collapsedLevelsAreSubtotals="1" fieldPosition="0">
        <references count="1">
          <reference field="3" count="1" selected="0">
            <x v="9"/>
          </reference>
        </references>
      </pivotArea>
    </format>
    <format dxfId="27">
      <pivotArea collapsedLevelsAreSubtotals="1" fieldPosition="0">
        <references count="1">
          <reference field="3" count="1" selected="0">
            <x v="10"/>
          </reference>
        </references>
      </pivotArea>
    </format>
    <format dxfId="26">
      <pivotArea collapsedLevelsAreSubtotals="1" fieldPosition="0">
        <references count="1">
          <reference field="3" count="1" selected="0">
            <x v="11"/>
          </reference>
        </references>
      </pivotArea>
    </format>
    <format dxfId="25">
      <pivotArea collapsedLevelsAreSubtotals="1" fieldPosition="0">
        <references count="1">
          <reference field="3" count="1" selected="0">
            <x v="12"/>
          </reference>
        </references>
      </pivotArea>
    </format>
    <format dxfId="24">
      <pivotArea collapsedLevelsAreSubtotals="1" fieldPosition="0">
        <references count="1">
          <reference field="3" count="1" selected="0">
            <x v="13"/>
          </reference>
        </references>
      </pivotArea>
    </format>
    <format dxfId="23">
      <pivotArea collapsedLevelsAreSubtotals="1" fieldPosition="0">
        <references count="1">
          <reference field="3" count="1" selected="0">
            <x v="14"/>
          </reference>
        </references>
      </pivotArea>
    </format>
    <format dxfId="22">
      <pivotArea collapsedLevelsAreSubtotals="1" fieldPosition="0">
        <references count="1">
          <reference field="3" count="1" selected="0">
            <x v="15"/>
          </reference>
        </references>
      </pivotArea>
    </format>
    <format dxfId="21">
      <pivotArea collapsedLevelsAreSubtotals="1" fieldPosition="0">
        <references count="1">
          <reference field="3" count="1" selected="0">
            <x v="16"/>
          </reference>
        </references>
      </pivotArea>
    </format>
    <format dxfId="20">
      <pivotArea collapsedLevelsAreSubtotals="1" fieldPosition="0">
        <references count="1">
          <reference field="3" count="1" selected="0">
            <x v="17"/>
          </reference>
        </references>
      </pivotArea>
    </format>
    <format dxfId="19">
      <pivotArea collapsedLevelsAreSubtotals="1" fieldPosition="0">
        <references count="1">
          <reference field="3" count="1" selected="0">
            <x v="18"/>
          </reference>
        </references>
      </pivotArea>
    </format>
    <format dxfId="18">
      <pivotArea collapsedLevelsAreSubtotals="1" fieldPosition="0">
        <references count="1">
          <reference field="3" count="1" selected="0">
            <x v="0"/>
          </reference>
        </references>
      </pivotArea>
    </format>
    <format dxfId="17">
      <pivotArea collapsedLevelsAreSubtotals="1" fieldPosition="0">
        <references count="1">
          <reference field="3" count="1" selected="0">
            <x v="1"/>
          </reference>
        </references>
      </pivotArea>
    </format>
    <format dxfId="16">
      <pivotArea collapsedLevelsAreSubtotals="1" fieldPosition="0">
        <references count="1">
          <reference field="3" count="1" selected="0">
            <x v="2"/>
          </reference>
        </references>
      </pivotArea>
    </format>
    <format dxfId="15">
      <pivotArea collapsedLevelsAreSubtotals="1" fieldPosition="0">
        <references count="1">
          <reference field="3" count="1" selected="0">
            <x v="3"/>
          </reference>
        </references>
      </pivotArea>
    </format>
    <format dxfId="14">
      <pivotArea collapsedLevelsAreSubtotals="1" fieldPosition="0">
        <references count="1">
          <reference field="3" count="1" selected="0">
            <x v="4"/>
          </reference>
        </references>
      </pivotArea>
    </format>
    <format dxfId="13">
      <pivotArea collapsedLevelsAreSubtotals="1" fieldPosition="0">
        <references count="1">
          <reference field="3" count="1" selected="0">
            <x v="5"/>
          </reference>
        </references>
      </pivotArea>
    </format>
    <format dxfId="12">
      <pivotArea collapsedLevelsAreSubtotals="1" fieldPosition="0">
        <references count="1">
          <reference field="3" count="1" selected="0">
            <x v="6"/>
          </reference>
        </references>
      </pivotArea>
    </format>
    <format dxfId="11">
      <pivotArea collapsedLevelsAreSubtotals="1" fieldPosition="0">
        <references count="1">
          <reference field="3" count="1" selected="0">
            <x v="7"/>
          </reference>
        </references>
      </pivotArea>
    </format>
    <format dxfId="10">
      <pivotArea collapsedLevelsAreSubtotals="1" fieldPosition="0">
        <references count="1">
          <reference field="3" count="1" selected="0">
            <x v="8"/>
          </reference>
        </references>
      </pivotArea>
    </format>
    <format dxfId="9">
      <pivotArea collapsedLevelsAreSubtotals="1" fieldPosition="0">
        <references count="1">
          <reference field="3" count="1" selected="0">
            <x v="9"/>
          </reference>
        </references>
      </pivotArea>
    </format>
    <format dxfId="8">
      <pivotArea collapsedLevelsAreSubtotals="1" fieldPosition="0">
        <references count="1">
          <reference field="3" count="1" selected="0">
            <x v="10"/>
          </reference>
        </references>
      </pivotArea>
    </format>
    <format dxfId="7">
      <pivotArea collapsedLevelsAreSubtotals="1" fieldPosition="0">
        <references count="1">
          <reference field="3" count="1" selected="0">
            <x v="11"/>
          </reference>
        </references>
      </pivotArea>
    </format>
    <format dxfId="6">
      <pivotArea collapsedLevelsAreSubtotals="1" fieldPosition="0">
        <references count="1">
          <reference field="3" count="1" selected="0">
            <x v="12"/>
          </reference>
        </references>
      </pivotArea>
    </format>
    <format dxfId="5">
      <pivotArea collapsedLevelsAreSubtotals="1" fieldPosition="0">
        <references count="1">
          <reference field="3" count="1" selected="0">
            <x v="13"/>
          </reference>
        </references>
      </pivotArea>
    </format>
    <format dxfId="4">
      <pivotArea collapsedLevelsAreSubtotals="1" fieldPosition="0">
        <references count="1">
          <reference field="3" count="1" selected="0">
            <x v="14"/>
          </reference>
        </references>
      </pivotArea>
    </format>
    <format dxfId="3">
      <pivotArea collapsedLevelsAreSubtotals="1" fieldPosition="0">
        <references count="1">
          <reference field="3" count="1" selected="0">
            <x v="15"/>
          </reference>
        </references>
      </pivotArea>
    </format>
    <format dxfId="2">
      <pivotArea collapsedLevelsAreSubtotals="1" fieldPosition="0">
        <references count="1">
          <reference field="3" count="1" selected="0">
            <x v="16"/>
          </reference>
        </references>
      </pivotArea>
    </format>
    <format dxfId="1">
      <pivotArea collapsedLevelsAreSubtotals="1" fieldPosition="0">
        <references count="1">
          <reference field="3" count="1" selected="0">
            <x v="17"/>
          </reference>
        </references>
      </pivotArea>
    </format>
    <format dxfId="0">
      <pivotArea collapsedLevelsAreSubtotals="1" fieldPosition="0">
        <references count="1">
          <reference field="3" count="1" selected="0">
            <x v="1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4000000}" name="PivotTable5" cacheId="0" applyNumberFormats="0" applyBorderFormats="0" applyFontFormats="0" applyPatternFormats="0" applyAlignmentFormats="0" applyWidthHeightFormats="1" dataCaption="Values" updatedVersion="5" minRefreshableVersion="3" useAutoFormatting="1" rowGrandTotals="0" colGrandTotals="0" createdVersion="5" indent="0" compact="0" outline="1" outlineData="1" compactData="0" multipleFieldFilters="0">
  <location ref="B22:F31" firstHeaderRow="1" firstDataRow="2" firstDataCol="1"/>
  <pivotFields count="20">
    <pivotField compact="0"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compact="0" numFmtId="167" showAll="0">
      <items count="400">
        <item x="238"/>
        <item x="71"/>
        <item x="186"/>
        <item x="322"/>
        <item x="15"/>
        <item x="255"/>
        <item x="211"/>
        <item x="53"/>
        <item x="395"/>
        <item x="358"/>
        <item x="143"/>
        <item x="54"/>
        <item x="233"/>
        <item x="43"/>
        <item x="120"/>
        <item x="222"/>
        <item x="243"/>
        <item x="94"/>
        <item x="115"/>
        <item x="192"/>
        <item x="217"/>
        <item x="201"/>
        <item x="253"/>
        <item x="166"/>
        <item x="335"/>
        <item x="394"/>
        <item x="347"/>
        <item x="64"/>
        <item x="65"/>
        <item x="50"/>
        <item x="297"/>
        <item x="292"/>
        <item x="33"/>
        <item x="140"/>
        <item x="263"/>
        <item x="280"/>
        <item x="138"/>
        <item x="58"/>
        <item x="17"/>
        <item x="362"/>
        <item x="133"/>
        <item x="308"/>
        <item x="127"/>
        <item x="177"/>
        <item x="93"/>
        <item x="245"/>
        <item x="9"/>
        <item x="381"/>
        <item x="128"/>
        <item x="105"/>
        <item x="390"/>
        <item x="318"/>
        <item x="38"/>
        <item x="183"/>
        <item x="274"/>
        <item x="104"/>
        <item x="184"/>
        <item x="239"/>
        <item x="386"/>
        <item x="171"/>
        <item x="117"/>
        <item x="181"/>
        <item x="396"/>
        <item x="398"/>
        <item x="96"/>
        <item x="293"/>
        <item x="392"/>
        <item x="345"/>
        <item x="66"/>
        <item x="241"/>
        <item x="1"/>
        <item x="357"/>
        <item x="328"/>
        <item x="352"/>
        <item x="277"/>
        <item x="311"/>
        <item x="116"/>
        <item x="299"/>
        <item x="151"/>
        <item x="249"/>
        <item x="267"/>
        <item x="203"/>
        <item x="187"/>
        <item x="121"/>
        <item x="102"/>
        <item x="388"/>
        <item x="30"/>
        <item x="226"/>
        <item x="0"/>
        <item x="69"/>
        <item x="103"/>
        <item x="91"/>
        <item x="382"/>
        <item x="129"/>
        <item x="369"/>
        <item x="141"/>
        <item x="324"/>
        <item x="343"/>
        <item x="34"/>
        <item x="346"/>
        <item x="28"/>
        <item x="350"/>
        <item x="287"/>
        <item x="208"/>
        <item x="16"/>
        <item x="24"/>
        <item x="122"/>
        <item x="374"/>
        <item x="111"/>
        <item x="229"/>
        <item x="278"/>
        <item x="110"/>
        <item x="95"/>
        <item x="170"/>
        <item x="70"/>
        <item x="149"/>
        <item x="248"/>
        <item x="90"/>
        <item x="72"/>
        <item x="135"/>
        <item x="29"/>
        <item x="334"/>
        <item x="365"/>
        <item x="237"/>
        <item x="252"/>
        <item x="158"/>
        <item x="348"/>
        <item x="307"/>
        <item x="314"/>
        <item x="112"/>
        <item x="338"/>
        <item x="19"/>
        <item x="333"/>
        <item x="344"/>
        <item x="108"/>
        <item x="131"/>
        <item x="397"/>
        <item x="153"/>
        <item x="261"/>
        <item x="282"/>
        <item x="321"/>
        <item x="74"/>
        <item x="259"/>
        <item x="56"/>
        <item x="198"/>
        <item x="231"/>
        <item x="107"/>
        <item x="262"/>
        <item x="189"/>
        <item x="301"/>
        <item x="197"/>
        <item x="62"/>
        <item x="152"/>
        <item x="266"/>
        <item x="368"/>
        <item x="242"/>
        <item x="146"/>
        <item x="60"/>
        <item x="376"/>
        <item x="136"/>
        <item x="363"/>
        <item x="85"/>
        <item x="356"/>
        <item x="309"/>
        <item x="172"/>
        <item x="48"/>
        <item x="234"/>
        <item x="296"/>
        <item x="175"/>
        <item x="323"/>
        <item x="372"/>
        <item x="144"/>
        <item x="320"/>
        <item x="387"/>
        <item x="371"/>
        <item x="86"/>
        <item x="225"/>
        <item x="199"/>
        <item x="303"/>
        <item x="12"/>
        <item x="367"/>
        <item x="173"/>
        <item x="319"/>
        <item x="219"/>
        <item x="22"/>
        <item x="212"/>
        <item x="273"/>
        <item x="206"/>
        <item x="342"/>
        <item x="134"/>
        <item x="285"/>
        <item x="75"/>
        <item x="92"/>
        <item x="351"/>
        <item x="230"/>
        <item x="257"/>
        <item x="336"/>
        <item x="312"/>
        <item x="325"/>
        <item x="26"/>
        <item x="147"/>
        <item x="32"/>
        <item x="269"/>
        <item x="379"/>
        <item x="150"/>
        <item x="79"/>
        <item x="185"/>
        <item x="370"/>
        <item x="179"/>
        <item x="168"/>
        <item x="2"/>
        <item x="18"/>
        <item x="366"/>
        <item x="385"/>
        <item x="254"/>
        <item x="330"/>
        <item x="106"/>
        <item x="68"/>
        <item x="63"/>
        <item x="61"/>
        <item x="205"/>
        <item x="286"/>
        <item x="77"/>
        <item x="256"/>
        <item x="76"/>
        <item x="25"/>
        <item x="23"/>
        <item x="288"/>
        <item x="89"/>
        <item x="383"/>
        <item x="221"/>
        <item x="210"/>
        <item x="98"/>
        <item x="384"/>
        <item x="268"/>
        <item x="145"/>
        <item x="272"/>
        <item x="7"/>
        <item x="327"/>
        <item x="377"/>
        <item x="40"/>
        <item x="142"/>
        <item x="36"/>
        <item x="46"/>
        <item x="99"/>
        <item x="31"/>
        <item x="380"/>
        <item x="55"/>
        <item x="195"/>
        <item x="109"/>
        <item x="154"/>
        <item x="176"/>
        <item x="279"/>
        <item x="10"/>
        <item x="276"/>
        <item x="331"/>
        <item x="306"/>
        <item x="165"/>
        <item x="317"/>
        <item x="47"/>
        <item x="204"/>
        <item x="329"/>
        <item x="236"/>
        <item x="78"/>
        <item x="119"/>
        <item x="100"/>
        <item x="295"/>
        <item x="87"/>
        <item x="304"/>
        <item x="3"/>
        <item x="194"/>
        <item x="4"/>
        <item x="84"/>
        <item x="332"/>
        <item x="300"/>
        <item x="5"/>
        <item x="80"/>
        <item x="313"/>
        <item x="81"/>
        <item x="224"/>
        <item x="14"/>
        <item x="49"/>
        <item x="193"/>
        <item x="240"/>
        <item x="35"/>
        <item x="271"/>
        <item x="169"/>
        <item x="291"/>
        <item x="42"/>
        <item x="246"/>
        <item x="244"/>
        <item x="305"/>
        <item x="284"/>
        <item x="164"/>
        <item x="316"/>
        <item x="373"/>
        <item x="228"/>
        <item x="355"/>
        <item x="137"/>
        <item x="124"/>
        <item x="67"/>
        <item x="250"/>
        <item x="264"/>
        <item x="82"/>
        <item x="360"/>
        <item x="97"/>
        <item x="378"/>
        <item x="353"/>
        <item x="289"/>
        <item x="251"/>
        <item x="101"/>
        <item x="83"/>
        <item x="163"/>
        <item x="214"/>
        <item x="270"/>
        <item x="283"/>
        <item x="20"/>
        <item x="125"/>
        <item x="39"/>
        <item x="126"/>
        <item x="156"/>
        <item x="209"/>
        <item x="8"/>
        <item x="190"/>
        <item x="326"/>
        <item x="294"/>
        <item x="51"/>
        <item x="182"/>
        <item x="188"/>
        <item x="393"/>
        <item x="216"/>
        <item x="341"/>
        <item x="27"/>
        <item x="361"/>
        <item x="73"/>
        <item x="265"/>
        <item x="130"/>
        <item x="196"/>
        <item x="157"/>
        <item x="88"/>
        <item x="113"/>
        <item x="391"/>
        <item x="159"/>
        <item x="178"/>
        <item x="162"/>
        <item x="118"/>
        <item x="207"/>
        <item x="155"/>
        <item x="275"/>
        <item x="298"/>
        <item x="6"/>
        <item x="227"/>
        <item x="260"/>
        <item x="52"/>
        <item x="132"/>
        <item x="57"/>
        <item x="302"/>
        <item x="123"/>
        <item x="290"/>
        <item x="13"/>
        <item x="359"/>
        <item x="21"/>
        <item x="337"/>
        <item x="232"/>
        <item x="148"/>
        <item x="389"/>
        <item x="41"/>
        <item x="200"/>
        <item x="44"/>
        <item x="191"/>
        <item x="340"/>
        <item x="213"/>
        <item x="349"/>
        <item x="218"/>
        <item x="114"/>
        <item x="167"/>
        <item x="310"/>
        <item x="354"/>
        <item x="215"/>
        <item x="11"/>
        <item x="202"/>
        <item x="375"/>
        <item x="281"/>
        <item x="174"/>
        <item x="139"/>
        <item x="37"/>
        <item x="220"/>
        <item x="247"/>
        <item x="161"/>
        <item x="315"/>
        <item x="59"/>
        <item x="180"/>
        <item x="160"/>
        <item x="223"/>
        <item x="364"/>
        <item x="339"/>
        <item x="235"/>
        <item x="45"/>
        <item x="258"/>
        <item t="default"/>
      </items>
    </pivotField>
    <pivotField axis="axisRow" compact="0" multipleItemSelectionAllowed="1" showAll="0">
      <items count="10">
        <item h="1" m="1" x="8"/>
        <item x="2"/>
        <item x="3"/>
        <item x="0"/>
        <item x="6"/>
        <item x="7"/>
        <item x="1"/>
        <item x="4"/>
        <item x="5"/>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dataField="1" compact="0" showAll="0">
      <items count="466">
        <item x="87"/>
        <item x="179"/>
        <item x="213"/>
        <item x="432"/>
        <item x="379"/>
        <item x="122"/>
        <item x="366"/>
        <item x="139"/>
        <item x="271"/>
        <item x="140"/>
        <item x="159"/>
        <item x="384"/>
        <item x="248"/>
        <item x="342"/>
        <item x="292"/>
        <item x="405"/>
        <item x="314"/>
        <item x="238"/>
        <item x="130"/>
        <item x="268"/>
        <item x="440"/>
        <item x="177"/>
        <item x="378"/>
        <item x="222"/>
        <item x="112"/>
        <item x="77"/>
        <item x="20"/>
        <item x="50"/>
        <item x="5"/>
        <item x="51"/>
        <item x="97"/>
        <item x="235"/>
        <item x="49"/>
        <item x="263"/>
        <item x="118"/>
        <item x="231"/>
        <item x="448"/>
        <item x="234"/>
        <item x="129"/>
        <item x="74"/>
        <item x="447"/>
        <item x="62"/>
        <item x="294"/>
        <item x="358"/>
        <item x="310"/>
        <item x="286"/>
        <item x="99"/>
        <item x="68"/>
        <item x="35"/>
        <item x="330"/>
        <item x="372"/>
        <item x="383"/>
        <item x="297"/>
        <item x="46"/>
        <item x="291"/>
        <item x="301"/>
        <item x="313"/>
        <item x="230"/>
        <item x="355"/>
        <item x="237"/>
        <item x="425"/>
        <item x="264"/>
        <item x="79"/>
        <item x="226"/>
        <item x="408"/>
        <item x="70"/>
        <item x="160"/>
        <item x="135"/>
        <item x="167"/>
        <item x="368"/>
        <item x="191"/>
        <item x="7"/>
        <item x="455"/>
        <item x="283"/>
        <item x="95"/>
        <item x="24"/>
        <item x="183"/>
        <item x="400"/>
        <item x="67"/>
        <item x="338"/>
        <item x="257"/>
        <item x="205"/>
        <item x="173"/>
        <item x="256"/>
        <item x="306"/>
        <item x="189"/>
        <item x="280"/>
        <item x="326"/>
        <item x="198"/>
        <item x="373"/>
        <item x="380"/>
        <item x="184"/>
        <item x="172"/>
        <item x="123"/>
        <item x="429"/>
        <item x="156"/>
        <item x="290"/>
        <item x="199"/>
        <item x="300"/>
        <item x="275"/>
        <item x="274"/>
        <item x="369"/>
        <item x="228"/>
        <item x="337"/>
        <item x="174"/>
        <item x="334"/>
        <item x="163"/>
        <item x="247"/>
        <item x="110"/>
        <item x="371"/>
        <item x="25"/>
        <item x="353"/>
        <item x="351"/>
        <item x="78"/>
        <item x="33"/>
        <item x="352"/>
        <item x="348"/>
        <item x="261"/>
        <item x="398"/>
        <item x="463"/>
        <item x="186"/>
        <item x="454"/>
        <item x="403"/>
        <item x="236"/>
        <item x="406"/>
        <item x="76"/>
        <item x="422"/>
        <item x="459"/>
        <item x="89"/>
        <item x="136"/>
        <item x="420"/>
        <item x="396"/>
        <item x="220"/>
        <item x="44"/>
        <item x="258"/>
        <item x="449"/>
        <item x="269"/>
        <item x="90"/>
        <item x="276"/>
        <item x="22"/>
        <item x="401"/>
        <item x="442"/>
        <item x="58"/>
        <item x="441"/>
        <item x="464"/>
        <item x="219"/>
        <item x="203"/>
        <item x="61"/>
        <item x="438"/>
        <item x="363"/>
        <item x="328"/>
        <item x="316"/>
        <item x="18"/>
        <item x="180"/>
        <item x="116"/>
        <item x="28"/>
        <item x="277"/>
        <item x="88"/>
        <item x="374"/>
        <item x="287"/>
        <item x="394"/>
        <item x="196"/>
        <item x="273"/>
        <item x="439"/>
        <item x="208"/>
        <item x="40"/>
        <item x="65"/>
        <item x="153"/>
        <item x="424"/>
        <item x="214"/>
        <item x="105"/>
        <item x="381"/>
        <item x="117"/>
        <item x="154"/>
        <item x="86"/>
        <item x="42"/>
        <item x="450"/>
        <item x="10"/>
        <item x="55"/>
        <item x="240"/>
        <item x="324"/>
        <item x="13"/>
        <item x="304"/>
        <item x="336"/>
        <item x="102"/>
        <item x="168"/>
        <item x="144"/>
        <item x="91"/>
        <item x="323"/>
        <item x="242"/>
        <item x="341"/>
        <item x="451"/>
        <item x="158"/>
        <item x="83"/>
        <item x="14"/>
        <item x="331"/>
        <item x="413"/>
        <item x="345"/>
        <item x="445"/>
        <item x="59"/>
        <item x="204"/>
        <item x="296"/>
        <item x="311"/>
        <item x="202"/>
        <item x="281"/>
        <item x="161"/>
        <item x="32"/>
        <item x="343"/>
        <item x="84"/>
        <item x="64"/>
        <item x="397"/>
        <item x="254"/>
        <item x="207"/>
        <item x="416"/>
        <item x="367"/>
        <item x="157"/>
        <item x="12"/>
        <item x="27"/>
        <item x="415"/>
        <item x="417"/>
        <item x="9"/>
        <item x="211"/>
        <item x="137"/>
        <item x="176"/>
        <item x="93"/>
        <item x="392"/>
        <item x="29"/>
        <item x="170"/>
        <item x="150"/>
        <item x="370"/>
        <item x="124"/>
        <item x="461"/>
        <item x="215"/>
        <item x="152"/>
        <item x="216"/>
        <item x="195"/>
        <item x="131"/>
        <item x="460"/>
        <item x="267"/>
        <item x="327"/>
        <item x="15"/>
        <item x="81"/>
        <item x="308"/>
        <item x="295"/>
        <item x="212"/>
        <item x="66"/>
        <item x="359"/>
        <item x="354"/>
        <item x="282"/>
        <item x="16"/>
        <item x="332"/>
        <item x="245"/>
        <item x="357"/>
        <item x="134"/>
        <item x="435"/>
        <item x="404"/>
        <item x="298"/>
        <item x="407"/>
        <item x="315"/>
        <item x="126"/>
        <item x="200"/>
        <item x="82"/>
        <item x="138"/>
        <item x="11"/>
        <item x="285"/>
        <item x="223"/>
        <item x="60"/>
        <item x="456"/>
        <item x="312"/>
        <item x="389"/>
        <item x="265"/>
        <item x="229"/>
        <item x="165"/>
        <item x="239"/>
        <item x="47"/>
        <item x="427"/>
        <item x="395"/>
        <item x="419"/>
        <item x="148"/>
        <item x="111"/>
        <item x="284"/>
        <item x="210"/>
        <item x="377"/>
        <item x="266"/>
        <item x="250"/>
        <item x="53"/>
        <item x="288"/>
        <item x="344"/>
        <item x="303"/>
        <item x="340"/>
        <item x="444"/>
        <item x="365"/>
        <item x="132"/>
        <item x="421"/>
        <item x="225"/>
        <item x="364"/>
        <item x="193"/>
        <item x="119"/>
        <item x="162"/>
        <item x="411"/>
        <item x="243"/>
        <item x="48"/>
        <item x="34"/>
        <item x="307"/>
        <item x="57"/>
        <item x="428"/>
        <item x="431"/>
        <item x="227"/>
        <item x="376"/>
        <item x="335"/>
        <item x="418"/>
        <item x="339"/>
        <item x="45"/>
        <item x="252"/>
        <item x="127"/>
        <item x="107"/>
        <item x="322"/>
        <item x="217"/>
        <item x="244"/>
        <item x="96"/>
        <item x="37"/>
        <item x="73"/>
        <item x="289"/>
        <item x="349"/>
        <item x="399"/>
        <item x="385"/>
        <item x="145"/>
        <item x="458"/>
        <item x="387"/>
        <item x="453"/>
        <item x="382"/>
        <item x="305"/>
        <item x="278"/>
        <item x="31"/>
        <item x="293"/>
        <item x="146"/>
        <item x="309"/>
        <item x="72"/>
        <item x="151"/>
        <item x="0"/>
        <item x="436"/>
        <item x="106"/>
        <item x="121"/>
        <item x="182"/>
        <item x="155"/>
        <item x="414"/>
        <item x="75"/>
        <item x="361"/>
        <item x="402"/>
        <item x="347"/>
        <item x="21"/>
        <item x="329"/>
        <item x="1"/>
        <item x="249"/>
        <item x="133"/>
        <item x="43"/>
        <item x="101"/>
        <item x="430"/>
        <item x="253"/>
        <item x="393"/>
        <item x="94"/>
        <item x="194"/>
        <item x="320"/>
        <item x="113"/>
        <item x="325"/>
        <item x="166"/>
        <item x="346"/>
        <item x="41"/>
        <item x="255"/>
        <item x="109"/>
        <item x="233"/>
        <item x="270"/>
        <item x="206"/>
        <item x="232"/>
        <item x="224"/>
        <item x="181"/>
        <item x="143"/>
        <item x="141"/>
        <item x="375"/>
        <item x="17"/>
        <item x="185"/>
        <item x="260"/>
        <item x="446"/>
        <item x="443"/>
        <item x="125"/>
        <item x="23"/>
        <item x="360"/>
        <item x="251"/>
        <item x="279"/>
        <item x="6"/>
        <item x="318"/>
        <item x="272"/>
        <item x="259"/>
        <item x="114"/>
        <item x="69"/>
        <item x="386"/>
        <item x="423"/>
        <item x="188"/>
        <item x="433"/>
        <item x="452"/>
        <item x="412"/>
        <item x="120"/>
        <item x="36"/>
        <item x="63"/>
        <item x="30"/>
        <item x="4"/>
        <item x="8"/>
        <item x="92"/>
        <item x="356"/>
        <item x="164"/>
        <item x="104"/>
        <item x="149"/>
        <item x="434"/>
        <item x="39"/>
        <item x="388"/>
        <item x="115"/>
        <item x="437"/>
        <item x="178"/>
        <item x="241"/>
        <item x="321"/>
        <item x="142"/>
        <item x="171"/>
        <item x="26"/>
        <item x="100"/>
        <item x="175"/>
        <item x="317"/>
        <item x="201"/>
        <item x="209"/>
        <item x="350"/>
        <item x="218"/>
        <item x="192"/>
        <item x="390"/>
        <item x="462"/>
        <item x="197"/>
        <item x="362"/>
        <item x="190"/>
        <item x="409"/>
        <item x="426"/>
        <item x="299"/>
        <item x="128"/>
        <item x="52"/>
        <item x="187"/>
        <item x="80"/>
        <item x="333"/>
        <item x="103"/>
        <item x="98"/>
        <item x="2"/>
        <item x="457"/>
        <item x="410"/>
        <item x="169"/>
        <item x="71"/>
        <item x="302"/>
        <item x="38"/>
        <item x="85"/>
        <item x="56"/>
        <item x="262"/>
        <item x="319"/>
        <item x="3"/>
        <item x="246"/>
        <item x="147"/>
        <item x="19"/>
        <item x="221"/>
        <item x="391"/>
        <item x="108"/>
        <item x="54"/>
        <item t="default"/>
      </items>
    </pivotField>
    <pivotField axis="axisCol" compact="0" showAll="0">
      <items count="6">
        <item x="1"/>
        <item x="2"/>
        <item x="0"/>
        <item m="1" x="4"/>
        <item x="3"/>
        <item t="default"/>
      </items>
    </pivotField>
    <pivotField compact="0" showAll="0"/>
    <pivotField compact="0" showAll="0"/>
    <pivotField compact="0" showAll="0"/>
    <pivotField compact="0" showAll="0"/>
    <pivotField compact="0" showAll="0"/>
    <pivotField compact="0" showAll="0"/>
  </pivotFields>
  <rowFields count="1">
    <field x="2"/>
  </rowFields>
  <rowItems count="8">
    <i>
      <x v="1"/>
    </i>
    <i>
      <x v="2"/>
    </i>
    <i>
      <x v="3"/>
    </i>
    <i>
      <x v="4"/>
    </i>
    <i>
      <x v="5"/>
    </i>
    <i>
      <x v="6"/>
    </i>
    <i>
      <x v="7"/>
    </i>
    <i>
      <x v="8"/>
    </i>
  </rowItems>
  <colFields count="1">
    <field x="13"/>
  </colFields>
  <colItems count="4">
    <i>
      <x/>
    </i>
    <i>
      <x v="1"/>
    </i>
    <i>
      <x v="2"/>
    </i>
    <i>
      <x v="4"/>
    </i>
  </colItems>
  <dataFields count="1">
    <dataField name="Average of Ticket Price" fld="12" subtotal="average" baseField="0" baseItem="0"/>
  </dataFields>
  <formats count="5">
    <format dxfId="118">
      <pivotArea collapsedLevelsAreSubtotals="1" fieldPosition="0"/>
    </format>
    <format dxfId="117">
      <pivotArea collapsedLevelsAreSubtotals="1" fieldPosition="0"/>
    </format>
    <format dxfId="116">
      <pivotArea collapsedLevelsAreSubtotals="1" fieldPosition="0"/>
    </format>
    <format dxfId="115">
      <pivotArea collapsedLevelsAreSubtotals="1" fieldPosition="0"/>
    </format>
    <format dxfId="114">
      <pivotArea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ivotTable15" cacheId="1" applyNumberFormats="0" applyBorderFormats="0" applyFontFormats="0" applyPatternFormats="0" applyAlignmentFormats="0" applyWidthHeightFormats="1" dataCaption="Values" updatedVersion="5" minRefreshableVersion="3" useAutoFormatting="1" createdVersion="5" indent="0" compact="0" outline="1" outlineData="1" compactData="0" multipleFieldFilters="0">
  <location ref="B138:C143" firstHeaderRow="1" firstDataRow="1" firstDataCol="1"/>
  <pivotFields count="15">
    <pivotField compact="0"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compact="0"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compact="0" showAll="0">
      <items count="21">
        <item x="14"/>
        <item x="0"/>
        <item x="16"/>
        <item x="1"/>
        <item x="9"/>
        <item x="17"/>
        <item x="6"/>
        <item x="10"/>
        <item x="15"/>
        <item x="8"/>
        <item x="11"/>
        <item x="13"/>
        <item x="19"/>
        <item x="2"/>
        <item x="7"/>
        <item x="4"/>
        <item x="12"/>
        <item x="3"/>
        <item x="18"/>
        <item x="5"/>
        <item t="default"/>
      </items>
    </pivotField>
    <pivotField compact="0" showAll="0">
      <items count="10">
        <item m="1" x="8"/>
        <item x="2"/>
        <item x="3"/>
        <item x="0"/>
        <item x="6"/>
        <item x="7"/>
        <item x="1"/>
        <item x="4"/>
        <item x="5"/>
        <item t="default"/>
      </items>
    </pivotField>
    <pivotField compact="0" showAll="0">
      <items count="501">
        <item x="258"/>
        <item x="178"/>
        <item x="395"/>
        <item x="337"/>
        <item x="199"/>
        <item x="473"/>
        <item x="159"/>
        <item x="242"/>
        <item x="411"/>
        <item x="481"/>
        <item x="113"/>
        <item x="366"/>
        <item x="318"/>
        <item x="251"/>
        <item x="410"/>
        <item x="197"/>
        <item x="314"/>
        <item x="465"/>
        <item x="415"/>
        <item x="283"/>
        <item x="353"/>
        <item x="303"/>
        <item x="158"/>
        <item x="277"/>
        <item x="135"/>
        <item x="268"/>
        <item x="362"/>
        <item x="276"/>
        <item x="310"/>
        <item x="250"/>
        <item x="233"/>
        <item x="311"/>
        <item x="179"/>
        <item x="437"/>
        <item x="480"/>
        <item x="291"/>
        <item x="255"/>
        <item x="193"/>
        <item x="248"/>
        <item x="186"/>
        <item x="94"/>
        <item x="38"/>
        <item x="89"/>
        <item x="5"/>
        <item x="102"/>
        <item x="93"/>
        <item x="211"/>
        <item x="312"/>
        <item x="46"/>
        <item x="92"/>
        <item x="139"/>
        <item x="373"/>
        <item x="64"/>
        <item x="175"/>
        <item x="349"/>
        <item x="397"/>
        <item x="385"/>
        <item x="499"/>
        <item x="127"/>
        <item x="146"/>
        <item x="300"/>
        <item x="284"/>
        <item x="432"/>
        <item x="403"/>
        <item x="306"/>
        <item x="288"/>
        <item x="219"/>
        <item x="24"/>
        <item x="147"/>
        <item x="336"/>
        <item x="140"/>
        <item x="453"/>
        <item x="428"/>
        <item x="37"/>
        <item x="62"/>
        <item x="200"/>
        <item x="328"/>
        <item x="76"/>
        <item x="430"/>
        <item x="223"/>
        <item x="115"/>
        <item x="129"/>
        <item x="82"/>
        <item x="440"/>
        <item x="416"/>
        <item x="354"/>
        <item x="489"/>
        <item x="281"/>
        <item x="231"/>
        <item x="63"/>
        <item x="433"/>
        <item x="187"/>
        <item x="41"/>
        <item x="257"/>
        <item x="278"/>
        <item x="111"/>
        <item x="30"/>
        <item x="45"/>
        <item x="172"/>
        <item x="365"/>
        <item x="194"/>
        <item x="153"/>
        <item x="173"/>
        <item x="206"/>
        <item x="402"/>
        <item x="334"/>
        <item x="33"/>
        <item x="106"/>
        <item x="203"/>
        <item x="305"/>
        <item x="57"/>
        <item x="59"/>
        <item x="239"/>
        <item x="287"/>
        <item x="31"/>
        <item x="426"/>
        <item x="333"/>
        <item x="96"/>
        <item x="429"/>
        <item x="483"/>
        <item x="218"/>
        <item x="493"/>
        <item x="79"/>
        <item x="371"/>
        <item x="357"/>
        <item x="351"/>
        <item x="458"/>
        <item x="21"/>
        <item x="58"/>
        <item x="171"/>
        <item x="346"/>
        <item x="360"/>
        <item x="494"/>
        <item x="48"/>
        <item x="457"/>
        <item x="398"/>
        <item x="490"/>
        <item x="298"/>
        <item x="345"/>
        <item x="215"/>
        <item x="294"/>
        <item x="7"/>
        <item x="236"/>
        <item x="234"/>
        <item x="438"/>
        <item x="338"/>
        <item x="10"/>
        <item x="307"/>
        <item x="449"/>
        <item x="269"/>
        <item x="462"/>
        <item x="322"/>
        <item x="260"/>
        <item x="237"/>
        <item x="252"/>
        <item x="84"/>
        <item x="265"/>
        <item x="382"/>
        <item x="192"/>
        <item x="98"/>
        <item x="176"/>
        <item x="12"/>
        <item x="262"/>
        <item x="495"/>
        <item x="412"/>
        <item x="267"/>
        <item x="380"/>
        <item x="424"/>
        <item x="224"/>
        <item x="80"/>
        <item x="321"/>
        <item x="498"/>
        <item x="350"/>
        <item x="492"/>
        <item x="121"/>
        <item x="455"/>
        <item x="22"/>
        <item x="304"/>
        <item x="17"/>
        <item x="325"/>
        <item x="85"/>
        <item x="435"/>
        <item x="488"/>
        <item x="486"/>
        <item x="177"/>
        <item x="289"/>
        <item x="204"/>
        <item x="369"/>
        <item x="463"/>
        <item x="477"/>
        <item x="107"/>
        <item x="118"/>
        <item x="53"/>
        <item x="243"/>
        <item x="81"/>
        <item x="143"/>
        <item x="254"/>
        <item x="26"/>
        <item x="181"/>
        <item x="191"/>
        <item x="436"/>
        <item x="454"/>
        <item x="256"/>
        <item x="209"/>
        <item x="342"/>
        <item x="202"/>
        <item x="329"/>
        <item x="261"/>
        <item x="372"/>
        <item x="25"/>
        <item x="123"/>
        <item x="297"/>
        <item x="23"/>
        <item x="246"/>
        <item x="103"/>
        <item x="130"/>
        <item x="390"/>
        <item x="42"/>
        <item x="471"/>
        <item x="18"/>
        <item x="14"/>
        <item x="128"/>
        <item x="125"/>
        <item x="406"/>
        <item x="434"/>
        <item x="196"/>
        <item x="34"/>
        <item x="301"/>
        <item x="377"/>
        <item x="20"/>
        <item x="225"/>
        <item x="169"/>
        <item x="133"/>
        <item x="478"/>
        <item x="205"/>
        <item x="70"/>
        <item x="326"/>
        <item x="235"/>
        <item x="339"/>
        <item x="401"/>
        <item x="392"/>
        <item x="71"/>
        <item x="144"/>
        <item x="154"/>
        <item x="482"/>
        <item x="472"/>
        <item x="396"/>
        <item x="55"/>
        <item x="295"/>
        <item x="150"/>
        <item x="105"/>
        <item x="375"/>
        <item x="101"/>
        <item x="2"/>
        <item x="308"/>
        <item x="245"/>
        <item x="343"/>
        <item x="290"/>
        <item x="391"/>
        <item x="456"/>
        <item x="221"/>
        <item x="134"/>
        <item x="441"/>
        <item x="286"/>
        <item x="44"/>
        <item x="309"/>
        <item x="388"/>
        <item x="431"/>
        <item x="174"/>
        <item x="484"/>
        <item x="359"/>
        <item x="160"/>
        <item x="78"/>
        <item x="274"/>
        <item x="189"/>
        <item x="419"/>
        <item x="61"/>
        <item x="216"/>
        <item x="340"/>
        <item x="487"/>
        <item x="148"/>
        <item x="141"/>
        <item x="19"/>
        <item x="313"/>
        <item x="151"/>
        <item x="152"/>
        <item x="408"/>
        <item x="222"/>
        <item x="292"/>
        <item x="124"/>
        <item x="114"/>
        <item x="16"/>
        <item x="99"/>
        <item x="491"/>
        <item x="423"/>
        <item x="35"/>
        <item x="27"/>
        <item x="164"/>
        <item x="110"/>
        <item x="157"/>
        <item x="293"/>
        <item x="368"/>
        <item x="15"/>
        <item x="263"/>
        <item x="0"/>
        <item x="68"/>
        <item x="378"/>
        <item x="228"/>
        <item x="195"/>
        <item x="384"/>
        <item x="450"/>
        <item x="452"/>
        <item x="361"/>
        <item x="355"/>
        <item x="381"/>
        <item x="327"/>
        <item x="379"/>
        <item x="386"/>
        <item x="180"/>
        <item x="182"/>
        <item x="39"/>
        <item x="259"/>
        <item x="8"/>
        <item x="155"/>
        <item x="421"/>
        <item x="348"/>
        <item x="184"/>
        <item x="13"/>
        <item x="347"/>
        <item x="270"/>
        <item x="226"/>
        <item x="275"/>
        <item x="74"/>
        <item x="220"/>
        <item x="136"/>
        <item x="104"/>
        <item x="445"/>
        <item x="28"/>
        <item x="447"/>
        <item x="420"/>
        <item x="335"/>
        <item x="87"/>
        <item x="264"/>
        <item x="112"/>
        <item x="413"/>
        <item x="56"/>
        <item x="474"/>
        <item x="73"/>
        <item x="475"/>
        <item x="352"/>
        <item x="479"/>
        <item x="296"/>
        <item x="399"/>
        <item x="47"/>
        <item x="317"/>
        <item x="170"/>
        <item x="330"/>
        <item x="324"/>
        <item x="364"/>
        <item x="165"/>
        <item x="91"/>
        <item x="9"/>
        <item x="40"/>
        <item x="75"/>
        <item x="117"/>
        <item x="183"/>
        <item x="230"/>
        <item x="469"/>
        <item x="163"/>
        <item x="49"/>
        <item x="240"/>
        <item x="90"/>
        <item x="11"/>
        <item x="285"/>
        <item x="331"/>
        <item x="241"/>
        <item x="404"/>
        <item x="6"/>
        <item x="323"/>
        <item x="302"/>
        <item x="394"/>
        <item x="383"/>
        <item x="332"/>
        <item x="393"/>
        <item x="232"/>
        <item x="86"/>
        <item x="271"/>
        <item x="201"/>
        <item x="4"/>
        <item x="229"/>
        <item x="273"/>
        <item x="168"/>
        <item x="36"/>
        <item x="217"/>
        <item x="162"/>
        <item x="389"/>
        <item x="120"/>
        <item x="467"/>
        <item x="400"/>
        <item x="138"/>
        <item x="97"/>
        <item x="319"/>
        <item x="367"/>
        <item x="1"/>
        <item x="439"/>
        <item x="109"/>
        <item x="282"/>
        <item x="3"/>
        <item x="247"/>
        <item x="122"/>
        <item x="356"/>
        <item x="60"/>
        <item x="358"/>
        <item x="497"/>
        <item x="185"/>
        <item x="227"/>
        <item x="409"/>
        <item x="496"/>
        <item x="448"/>
        <item x="446"/>
        <item x="459"/>
        <item x="460"/>
        <item x="116"/>
        <item x="387"/>
        <item x="249"/>
        <item x="466"/>
        <item x="161"/>
        <item x="425"/>
        <item x="316"/>
        <item x="266"/>
        <item x="374"/>
        <item x="376"/>
        <item x="72"/>
        <item x="443"/>
        <item x="405"/>
        <item x="149"/>
        <item x="418"/>
        <item x="427"/>
        <item x="100"/>
        <item x="66"/>
        <item x="315"/>
        <item x="137"/>
        <item x="476"/>
        <item x="29"/>
        <item x="167"/>
        <item x="213"/>
        <item x="190"/>
        <item x="279"/>
        <item x="464"/>
        <item x="417"/>
        <item x="131"/>
        <item x="363"/>
        <item x="370"/>
        <item x="52"/>
        <item x="341"/>
        <item x="238"/>
        <item x="344"/>
        <item x="451"/>
        <item x="422"/>
        <item x="142"/>
        <item x="156"/>
        <item x="126"/>
        <item x="253"/>
        <item x="43"/>
        <item x="468"/>
        <item x="54"/>
        <item x="65"/>
        <item x="244"/>
        <item x="207"/>
        <item x="166"/>
        <item x="414"/>
        <item x="108"/>
        <item x="145"/>
        <item x="214"/>
        <item x="461"/>
        <item x="280"/>
        <item x="212"/>
        <item x="210"/>
        <item x="50"/>
        <item x="444"/>
        <item x="208"/>
        <item x="132"/>
        <item x="407"/>
        <item x="299"/>
        <item x="88"/>
        <item x="32"/>
        <item x="470"/>
        <item x="272"/>
        <item x="442"/>
        <item x="77"/>
        <item x="83"/>
        <item x="485"/>
        <item x="188"/>
        <item x="95"/>
        <item x="51"/>
        <item x="67"/>
        <item x="198"/>
        <item x="320"/>
        <item x="119"/>
        <item x="69"/>
        <item t="default"/>
      </items>
    </pivotField>
    <pivotField compact="0" showAll="0">
      <items count="501">
        <item x="258"/>
        <item x="242"/>
        <item x="178"/>
        <item x="366"/>
        <item x="473"/>
        <item x="113"/>
        <item x="410"/>
        <item x="277"/>
        <item x="158"/>
        <item x="199"/>
        <item x="465"/>
        <item x="318"/>
        <item x="353"/>
        <item x="362"/>
        <item x="311"/>
        <item x="197"/>
        <item x="193"/>
        <item x="5"/>
        <item x="291"/>
        <item x="480"/>
        <item x="179"/>
        <item x="159"/>
        <item x="303"/>
        <item x="268"/>
        <item x="186"/>
        <item x="233"/>
        <item x="93"/>
        <item x="251"/>
        <item x="411"/>
        <item x="211"/>
        <item x="385"/>
        <item x="337"/>
        <item x="415"/>
        <item x="250"/>
        <item x="300"/>
        <item x="255"/>
        <item x="283"/>
        <item x="175"/>
        <item x="146"/>
        <item x="38"/>
        <item x="276"/>
        <item x="46"/>
        <item x="328"/>
        <item x="397"/>
        <item x="172"/>
        <item x="62"/>
        <item x="45"/>
        <item x="336"/>
        <item x="200"/>
        <item x="354"/>
        <item x="102"/>
        <item x="440"/>
        <item x="140"/>
        <item x="24"/>
        <item x="82"/>
        <item x="287"/>
        <item x="203"/>
        <item x="453"/>
        <item x="428"/>
        <item x="432"/>
        <item x="76"/>
        <item x="115"/>
        <item x="218"/>
        <item x="493"/>
        <item x="63"/>
        <item x="21"/>
        <item x="490"/>
        <item x="234"/>
        <item x="395"/>
        <item x="294"/>
        <item x="31"/>
        <item x="127"/>
        <item x="449"/>
        <item x="257"/>
        <item x="129"/>
        <item x="462"/>
        <item x="457"/>
        <item x="153"/>
        <item x="59"/>
        <item x="429"/>
        <item x="231"/>
        <item x="481"/>
        <item x="33"/>
        <item x="398"/>
        <item x="365"/>
        <item x="92"/>
        <item x="310"/>
        <item x="333"/>
        <item x="239"/>
        <item x="265"/>
        <item x="30"/>
        <item x="334"/>
        <item x="252"/>
        <item x="351"/>
        <item x="412"/>
        <item x="438"/>
        <item x="350"/>
        <item x="435"/>
        <item x="346"/>
        <item x="243"/>
        <item x="288"/>
        <item x="176"/>
        <item x="312"/>
        <item x="371"/>
        <item x="455"/>
        <item x="18"/>
        <item x="135"/>
        <item x="12"/>
        <item x="321"/>
        <item x="278"/>
        <item x="284"/>
        <item x="372"/>
        <item x="187"/>
        <item x="219"/>
        <item x="499"/>
        <item x="41"/>
        <item x="224"/>
        <item x="133"/>
        <item x="173"/>
        <item x="357"/>
        <item x="325"/>
        <item x="98"/>
        <item x="298"/>
        <item x="118"/>
        <item x="426"/>
        <item x="402"/>
        <item x="248"/>
        <item x="392"/>
        <item x="81"/>
        <item x="401"/>
        <item x="488"/>
        <item x="64"/>
        <item x="23"/>
        <item x="25"/>
        <item x="205"/>
        <item x="260"/>
        <item x="486"/>
        <item x="390"/>
        <item x="478"/>
        <item x="20"/>
        <item x="89"/>
        <item x="37"/>
        <item x="42"/>
        <item x="471"/>
        <item x="441"/>
        <item x="55"/>
        <item x="223"/>
        <item x="143"/>
        <item x="144"/>
        <item x="154"/>
        <item x="139"/>
        <item x="79"/>
        <item x="121"/>
        <item x="128"/>
        <item x="314"/>
        <item x="472"/>
        <item x="48"/>
        <item x="192"/>
        <item x="101"/>
        <item x="269"/>
        <item x="256"/>
        <item x="169"/>
        <item x="456"/>
        <item x="340"/>
        <item x="338"/>
        <item x="70"/>
        <item x="431"/>
        <item x="286"/>
        <item x="484"/>
        <item x="349"/>
        <item x="103"/>
        <item x="181"/>
        <item x="322"/>
        <item x="61"/>
        <item x="463"/>
        <item x="151"/>
        <item x="406"/>
        <item x="313"/>
        <item x="306"/>
        <item x="263"/>
        <item x="106"/>
        <item x="141"/>
        <item x="436"/>
        <item x="419"/>
        <item x="114"/>
        <item x="290"/>
        <item x="7"/>
        <item x="134"/>
        <item x="347"/>
        <item x="196"/>
        <item x="494"/>
        <item x="487"/>
        <item x="160"/>
        <item x="34"/>
        <item x="377"/>
        <item x="10"/>
        <item x="378"/>
        <item x="57"/>
        <item x="477"/>
        <item x="245"/>
        <item x="275"/>
        <item x="228"/>
        <item x="293"/>
        <item x="246"/>
        <item x="125"/>
        <item x="216"/>
        <item x="94"/>
        <item x="369"/>
        <item x="380"/>
        <item x="157"/>
        <item x="498"/>
        <item x="373"/>
        <item x="180"/>
        <item x="209"/>
        <item x="324"/>
        <item x="335"/>
        <item x="495"/>
        <item x="13"/>
        <item x="206"/>
        <item x="80"/>
        <item x="433"/>
        <item x="339"/>
        <item x="329"/>
        <item x="112"/>
        <item x="164"/>
        <item x="254"/>
        <item x="479"/>
        <item x="17"/>
        <item x="170"/>
        <item x="416"/>
        <item x="147"/>
        <item x="274"/>
        <item x="301"/>
        <item x="189"/>
        <item x="391"/>
        <item x="413"/>
        <item x="355"/>
        <item x="450"/>
        <item x="360"/>
        <item x="482"/>
        <item x="152"/>
        <item x="327"/>
        <item x="323"/>
        <item x="222"/>
        <item x="111"/>
        <item x="437"/>
        <item x="220"/>
        <item x="259"/>
        <item x="225"/>
        <item x="273"/>
        <item x="182"/>
        <item x="331"/>
        <item x="292"/>
        <item x="201"/>
        <item x="163"/>
        <item x="44"/>
        <item x="383"/>
        <item x="271"/>
        <item x="22"/>
        <item x="130"/>
        <item x="430"/>
        <item x="396"/>
        <item x="489"/>
        <item x="171"/>
        <item x="184"/>
        <item x="458"/>
        <item x="74"/>
        <item x="491"/>
        <item x="469"/>
        <item x="296"/>
        <item x="267"/>
        <item x="85"/>
        <item x="475"/>
        <item x="221"/>
        <item x="109"/>
        <item x="53"/>
        <item x="58"/>
        <item x="40"/>
        <item x="420"/>
        <item x="97"/>
        <item x="270"/>
        <item x="96"/>
        <item x="148"/>
        <item x="236"/>
        <item x="304"/>
        <item x="155"/>
        <item x="247"/>
        <item x="150"/>
        <item x="460"/>
        <item x="400"/>
        <item x="307"/>
        <item x="452"/>
        <item x="459"/>
        <item x="375"/>
        <item x="356"/>
        <item x="110"/>
        <item x="364"/>
        <item x="237"/>
        <item x="361"/>
        <item x="367"/>
        <item x="86"/>
        <item x="235"/>
        <item x="202"/>
        <item x="315"/>
        <item x="443"/>
        <item x="91"/>
        <item x="87"/>
        <item x="167"/>
        <item x="359"/>
        <item x="136"/>
        <item x="467"/>
        <item x="213"/>
        <item x="36"/>
        <item x="174"/>
        <item x="368"/>
        <item x="2"/>
        <item x="358"/>
        <item x="474"/>
        <item x="421"/>
        <item x="240"/>
        <item x="342"/>
        <item x="285"/>
        <item x="281"/>
        <item x="466"/>
        <item x="66"/>
        <item x="403"/>
        <item x="191"/>
        <item x="229"/>
        <item x="382"/>
        <item x="289"/>
        <item x="427"/>
        <item x="446"/>
        <item x="363"/>
        <item x="84"/>
        <item x="408"/>
        <item x="483"/>
        <item x="244"/>
        <item x="71"/>
        <item x="107"/>
        <item x="282"/>
        <item x="39"/>
        <item x="161"/>
        <item x="11"/>
        <item x="399"/>
        <item x="422"/>
        <item x="434"/>
        <item x="183"/>
        <item x="73"/>
        <item x="341"/>
        <item x="49"/>
        <item x="439"/>
        <item x="156"/>
        <item x="496"/>
        <item x="28"/>
        <item x="54"/>
        <item x="122"/>
        <item x="166"/>
        <item x="305"/>
        <item x="120"/>
        <item x="316"/>
        <item x="19"/>
        <item x="319"/>
        <item x="348"/>
        <item x="116"/>
        <item x="326"/>
        <item x="32"/>
        <item x="117"/>
        <item x="204"/>
        <item x="451"/>
        <item x="381"/>
        <item x="162"/>
        <item x="214"/>
        <item x="168"/>
        <item x="299"/>
        <item x="352"/>
        <item x="386"/>
        <item x="393"/>
        <item x="212"/>
        <item x="261"/>
        <item x="50"/>
        <item x="124"/>
        <item x="27"/>
        <item x="105"/>
        <item x="370"/>
        <item x="330"/>
        <item x="264"/>
        <item x="468"/>
        <item x="444"/>
        <item x="461"/>
        <item x="394"/>
        <item x="6"/>
        <item x="149"/>
        <item x="423"/>
        <item x="194"/>
        <item x="497"/>
        <item x="404"/>
        <item x="448"/>
        <item x="492"/>
        <item x="476"/>
        <item x="29"/>
        <item x="65"/>
        <item x="309"/>
        <item x="43"/>
        <item x="232"/>
        <item x="470"/>
        <item x="190"/>
        <item x="302"/>
        <item x="297"/>
        <item x="424"/>
        <item x="215"/>
        <item x="83"/>
        <item x="320"/>
        <item x="14"/>
        <item x="72"/>
        <item x="279"/>
        <item x="78"/>
        <item x="262"/>
        <item x="405"/>
        <item x="16"/>
        <item x="123"/>
        <item x="379"/>
        <item x="99"/>
        <item x="68"/>
        <item x="195"/>
        <item x="0"/>
        <item x="26"/>
        <item x="343"/>
        <item x="387"/>
        <item x="51"/>
        <item x="442"/>
        <item x="1"/>
        <item x="52"/>
        <item x="266"/>
        <item x="145"/>
        <item x="230"/>
        <item x="425"/>
        <item x="56"/>
        <item x="217"/>
        <item x="208"/>
        <item x="280"/>
        <item x="345"/>
        <item x="447"/>
        <item x="185"/>
        <item x="177"/>
        <item x="485"/>
        <item x="142"/>
        <item x="15"/>
        <item x="317"/>
        <item x="344"/>
        <item x="138"/>
        <item x="417"/>
        <item x="207"/>
        <item x="104"/>
        <item x="131"/>
        <item x="3"/>
        <item x="454"/>
        <item x="60"/>
        <item x="308"/>
        <item x="464"/>
        <item x="389"/>
        <item x="137"/>
        <item x="8"/>
        <item x="88"/>
        <item x="238"/>
        <item x="132"/>
        <item x="4"/>
        <item x="272"/>
        <item x="295"/>
        <item x="384"/>
        <item x="226"/>
        <item x="165"/>
        <item x="126"/>
        <item x="227"/>
        <item x="388"/>
        <item x="445"/>
        <item x="332"/>
        <item x="75"/>
        <item x="95"/>
        <item x="407"/>
        <item x="188"/>
        <item x="90"/>
        <item x="376"/>
        <item x="198"/>
        <item x="418"/>
        <item x="35"/>
        <item x="210"/>
        <item x="47"/>
        <item x="67"/>
        <item x="409"/>
        <item x="9"/>
        <item x="100"/>
        <item x="119"/>
        <item x="108"/>
        <item x="241"/>
        <item x="249"/>
        <item x="414"/>
        <item x="77"/>
        <item x="374"/>
        <item x="69"/>
        <item x="253"/>
        <item t="default"/>
      </items>
    </pivotField>
    <pivotField compact="0" showAll="0">
      <items count="476">
        <item x="21"/>
        <item x="423"/>
        <item x="250"/>
        <item x="432"/>
        <item x="272"/>
        <item x="129"/>
        <item x="260"/>
        <item x="35"/>
        <item x="45"/>
        <item x="290"/>
        <item x="455"/>
        <item x="183"/>
        <item x="156"/>
        <item x="191"/>
        <item x="332"/>
        <item x="30"/>
        <item x="203"/>
        <item x="74"/>
        <item x="57"/>
        <item x="426"/>
        <item x="394"/>
        <item x="141"/>
        <item x="258"/>
        <item x="281"/>
        <item x="2"/>
        <item x="473"/>
        <item x="444"/>
        <item x="418"/>
        <item x="128"/>
        <item x="396"/>
        <item x="14"/>
        <item x="270"/>
        <item x="62"/>
        <item x="452"/>
        <item x="383"/>
        <item x="254"/>
        <item x="407"/>
        <item x="363"/>
        <item x="358"/>
        <item x="4"/>
        <item x="259"/>
        <item x="299"/>
        <item x="427"/>
        <item x="160"/>
        <item x="410"/>
        <item x="298"/>
        <item x="305"/>
        <item x="145"/>
        <item x="0"/>
        <item x="206"/>
        <item x="391"/>
        <item x="85"/>
        <item x="323"/>
        <item x="313"/>
        <item x="37"/>
        <item x="327"/>
        <item x="335"/>
        <item x="392"/>
        <item x="157"/>
        <item x="175"/>
        <item x="405"/>
        <item x="20"/>
        <item x="178"/>
        <item x="169"/>
        <item x="377"/>
        <item x="134"/>
        <item x="437"/>
        <item x="198"/>
        <item x="339"/>
        <item x="146"/>
        <item x="470"/>
        <item x="151"/>
        <item x="276"/>
        <item x="127"/>
        <item x="411"/>
        <item x="63"/>
        <item x="472"/>
        <item x="400"/>
        <item x="185"/>
        <item x="292"/>
        <item x="133"/>
        <item x="355"/>
        <item x="58"/>
        <item x="107"/>
        <item x="140"/>
        <item x="95"/>
        <item x="207"/>
        <item x="67"/>
        <item x="103"/>
        <item x="152"/>
        <item x="346"/>
        <item x="10"/>
        <item x="167"/>
        <item x="413"/>
        <item x="106"/>
        <item x="395"/>
        <item x="93"/>
        <item x="173"/>
        <item x="99"/>
        <item x="262"/>
        <item x="439"/>
        <item x="446"/>
        <item x="27"/>
        <item x="54"/>
        <item x="119"/>
        <item x="442"/>
        <item x="454"/>
        <item x="343"/>
        <item x="214"/>
        <item x="329"/>
        <item x="187"/>
        <item x="224"/>
        <item x="286"/>
        <item x="48"/>
        <item x="324"/>
        <item x="317"/>
        <item x="296"/>
        <item x="373"/>
        <item x="384"/>
        <item x="438"/>
        <item x="153"/>
        <item x="172"/>
        <item x="60"/>
        <item x="333"/>
        <item x="440"/>
        <item x="222"/>
        <item x="87"/>
        <item x="49"/>
        <item x="375"/>
        <item x="357"/>
        <item x="289"/>
        <item x="201"/>
        <item x="72"/>
        <item x="182"/>
        <item x="56"/>
        <item x="240"/>
        <item x="8"/>
        <item x="204"/>
        <item x="216"/>
        <item x="419"/>
        <item x="430"/>
        <item x="406"/>
        <item x="66"/>
        <item x="300"/>
        <item x="209"/>
        <item x="125"/>
        <item x="307"/>
        <item x="77"/>
        <item x="243"/>
        <item x="378"/>
        <item x="308"/>
        <item x="326"/>
        <item x="461"/>
        <item x="321"/>
        <item x="154"/>
        <item x="123"/>
        <item x="315"/>
        <item x="414"/>
        <item x="40"/>
        <item x="39"/>
        <item x="295"/>
        <item x="232"/>
        <item x="294"/>
        <item x="330"/>
        <item x="347"/>
        <item x="465"/>
        <item x="147"/>
        <item x="200"/>
        <item x="90"/>
        <item x="98"/>
        <item x="51"/>
        <item x="380"/>
        <item x="161"/>
        <item x="312"/>
        <item x="180"/>
        <item x="218"/>
        <item x="22"/>
        <item x="166"/>
        <item x="122"/>
        <item x="267"/>
        <item x="422"/>
        <item x="64"/>
        <item x="291"/>
        <item x="205"/>
        <item x="9"/>
        <item x="190"/>
        <item x="436"/>
        <item x="28"/>
        <item x="372"/>
        <item x="319"/>
        <item x="111"/>
        <item x="31"/>
        <item x="100"/>
        <item x="311"/>
        <item x="409"/>
        <item x="47"/>
        <item x="97"/>
        <item x="149"/>
        <item x="265"/>
        <item x="366"/>
        <item x="469"/>
        <item x="474"/>
        <item x="212"/>
        <item x="449"/>
        <item x="43"/>
        <item x="108"/>
        <item x="117"/>
        <item x="421"/>
        <item x="369"/>
        <item x="252"/>
        <item x="92"/>
        <item x="75"/>
        <item x="464"/>
        <item x="293"/>
        <item x="36"/>
        <item x="102"/>
        <item x="431"/>
        <item x="79"/>
        <item x="223"/>
        <item x="53"/>
        <item x="268"/>
        <item x="337"/>
        <item x="91"/>
        <item x="282"/>
        <item x="271"/>
        <item x="246"/>
        <item x="34"/>
        <item x="303"/>
        <item x="18"/>
        <item x="388"/>
        <item x="393"/>
        <item x="101"/>
        <item x="348"/>
        <item x="235"/>
        <item x="408"/>
        <item x="135"/>
        <item x="441"/>
        <item x="132"/>
        <item x="196"/>
        <item x="231"/>
        <item x="208"/>
        <item x="55"/>
        <item x="277"/>
        <item x="148"/>
        <item x="89"/>
        <item x="213"/>
        <item x="399"/>
        <item x="162"/>
        <item x="248"/>
        <item x="181"/>
        <item x="471"/>
        <item x="142"/>
        <item x="168"/>
        <item x="84"/>
        <item x="382"/>
        <item x="279"/>
        <item x="466"/>
        <item x="288"/>
        <item x="163"/>
        <item x="82"/>
        <item x="451"/>
        <item x="29"/>
        <item x="434"/>
        <item x="110"/>
        <item x="19"/>
        <item x="12"/>
        <item x="401"/>
        <item x="188"/>
        <item x="236"/>
        <item x="310"/>
        <item x="334"/>
        <item x="131"/>
        <item x="130"/>
        <item x="462"/>
        <item x="86"/>
        <item x="403"/>
        <item x="195"/>
        <item x="287"/>
        <item x="397"/>
        <item x="443"/>
        <item x="230"/>
        <item x="17"/>
        <item x="69"/>
        <item x="274"/>
        <item x="137"/>
        <item x="118"/>
        <item x="386"/>
        <item x="159"/>
        <item x="385"/>
        <item x="211"/>
        <item x="41"/>
        <item x="467"/>
        <item x="143"/>
        <item x="264"/>
        <item x="171"/>
        <item x="227"/>
        <item x="11"/>
        <item x="463"/>
        <item x="316"/>
        <item x="458"/>
        <item x="359"/>
        <item x="244"/>
        <item x="220"/>
        <item x="448"/>
        <item x="249"/>
        <item x="402"/>
        <item x="221"/>
        <item x="113"/>
        <item x="306"/>
        <item x="424"/>
        <item x="225"/>
        <item x="194"/>
        <item x="364"/>
        <item x="6"/>
        <item x="186"/>
        <item x="16"/>
        <item x="109"/>
        <item x="273"/>
        <item x="215"/>
        <item x="435"/>
        <item x="116"/>
        <item x="184"/>
        <item x="447"/>
        <item x="269"/>
        <item x="253"/>
        <item x="115"/>
        <item x="342"/>
        <item x="155"/>
        <item x="320"/>
        <item x="76"/>
        <item x="389"/>
        <item x="370"/>
        <item x="336"/>
        <item x="170"/>
        <item x="350"/>
        <item x="354"/>
        <item x="381"/>
        <item x="193"/>
        <item x="50"/>
        <item x="367"/>
        <item x="1"/>
        <item x="124"/>
        <item x="126"/>
        <item x="387"/>
        <item x="376"/>
        <item x="61"/>
        <item x="176"/>
        <item x="263"/>
        <item x="416"/>
        <item x="88"/>
        <item x="158"/>
        <item x="374"/>
        <item x="42"/>
        <item x="23"/>
        <item x="433"/>
        <item x="420"/>
        <item x="280"/>
        <item x="136"/>
        <item x="179"/>
        <item x="199"/>
        <item x="197"/>
        <item x="7"/>
        <item x="104"/>
        <item x="349"/>
        <item x="371"/>
        <item x="226"/>
        <item x="460"/>
        <item x="360"/>
        <item x="83"/>
        <item x="245"/>
        <item x="68"/>
        <item x="80"/>
        <item x="44"/>
        <item x="297"/>
        <item x="114"/>
        <item x="341"/>
        <item x="38"/>
        <item x="210"/>
        <item x="322"/>
        <item x="379"/>
        <item x="304"/>
        <item x="238"/>
        <item x="352"/>
        <item x="144"/>
        <item x="261"/>
        <item x="302"/>
        <item x="340"/>
        <item x="398"/>
        <item x="71"/>
        <item x="456"/>
        <item x="239"/>
        <item x="309"/>
        <item x="325"/>
        <item x="314"/>
        <item x="219"/>
        <item x="139"/>
        <item x="285"/>
        <item x="251"/>
        <item x="356"/>
        <item x="70"/>
        <item x="241"/>
        <item x="78"/>
        <item x="81"/>
        <item x="202"/>
        <item x="353"/>
        <item x="318"/>
        <item x="96"/>
        <item x="247"/>
        <item x="275"/>
        <item x="428"/>
        <item x="237"/>
        <item x="450"/>
        <item x="429"/>
        <item x="192"/>
        <item x="26"/>
        <item x="59"/>
        <item x="5"/>
        <item x="25"/>
        <item x="15"/>
        <item x="228"/>
        <item x="94"/>
        <item x="361"/>
        <item x="368"/>
        <item x="164"/>
        <item x="301"/>
        <item x="468"/>
        <item x="121"/>
        <item x="13"/>
        <item x="73"/>
        <item x="459"/>
        <item x="338"/>
        <item x="256"/>
        <item x="150"/>
        <item x="165"/>
        <item x="33"/>
        <item x="46"/>
        <item x="278"/>
        <item x="242"/>
        <item x="112"/>
        <item x="445"/>
        <item x="217"/>
        <item x="233"/>
        <item x="174"/>
        <item x="32"/>
        <item x="415"/>
        <item x="344"/>
        <item x="229"/>
        <item x="457"/>
        <item x="362"/>
        <item x="390"/>
        <item x="255"/>
        <item x="417"/>
        <item x="3"/>
        <item x="412"/>
        <item x="189"/>
        <item x="404"/>
        <item x="105"/>
        <item x="351"/>
        <item x="328"/>
        <item x="24"/>
        <item x="234"/>
        <item x="257"/>
        <item x="138"/>
        <item x="177"/>
        <item x="65"/>
        <item x="120"/>
        <item x="266"/>
        <item x="365"/>
        <item x="453"/>
        <item x="331"/>
        <item x="52"/>
        <item x="284"/>
        <item x="283"/>
        <item x="425"/>
        <item x="345"/>
        <item t="default"/>
      </items>
    </pivotField>
    <pivotField compact="0" showAll="0">
      <items count="494">
        <item x="19"/>
        <item x="51"/>
        <item x="448"/>
        <item x="329"/>
        <item x="333"/>
        <item x="453"/>
        <item x="346"/>
        <item x="246"/>
        <item x="103"/>
        <item x="431"/>
        <item x="59"/>
        <item x="196"/>
        <item x="33"/>
        <item x="362"/>
        <item x="136"/>
        <item x="304"/>
        <item x="487"/>
        <item x="407"/>
        <item x="324"/>
        <item x="108"/>
        <item x="216"/>
        <item x="306"/>
        <item x="234"/>
        <item x="30"/>
        <item x="343"/>
        <item x="477"/>
        <item x="394"/>
        <item x="484"/>
        <item x="168"/>
        <item x="10"/>
        <item x="179"/>
        <item x="85"/>
        <item x="6"/>
        <item x="395"/>
        <item x="327"/>
        <item x="87"/>
        <item x="302"/>
        <item x="123"/>
        <item x="352"/>
        <item x="332"/>
        <item x="239"/>
        <item x="121"/>
        <item x="393"/>
        <item x="340"/>
        <item x="0"/>
        <item x="328"/>
        <item x="62"/>
        <item x="174"/>
        <item x="261"/>
        <item x="68"/>
        <item x="99"/>
        <item x="91"/>
        <item x="357"/>
        <item x="209"/>
        <item x="286"/>
        <item x="120"/>
        <item x="111"/>
        <item x="415"/>
        <item x="485"/>
        <item x="459"/>
        <item x="285"/>
        <item x="283"/>
        <item x="369"/>
        <item x="83"/>
        <item x="188"/>
        <item x="226"/>
        <item x="291"/>
        <item x="15"/>
        <item x="230"/>
        <item x="290"/>
        <item x="116"/>
        <item x="202"/>
        <item x="55"/>
        <item x="384"/>
        <item x="114"/>
        <item x="144"/>
        <item x="292"/>
        <item x="199"/>
        <item x="149"/>
        <item x="438"/>
        <item x="42"/>
        <item x="36"/>
        <item x="49"/>
        <item x="110"/>
        <item x="233"/>
        <item x="198"/>
        <item x="11"/>
        <item x="259"/>
        <item x="392"/>
        <item x="492"/>
        <item x="268"/>
        <item x="135"/>
        <item x="165"/>
        <item x="260"/>
        <item x="67"/>
        <item x="379"/>
        <item x="419"/>
        <item x="443"/>
        <item x="31"/>
        <item x="241"/>
        <item x="122"/>
        <item x="466"/>
        <item x="276"/>
        <item x="78"/>
        <item x="368"/>
        <item x="472"/>
        <item x="1"/>
        <item x="163"/>
        <item x="308"/>
        <item x="424"/>
        <item x="229"/>
        <item x="107"/>
        <item x="284"/>
        <item x="326"/>
        <item x="16"/>
        <item x="344"/>
        <item x="430"/>
        <item x="146"/>
        <item x="232"/>
        <item x="439"/>
        <item x="218"/>
        <item x="254"/>
        <item x="73"/>
        <item x="152"/>
        <item x="288"/>
        <item x="296"/>
        <item x="204"/>
        <item x="390"/>
        <item x="98"/>
        <item x="23"/>
        <item x="147"/>
        <item x="349"/>
        <item x="479"/>
        <item x="117"/>
        <item x="86"/>
        <item x="311"/>
        <item x="214"/>
        <item x="220"/>
        <item x="138"/>
        <item x="131"/>
        <item x="158"/>
        <item x="403"/>
        <item x="489"/>
        <item x="177"/>
        <item x="377"/>
        <item x="197"/>
        <item x="372"/>
        <item x="467"/>
        <item x="470"/>
        <item x="9"/>
        <item x="41"/>
        <item x="184"/>
        <item x="104"/>
        <item x="69"/>
        <item x="219"/>
        <item x="257"/>
        <item x="450"/>
        <item x="281"/>
        <item x="172"/>
        <item x="207"/>
        <item x="355"/>
        <item x="125"/>
        <item x="89"/>
        <item x="205"/>
        <item x="90"/>
        <item x="180"/>
        <item x="265"/>
        <item x="270"/>
        <item x="96"/>
        <item x="401"/>
        <item x="402"/>
        <item x="112"/>
        <item x="84"/>
        <item x="452"/>
        <item x="367"/>
        <item x="126"/>
        <item x="243"/>
        <item x="476"/>
        <item x="274"/>
        <item x="248"/>
        <item x="412"/>
        <item x="250"/>
        <item x="212"/>
        <item x="124"/>
        <item x="182"/>
        <item x="342"/>
        <item x="221"/>
        <item x="18"/>
        <item x="79"/>
        <item x="178"/>
        <item x="173"/>
        <item x="227"/>
        <item x="480"/>
        <item x="427"/>
        <item x="255"/>
        <item x="130"/>
        <item x="398"/>
        <item x="93"/>
        <item x="469"/>
        <item x="77"/>
        <item x="38"/>
        <item x="12"/>
        <item x="471"/>
        <item x="373"/>
        <item x="74"/>
        <item x="289"/>
        <item x="318"/>
        <item x="26"/>
        <item x="347"/>
        <item x="365"/>
        <item x="242"/>
        <item x="157"/>
        <item x="371"/>
        <item x="102"/>
        <item x="128"/>
        <item x="127"/>
        <item x="258"/>
        <item x="400"/>
        <item x="399"/>
        <item x="66"/>
        <item x="410"/>
        <item x="145"/>
        <item x="336"/>
        <item x="481"/>
        <item x="437"/>
        <item x="321"/>
        <item x="76"/>
        <item x="338"/>
        <item x="244"/>
        <item x="156"/>
        <item x="94"/>
        <item x="45"/>
        <item x="200"/>
        <item x="72"/>
        <item x="141"/>
        <item x="176"/>
        <item x="354"/>
        <item x="455"/>
        <item x="458"/>
        <item x="272"/>
        <item x="465"/>
        <item x="189"/>
        <item x="299"/>
        <item x="115"/>
        <item x="238"/>
        <item x="282"/>
        <item x="491"/>
        <item x="383"/>
        <item x="313"/>
        <item x="316"/>
        <item x="17"/>
        <item x="396"/>
        <item x="391"/>
        <item x="193"/>
        <item x="100"/>
        <item x="319"/>
        <item x="271"/>
        <item x="95"/>
        <item x="420"/>
        <item x="20"/>
        <item x="416"/>
        <item x="222"/>
        <item x="71"/>
        <item x="280"/>
        <item x="359"/>
        <item x="175"/>
        <item x="231"/>
        <item x="294"/>
        <item x="314"/>
        <item x="142"/>
        <item x="106"/>
        <item x="339"/>
        <item x="298"/>
        <item x="468"/>
        <item x="223"/>
        <item x="475"/>
        <item x="151"/>
        <item x="240"/>
        <item x="64"/>
        <item x="322"/>
        <item x="429"/>
        <item x="483"/>
        <item x="171"/>
        <item x="2"/>
        <item x="37"/>
        <item x="446"/>
        <item x="312"/>
        <item x="4"/>
        <item x="353"/>
        <item x="378"/>
        <item x="50"/>
        <item x="315"/>
        <item x="57"/>
        <item x="269"/>
        <item x="109"/>
        <item x="192"/>
        <item x="345"/>
        <item x="217"/>
        <item x="206"/>
        <item x="478"/>
        <item x="53"/>
        <item x="25"/>
        <item x="44"/>
        <item x="35"/>
        <item x="397"/>
        <item x="224"/>
        <item x="70"/>
        <item x="3"/>
        <item x="133"/>
        <item x="48"/>
        <item x="374"/>
        <item x="56"/>
        <item x="447"/>
        <item x="267"/>
        <item x="80"/>
        <item x="208"/>
        <item x="334"/>
        <item x="433"/>
        <item x="488"/>
        <item x="210"/>
        <item x="162"/>
        <item x="24"/>
        <item x="323"/>
        <item x="194"/>
        <item x="247"/>
        <item x="445"/>
        <item x="297"/>
        <item x="105"/>
        <item x="139"/>
        <item x="187"/>
        <item x="81"/>
        <item x="236"/>
        <item x="181"/>
        <item x="350"/>
        <item x="213"/>
        <item x="461"/>
        <item x="425"/>
        <item x="300"/>
        <item x="21"/>
        <item x="101"/>
        <item x="277"/>
        <item x="150"/>
        <item x="201"/>
        <item x="262"/>
        <item x="140"/>
        <item x="7"/>
        <item x="5"/>
        <item x="211"/>
        <item x="442"/>
        <item x="456"/>
        <item x="46"/>
        <item x="134"/>
        <item x="426"/>
        <item x="279"/>
        <item x="317"/>
        <item x="13"/>
        <item x="169"/>
        <item x="382"/>
        <item x="27"/>
        <item x="60"/>
        <item x="325"/>
        <item x="237"/>
        <item x="486"/>
        <item x="225"/>
        <item x="14"/>
        <item x="411"/>
        <item x="118"/>
        <item x="305"/>
        <item x="119"/>
        <item x="388"/>
        <item x="190"/>
        <item x="441"/>
        <item x="406"/>
        <item x="137"/>
        <item x="58"/>
        <item x="307"/>
        <item x="82"/>
        <item x="417"/>
        <item x="310"/>
        <item x="361"/>
        <item x="387"/>
        <item x="161"/>
        <item x="92"/>
        <item x="364"/>
        <item x="186"/>
        <item x="148"/>
        <item x="385"/>
        <item x="474"/>
        <item x="8"/>
        <item x="164"/>
        <item x="160"/>
        <item x="404"/>
        <item x="28"/>
        <item x="54"/>
        <item x="129"/>
        <item x="47"/>
        <item x="366"/>
        <item x="195"/>
        <item x="331"/>
        <item x="454"/>
        <item x="143"/>
        <item x="256"/>
        <item x="457"/>
        <item x="264"/>
        <item x="154"/>
        <item x="473"/>
        <item x="409"/>
        <item x="29"/>
        <item x="185"/>
        <item x="451"/>
        <item x="386"/>
        <item x="440"/>
        <item x="351"/>
        <item x="166"/>
        <item x="228"/>
        <item x="434"/>
        <item x="215"/>
        <item x="341"/>
        <item x="309"/>
        <item x="22"/>
        <item x="348"/>
        <item x="167"/>
        <item x="460"/>
        <item x="159"/>
        <item x="335"/>
        <item x="252"/>
        <item x="356"/>
        <item x="422"/>
        <item x="273"/>
        <item x="414"/>
        <item x="295"/>
        <item x="235"/>
        <item x="330"/>
        <item x="63"/>
        <item x="32"/>
        <item x="278"/>
        <item x="263"/>
        <item x="253"/>
        <item x="381"/>
        <item x="462"/>
        <item x="97"/>
        <item x="266"/>
        <item x="376"/>
        <item x="380"/>
        <item x="183"/>
        <item x="449"/>
        <item x="405"/>
        <item x="75"/>
        <item x="428"/>
        <item x="408"/>
        <item x="337"/>
        <item x="249"/>
        <item x="88"/>
        <item x="153"/>
        <item x="363"/>
        <item x="155"/>
        <item x="320"/>
        <item x="251"/>
        <item x="34"/>
        <item x="170"/>
        <item x="43"/>
        <item x="360"/>
        <item x="293"/>
        <item x="65"/>
        <item x="301"/>
        <item x="421"/>
        <item x="418"/>
        <item x="245"/>
        <item x="482"/>
        <item x="463"/>
        <item x="444"/>
        <item x="370"/>
        <item x="303"/>
        <item x="413"/>
        <item x="132"/>
        <item x="436"/>
        <item x="432"/>
        <item x="40"/>
        <item x="490"/>
        <item x="203"/>
        <item x="191"/>
        <item x="287"/>
        <item x="39"/>
        <item x="52"/>
        <item x="113"/>
        <item x="423"/>
        <item x="375"/>
        <item x="435"/>
        <item x="389"/>
        <item x="358"/>
        <item x="464"/>
        <item x="275"/>
        <item x="61"/>
        <item t="default"/>
      </items>
    </pivotField>
    <pivotField compact="0" showAll="0">
      <items count="501">
        <item x="469"/>
        <item x="453"/>
        <item x="412"/>
        <item x="45"/>
        <item x="183"/>
        <item x="452"/>
        <item x="348"/>
        <item x="478"/>
        <item x="82"/>
        <item x="121"/>
        <item x="475"/>
        <item x="261"/>
        <item x="233"/>
        <item x="390"/>
        <item x="235"/>
        <item x="406"/>
        <item x="1"/>
        <item x="178"/>
        <item x="43"/>
        <item x="297"/>
        <item x="163"/>
        <item x="290"/>
        <item x="34"/>
        <item x="470"/>
        <item x="434"/>
        <item x="284"/>
        <item x="64"/>
        <item x="94"/>
        <item x="122"/>
        <item x="205"/>
        <item x="145"/>
        <item x="431"/>
        <item x="228"/>
        <item x="9"/>
        <item x="444"/>
        <item x="207"/>
        <item x="477"/>
        <item x="466"/>
        <item x="485"/>
        <item x="165"/>
        <item x="476"/>
        <item x="222"/>
        <item x="162"/>
        <item x="257"/>
        <item x="387"/>
        <item x="482"/>
        <item x="98"/>
        <item x="50"/>
        <item x="417"/>
        <item x="430"/>
        <item x="80"/>
        <item x="303"/>
        <item x="195"/>
        <item x="358"/>
        <item x="154"/>
        <item x="13"/>
        <item x="367"/>
        <item x="305"/>
        <item x="244"/>
        <item x="490"/>
        <item x="203"/>
        <item x="156"/>
        <item x="241"/>
        <item x="41"/>
        <item x="299"/>
        <item x="439"/>
        <item x="67"/>
        <item x="494"/>
        <item x="415"/>
        <item x="266"/>
        <item x="337"/>
        <item x="177"/>
        <item x="91"/>
        <item x="240"/>
        <item x="33"/>
        <item x="410"/>
        <item x="160"/>
        <item x="116"/>
        <item x="279"/>
        <item x="384"/>
        <item x="114"/>
        <item x="126"/>
        <item x="100"/>
        <item x="229"/>
        <item x="368"/>
        <item x="255"/>
        <item x="110"/>
        <item x="81"/>
        <item x="404"/>
        <item x="313"/>
        <item x="293"/>
        <item x="186"/>
        <item x="212"/>
        <item x="454"/>
        <item x="328"/>
        <item x="424"/>
        <item x="149"/>
        <item x="26"/>
        <item x="459"/>
        <item x="66"/>
        <item x="499"/>
        <item x="23"/>
        <item x="113"/>
        <item x="53"/>
        <item x="301"/>
        <item x="446"/>
        <item x="226"/>
        <item x="40"/>
        <item x="79"/>
        <item x="74"/>
        <item x="275"/>
        <item x="269"/>
        <item x="138"/>
        <item x="362"/>
        <item x="62"/>
        <item x="71"/>
        <item x="295"/>
        <item x="359"/>
        <item x="51"/>
        <item x="312"/>
        <item x="141"/>
        <item x="247"/>
        <item x="397"/>
        <item x="264"/>
        <item x="445"/>
        <item x="5"/>
        <item x="245"/>
        <item x="392"/>
        <item x="360"/>
        <item x="231"/>
        <item x="134"/>
        <item x="471"/>
        <item x="8"/>
        <item x="473"/>
        <item x="291"/>
        <item x="460"/>
        <item x="278"/>
        <item x="127"/>
        <item x="56"/>
        <item x="140"/>
        <item x="351"/>
        <item x="408"/>
        <item x="324"/>
        <item x="432"/>
        <item x="24"/>
        <item x="254"/>
        <item x="151"/>
        <item x="115"/>
        <item x="263"/>
        <item x="157"/>
        <item x="389"/>
        <item x="289"/>
        <item x="428"/>
        <item x="436"/>
        <item x="426"/>
        <item x="93"/>
        <item x="451"/>
        <item x="150"/>
        <item x="433"/>
        <item x="216"/>
        <item x="427"/>
        <item x="22"/>
        <item x="372"/>
        <item x="496"/>
        <item x="383"/>
        <item x="210"/>
        <item x="109"/>
        <item x="495"/>
        <item x="316"/>
        <item x="25"/>
        <item x="248"/>
        <item x="462"/>
        <item x="88"/>
        <item x="42"/>
        <item x="144"/>
        <item x="409"/>
        <item x="63"/>
        <item x="4"/>
        <item x="44"/>
        <item x="200"/>
        <item x="175"/>
        <item x="209"/>
        <item x="286"/>
        <item x="486"/>
        <item x="194"/>
        <item x="179"/>
        <item x="243"/>
        <item x="474"/>
        <item x="379"/>
        <item x="268"/>
        <item x="77"/>
        <item x="402"/>
        <item x="464"/>
        <item x="184"/>
        <item x="21"/>
        <item x="371"/>
        <item x="329"/>
        <item x="302"/>
        <item x="75"/>
        <item x="147"/>
        <item x="213"/>
        <item x="318"/>
        <item x="488"/>
        <item x="375"/>
        <item x="199"/>
        <item x="202"/>
        <item x="277"/>
        <item x="319"/>
        <item x="234"/>
        <item x="365"/>
        <item x="174"/>
        <item x="262"/>
        <item x="493"/>
        <item x="0"/>
        <item x="29"/>
        <item x="416"/>
        <item x="280"/>
        <item x="394"/>
        <item x="6"/>
        <item x="191"/>
        <item x="65"/>
        <item x="298"/>
        <item x="281"/>
        <item x="84"/>
        <item x="68"/>
        <item x="296"/>
        <item x="479"/>
        <item x="341"/>
        <item x="92"/>
        <item x="413"/>
        <item x="357"/>
        <item x="108"/>
        <item x="317"/>
        <item x="197"/>
        <item x="125"/>
        <item x="11"/>
        <item x="196"/>
        <item x="435"/>
        <item x="369"/>
        <item x="440"/>
        <item x="423"/>
        <item x="361"/>
        <item x="288"/>
        <item x="449"/>
        <item x="352"/>
        <item x="492"/>
        <item x="347"/>
        <item x="325"/>
        <item x="59"/>
        <item x="376"/>
        <item x="472"/>
        <item x="497"/>
        <item x="48"/>
        <item x="95"/>
        <item x="106"/>
        <item x="333"/>
        <item x="32"/>
        <item x="340"/>
        <item x="198"/>
        <item x="429"/>
        <item x="385"/>
        <item x="311"/>
        <item x="465"/>
        <item x="442"/>
        <item x="78"/>
        <item x="421"/>
        <item x="128"/>
        <item x="447"/>
        <item x="395"/>
        <item x="221"/>
        <item x="204"/>
        <item x="215"/>
        <item x="39"/>
        <item x="214"/>
        <item x="36"/>
        <item x="211"/>
        <item x="60"/>
        <item x="27"/>
        <item x="164"/>
        <item x="189"/>
        <item x="46"/>
        <item x="307"/>
        <item x="187"/>
        <item x="242"/>
        <item x="272"/>
        <item x="232"/>
        <item x="260"/>
        <item x="463"/>
        <item x="285"/>
        <item x="70"/>
        <item x="12"/>
        <item x="37"/>
        <item x="336"/>
        <item x="206"/>
        <item x="52"/>
        <item x="89"/>
        <item x="481"/>
        <item x="356"/>
        <item x="308"/>
        <item x="224"/>
        <item x="461"/>
        <item x="270"/>
        <item x="101"/>
        <item x="192"/>
        <item x="437"/>
        <item x="450"/>
        <item x="148"/>
        <item x="251"/>
        <item x="15"/>
        <item x="139"/>
        <item x="28"/>
        <item x="310"/>
        <item x="103"/>
        <item x="105"/>
        <item x="350"/>
        <item x="90"/>
        <item x="349"/>
        <item x="339"/>
        <item x="31"/>
        <item x="314"/>
        <item x="334"/>
        <item x="201"/>
        <item x="223"/>
        <item x="7"/>
        <item x="167"/>
        <item x="97"/>
        <item x="438"/>
        <item x="401"/>
        <item x="304"/>
        <item x="323"/>
        <item x="54"/>
        <item x="252"/>
        <item x="49"/>
        <item x="146"/>
        <item x="185"/>
        <item x="16"/>
        <item x="382"/>
        <item x="271"/>
        <item x="83"/>
        <item x="420"/>
        <item x="3"/>
        <item x="111"/>
        <item x="283"/>
        <item x="354"/>
        <item x="399"/>
        <item x="353"/>
        <item x="326"/>
        <item x="188"/>
        <item x="391"/>
        <item x="18"/>
        <item x="73"/>
        <item x="309"/>
        <item x="355"/>
        <item x="346"/>
        <item x="342"/>
        <item x="159"/>
        <item x="61"/>
        <item x="86"/>
        <item x="374"/>
        <item x="373"/>
        <item x="135"/>
        <item x="133"/>
        <item x="330"/>
        <item x="422"/>
        <item x="176"/>
        <item x="256"/>
        <item x="76"/>
        <item x="327"/>
        <item x="377"/>
        <item x="47"/>
        <item x="274"/>
        <item x="14"/>
        <item x="398"/>
        <item x="153"/>
        <item x="169"/>
        <item x="414"/>
        <item x="386"/>
        <item x="441"/>
        <item x="276"/>
        <item x="489"/>
        <item x="396"/>
        <item x="363"/>
        <item x="218"/>
        <item x="455"/>
        <item x="30"/>
        <item x="491"/>
        <item x="265"/>
        <item x="155"/>
        <item x="381"/>
        <item x="267"/>
        <item x="315"/>
        <item x="104"/>
        <item x="484"/>
        <item x="227"/>
        <item x="208"/>
        <item x="38"/>
        <item x="458"/>
        <item x="457"/>
        <item x="456"/>
        <item x="370"/>
        <item x="170"/>
        <item x="480"/>
        <item x="152"/>
        <item x="259"/>
        <item x="96"/>
        <item x="137"/>
        <item x="443"/>
        <item x="425"/>
        <item x="193"/>
        <item x="448"/>
        <item x="306"/>
        <item x="136"/>
        <item x="344"/>
        <item x="300"/>
        <item x="498"/>
        <item x="131"/>
        <item x="182"/>
        <item x="258"/>
        <item x="345"/>
        <item x="124"/>
        <item x="173"/>
        <item x="236"/>
        <item x="294"/>
        <item x="343"/>
        <item x="230"/>
        <item x="487"/>
        <item x="143"/>
        <item x="292"/>
        <item x="388"/>
        <item x="87"/>
        <item x="225"/>
        <item x="467"/>
        <item x="239"/>
        <item x="69"/>
        <item x="400"/>
        <item x="411"/>
        <item x="419"/>
        <item x="57"/>
        <item x="483"/>
        <item x="287"/>
        <item x="85"/>
        <item x="2"/>
        <item x="118"/>
        <item x="364"/>
        <item x="237"/>
        <item x="107"/>
        <item x="120"/>
        <item x="418"/>
        <item x="238"/>
        <item x="380"/>
        <item x="35"/>
        <item x="322"/>
        <item x="253"/>
        <item x="166"/>
        <item x="119"/>
        <item x="55"/>
        <item x="58"/>
        <item x="321"/>
        <item x="102"/>
        <item x="123"/>
        <item x="17"/>
        <item x="250"/>
        <item x="393"/>
        <item x="168"/>
        <item x="273"/>
        <item x="246"/>
        <item x="190"/>
        <item x="407"/>
        <item x="19"/>
        <item x="99"/>
        <item x="220"/>
        <item x="171"/>
        <item x="335"/>
        <item x="331"/>
        <item x="249"/>
        <item x="405"/>
        <item x="217"/>
        <item x="117"/>
        <item x="130"/>
        <item x="338"/>
        <item x="142"/>
        <item x="320"/>
        <item x="172"/>
        <item x="282"/>
        <item x="366"/>
        <item x="180"/>
        <item x="10"/>
        <item x="161"/>
        <item x="378"/>
        <item x="332"/>
        <item x="181"/>
        <item x="158"/>
        <item x="132"/>
        <item x="20"/>
        <item x="468"/>
        <item x="129"/>
        <item x="112"/>
        <item x="72"/>
        <item x="219"/>
        <item x="403"/>
        <item t="default"/>
      </items>
    </pivotField>
    <pivotField dataField="1" compact="0" showAll="0">
      <items count="501">
        <item x="442"/>
        <item x="497"/>
        <item x="252"/>
        <item x="480"/>
        <item x="411"/>
        <item x="423"/>
        <item x="21"/>
        <item x="184"/>
        <item x="395"/>
        <item x="163"/>
        <item x="56"/>
        <item x="81"/>
        <item x="418"/>
        <item x="146"/>
        <item x="61"/>
        <item x="472"/>
        <item x="226"/>
        <item x="453"/>
        <item x="276"/>
        <item x="179"/>
        <item x="366"/>
        <item x="90"/>
        <item x="315"/>
        <item x="379"/>
        <item x="77"/>
        <item x="314"/>
        <item x="193"/>
        <item x="481"/>
        <item x="136"/>
        <item x="353"/>
        <item x="291"/>
        <item x="261"/>
        <item x="135"/>
        <item x="283"/>
        <item x="197"/>
        <item x="258"/>
        <item x="102"/>
        <item x="248"/>
        <item x="445"/>
        <item x="399"/>
        <item x="250"/>
        <item x="410"/>
        <item x="255"/>
        <item x="158"/>
        <item x="489"/>
        <item x="415"/>
        <item x="311"/>
        <item x="159"/>
        <item x="186"/>
        <item x="211"/>
        <item x="318"/>
        <item x="336"/>
        <item x="76"/>
        <item x="264"/>
        <item x="178"/>
        <item x="251"/>
        <item x="465"/>
        <item x="403"/>
        <item x="93"/>
        <item x="46"/>
        <item x="206"/>
        <item x="440"/>
        <item x="428"/>
        <item x="432"/>
        <item x="173"/>
        <item x="278"/>
        <item x="429"/>
        <item x="113"/>
        <item x="303"/>
        <item x="5"/>
        <item x="373"/>
        <item x="268"/>
        <item x="38"/>
        <item x="26"/>
        <item x="435"/>
        <item x="89"/>
        <item x="365"/>
        <item x="37"/>
        <item x="17"/>
        <item x="63"/>
        <item x="64"/>
        <item x="471"/>
        <item x="140"/>
        <item x="194"/>
        <item x="231"/>
        <item x="242"/>
        <item x="277"/>
        <item x="281"/>
        <item x="139"/>
        <item x="388"/>
        <item x="328"/>
        <item x="458"/>
        <item x="58"/>
        <item x="284"/>
        <item x="473"/>
        <item x="300"/>
        <item x="438"/>
        <item x="305"/>
        <item x="129"/>
        <item x="57"/>
        <item x="175"/>
        <item x="94"/>
        <item x="397"/>
        <item x="25"/>
        <item x="172"/>
        <item x="171"/>
        <item x="310"/>
        <item x="307"/>
        <item x="312"/>
        <item x="437"/>
        <item x="82"/>
        <item x="349"/>
        <item x="115"/>
        <item x="239"/>
        <item x="127"/>
        <item x="346"/>
        <item x="199"/>
        <item x="106"/>
        <item x="337"/>
        <item x="218"/>
        <item x="382"/>
        <item x="354"/>
        <item x="493"/>
        <item x="30"/>
        <item x="416"/>
        <item x="259"/>
        <item x="92"/>
        <item x="362"/>
        <item x="385"/>
        <item x="223"/>
        <item x="96"/>
        <item x="147"/>
        <item x="306"/>
        <item x="233"/>
        <item x="219"/>
        <item x="433"/>
        <item x="153"/>
        <item x="288"/>
        <item x="200"/>
        <item x="45"/>
        <item x="48"/>
        <item x="14"/>
        <item x="402"/>
        <item x="424"/>
        <item x="426"/>
        <item x="499"/>
        <item x="98"/>
        <item x="455"/>
        <item x="111"/>
        <item x="7"/>
        <item x="187"/>
        <item x="321"/>
        <item x="430"/>
        <item x="325"/>
        <item x="265"/>
        <item x="269"/>
        <item x="342"/>
        <item x="304"/>
        <item x="380"/>
        <item x="483"/>
        <item x="322"/>
        <item x="41"/>
        <item x="62"/>
        <item x="350"/>
        <item x="273"/>
        <item x="133"/>
        <item x="498"/>
        <item x="234"/>
        <item x="203"/>
        <item x="130"/>
        <item x="256"/>
        <item x="192"/>
        <item x="412"/>
        <item x="31"/>
        <item x="457"/>
        <item x="490"/>
        <item x="298"/>
        <item x="287"/>
        <item x="215"/>
        <item x="462"/>
        <item x="79"/>
        <item x="169"/>
        <item x="406"/>
        <item x="176"/>
        <item x="369"/>
        <item x="463"/>
        <item x="334"/>
        <item x="80"/>
        <item x="257"/>
        <item x="141"/>
        <item x="254"/>
        <item x="204"/>
        <item x="372"/>
        <item x="224"/>
        <item x="107"/>
        <item x="398"/>
        <item x="59"/>
        <item x="260"/>
        <item x="143"/>
        <item x="345"/>
        <item x="236"/>
        <item x="360"/>
        <item x="338"/>
        <item x="101"/>
        <item x="24"/>
        <item x="181"/>
        <item x="333"/>
        <item x="294"/>
        <item x="441"/>
        <item x="34"/>
        <item x="243"/>
        <item x="297"/>
        <item x="456"/>
        <item x="357"/>
        <item x="154"/>
        <item x="488"/>
        <item x="339"/>
        <item x="419"/>
        <item x="53"/>
        <item x="22"/>
        <item x="391"/>
        <item x="2"/>
        <item x="209"/>
        <item x="449"/>
        <item x="434"/>
        <item x="33"/>
        <item x="392"/>
        <item x="237"/>
        <item x="225"/>
        <item x="494"/>
        <item x="246"/>
        <item x="144"/>
        <item x="103"/>
        <item x="118"/>
        <item x="351"/>
        <item x="262"/>
        <item x="70"/>
        <item x="301"/>
        <item x="128"/>
        <item x="309"/>
        <item x="486"/>
        <item x="196"/>
        <item x="123"/>
        <item x="267"/>
        <item x="85"/>
        <item x="160"/>
        <item x="477"/>
        <item x="340"/>
        <item x="492"/>
        <item x="71"/>
        <item x="189"/>
        <item x="313"/>
        <item x="274"/>
        <item x="134"/>
        <item x="35"/>
        <item x="152"/>
        <item x="396"/>
        <item x="478"/>
        <item x="47"/>
        <item x="482"/>
        <item x="177"/>
        <item x="216"/>
        <item x="114"/>
        <item x="125"/>
        <item x="191"/>
        <item x="105"/>
        <item x="495"/>
        <item x="343"/>
        <item x="436"/>
        <item x="121"/>
        <item x="289"/>
        <item x="174"/>
        <item x="286"/>
        <item x="39"/>
        <item x="164"/>
        <item x="55"/>
        <item x="381"/>
        <item x="202"/>
        <item x="44"/>
        <item x="377"/>
        <item x="401"/>
        <item x="454"/>
        <item x="386"/>
        <item x="487"/>
        <item x="42"/>
        <item x="371"/>
        <item x="104"/>
        <item x="235"/>
        <item x="151"/>
        <item x="368"/>
        <item x="431"/>
        <item x="329"/>
        <item x="148"/>
        <item x="295"/>
        <item x="245"/>
        <item x="390"/>
        <item x="221"/>
        <item x="84"/>
        <item x="12"/>
        <item x="150"/>
        <item x="205"/>
        <item x="359"/>
        <item x="308"/>
        <item x="378"/>
        <item x="327"/>
        <item x="375"/>
        <item x="355"/>
        <item x="8"/>
        <item x="335"/>
        <item x="99"/>
        <item x="195"/>
        <item x="292"/>
        <item x="19"/>
        <item x="420"/>
        <item x="110"/>
        <item x="290"/>
        <item x="228"/>
        <item x="447"/>
        <item x="484"/>
        <item x="222"/>
        <item x="157"/>
        <item x="220"/>
        <item x="452"/>
        <item x="293"/>
        <item x="384"/>
        <item x="270"/>
        <item x="180"/>
        <item x="491"/>
        <item x="330"/>
        <item x="347"/>
        <item x="10"/>
        <item x="263"/>
        <item x="323"/>
        <item x="40"/>
        <item x="0"/>
        <item x="450"/>
        <item x="182"/>
        <item x="75"/>
        <item x="364"/>
        <item x="374"/>
        <item x="74"/>
        <item x="91"/>
        <item x="275"/>
        <item x="475"/>
        <item x="393"/>
        <item x="20"/>
        <item x="352"/>
        <item x="112"/>
        <item x="168"/>
        <item x="317"/>
        <item x="324"/>
        <item x="474"/>
        <item x="469"/>
        <item x="230"/>
        <item x="240"/>
        <item x="348"/>
        <item x="87"/>
        <item x="18"/>
        <item x="302"/>
        <item x="479"/>
        <item x="413"/>
        <item x="296"/>
        <item x="170"/>
        <item x="326"/>
        <item x="285"/>
        <item x="165"/>
        <item x="4"/>
        <item x="282"/>
        <item x="467"/>
        <item x="27"/>
        <item x="117"/>
        <item x="49"/>
        <item x="120"/>
        <item x="241"/>
        <item x="459"/>
        <item x="404"/>
        <item x="183"/>
        <item x="162"/>
        <item x="15"/>
        <item x="332"/>
        <item x="78"/>
        <item x="86"/>
        <item x="217"/>
        <item x="356"/>
        <item x="201"/>
        <item x="13"/>
        <item x="383"/>
        <item x="389"/>
        <item x="232"/>
        <item x="138"/>
        <item x="16"/>
        <item x="6"/>
        <item x="448"/>
        <item x="271"/>
        <item x="3"/>
        <item x="227"/>
        <item x="60"/>
        <item x="319"/>
        <item x="361"/>
        <item x="23"/>
        <item x="97"/>
        <item x="36"/>
        <item x="439"/>
        <item x="229"/>
        <item x="400"/>
        <item x="185"/>
        <item x="376"/>
        <item x="358"/>
        <item x="387"/>
        <item x="446"/>
        <item x="247"/>
        <item x="28"/>
        <item x="266"/>
        <item x="427"/>
        <item x="155"/>
        <item x="443"/>
        <item x="363"/>
        <item x="409"/>
        <item x="496"/>
        <item x="116"/>
        <item x="1"/>
        <item x="72"/>
        <item x="405"/>
        <item x="149"/>
        <item x="161"/>
        <item x="190"/>
        <item x="29"/>
        <item x="11"/>
        <item x="109"/>
        <item x="425"/>
        <item x="122"/>
        <item x="464"/>
        <item x="367"/>
        <item x="213"/>
        <item x="238"/>
        <item x="52"/>
        <item x="249"/>
        <item x="460"/>
        <item x="466"/>
        <item x="9"/>
        <item x="417"/>
        <item x="66"/>
        <item x="124"/>
        <item x="344"/>
        <item x="131"/>
        <item x="156"/>
        <item x="370"/>
        <item x="73"/>
        <item x="451"/>
        <item x="100"/>
        <item x="167"/>
        <item x="137"/>
        <item x="476"/>
        <item x="279"/>
        <item x="421"/>
        <item x="341"/>
        <item x="142"/>
        <item x="65"/>
        <item x="422"/>
        <item x="468"/>
        <item x="54"/>
        <item x="414"/>
        <item x="43"/>
        <item x="166"/>
        <item x="394"/>
        <item x="408"/>
        <item x="461"/>
        <item x="253"/>
        <item x="68"/>
        <item x="214"/>
        <item x="126"/>
        <item x="108"/>
        <item x="331"/>
        <item x="207"/>
        <item x="50"/>
        <item x="210"/>
        <item x="244"/>
        <item x="88"/>
        <item x="208"/>
        <item x="132"/>
        <item x="32"/>
        <item x="280"/>
        <item x="145"/>
        <item x="299"/>
        <item x="470"/>
        <item x="407"/>
        <item x="212"/>
        <item x="272"/>
        <item x="444"/>
        <item x="188"/>
        <item x="83"/>
        <item x="485"/>
        <item x="95"/>
        <item x="316"/>
        <item x="198"/>
        <item x="51"/>
        <item x="320"/>
        <item x="67"/>
        <item x="119"/>
        <item x="69"/>
        <item t="default"/>
      </items>
    </pivotField>
    <pivotField axis="axisRow" compact="0" showAll="0" sortType="descending">
      <items count="5">
        <item x="0"/>
        <item x="1"/>
        <item x="2"/>
        <item x="3"/>
        <item t="default"/>
      </items>
      <autoSortScope>
        <pivotArea fieldPosition="0">
          <references count="1">
            <reference field="4294967294" count="1" selected="0">
              <x v="0"/>
            </reference>
          </references>
        </pivotArea>
      </autoSortScope>
    </pivotField>
    <pivotField compact="0" showAll="0">
      <items count="466">
        <item x="87"/>
        <item x="179"/>
        <item x="213"/>
        <item x="432"/>
        <item x="379"/>
        <item x="122"/>
        <item x="366"/>
        <item x="139"/>
        <item x="271"/>
        <item x="140"/>
        <item x="159"/>
        <item x="384"/>
        <item x="248"/>
        <item x="342"/>
        <item x="292"/>
        <item x="405"/>
        <item x="314"/>
        <item x="238"/>
        <item x="130"/>
        <item x="268"/>
        <item x="440"/>
        <item x="177"/>
        <item x="378"/>
        <item x="222"/>
        <item x="112"/>
        <item x="77"/>
        <item x="20"/>
        <item x="50"/>
        <item x="5"/>
        <item x="51"/>
        <item x="97"/>
        <item x="235"/>
        <item x="49"/>
        <item x="263"/>
        <item x="118"/>
        <item x="231"/>
        <item x="448"/>
        <item x="234"/>
        <item x="129"/>
        <item x="74"/>
        <item x="447"/>
        <item x="62"/>
        <item x="294"/>
        <item x="358"/>
        <item x="310"/>
        <item x="286"/>
        <item x="99"/>
        <item x="68"/>
        <item x="35"/>
        <item x="330"/>
        <item x="372"/>
        <item x="383"/>
        <item x="297"/>
        <item x="46"/>
        <item x="291"/>
        <item x="301"/>
        <item x="313"/>
        <item x="230"/>
        <item x="355"/>
        <item x="237"/>
        <item x="425"/>
        <item x="264"/>
        <item x="79"/>
        <item x="226"/>
        <item x="408"/>
        <item x="70"/>
        <item x="160"/>
        <item x="135"/>
        <item x="167"/>
        <item x="368"/>
        <item x="191"/>
        <item x="7"/>
        <item x="455"/>
        <item x="283"/>
        <item x="95"/>
        <item x="24"/>
        <item x="183"/>
        <item x="400"/>
        <item x="67"/>
        <item x="338"/>
        <item x="257"/>
        <item x="205"/>
        <item x="173"/>
        <item x="256"/>
        <item x="306"/>
        <item x="189"/>
        <item x="280"/>
        <item x="326"/>
        <item x="198"/>
        <item x="373"/>
        <item x="380"/>
        <item x="184"/>
        <item x="172"/>
        <item x="123"/>
        <item x="429"/>
        <item x="156"/>
        <item x="290"/>
        <item x="199"/>
        <item x="300"/>
        <item x="275"/>
        <item x="274"/>
        <item x="369"/>
        <item x="228"/>
        <item x="337"/>
        <item x="174"/>
        <item x="334"/>
        <item x="163"/>
        <item x="247"/>
        <item x="110"/>
        <item x="371"/>
        <item x="25"/>
        <item x="353"/>
        <item x="351"/>
        <item x="78"/>
        <item x="33"/>
        <item x="352"/>
        <item x="348"/>
        <item x="261"/>
        <item x="398"/>
        <item x="463"/>
        <item x="186"/>
        <item x="454"/>
        <item x="403"/>
        <item x="236"/>
        <item x="406"/>
        <item x="76"/>
        <item x="422"/>
        <item x="459"/>
        <item x="89"/>
        <item x="136"/>
        <item x="420"/>
        <item x="396"/>
        <item x="220"/>
        <item x="44"/>
        <item x="258"/>
        <item x="449"/>
        <item x="269"/>
        <item x="90"/>
        <item x="276"/>
        <item x="22"/>
        <item x="401"/>
        <item x="442"/>
        <item x="58"/>
        <item x="441"/>
        <item x="464"/>
        <item x="219"/>
        <item x="203"/>
        <item x="61"/>
        <item x="438"/>
        <item x="363"/>
        <item x="328"/>
        <item x="316"/>
        <item x="18"/>
        <item x="180"/>
        <item x="116"/>
        <item x="28"/>
        <item x="277"/>
        <item x="88"/>
        <item x="374"/>
        <item x="287"/>
        <item x="394"/>
        <item x="196"/>
        <item x="273"/>
        <item x="439"/>
        <item x="208"/>
        <item x="40"/>
        <item x="65"/>
        <item x="153"/>
        <item x="424"/>
        <item x="214"/>
        <item x="105"/>
        <item x="381"/>
        <item x="117"/>
        <item x="154"/>
        <item x="86"/>
        <item x="42"/>
        <item x="450"/>
        <item x="10"/>
        <item x="55"/>
        <item x="240"/>
        <item x="324"/>
        <item x="13"/>
        <item x="304"/>
        <item x="336"/>
        <item x="102"/>
        <item x="168"/>
        <item x="144"/>
        <item x="91"/>
        <item x="323"/>
        <item x="242"/>
        <item x="341"/>
        <item x="451"/>
        <item x="158"/>
        <item x="83"/>
        <item x="14"/>
        <item x="331"/>
        <item x="413"/>
        <item x="345"/>
        <item x="445"/>
        <item x="59"/>
        <item x="204"/>
        <item x="296"/>
        <item x="311"/>
        <item x="202"/>
        <item x="281"/>
        <item x="161"/>
        <item x="32"/>
        <item x="343"/>
        <item x="84"/>
        <item x="64"/>
        <item x="397"/>
        <item x="254"/>
        <item x="207"/>
        <item x="416"/>
        <item x="367"/>
        <item x="157"/>
        <item x="12"/>
        <item x="27"/>
        <item x="415"/>
        <item x="417"/>
        <item x="9"/>
        <item x="211"/>
        <item x="137"/>
        <item x="176"/>
        <item x="93"/>
        <item x="392"/>
        <item x="29"/>
        <item x="170"/>
        <item x="150"/>
        <item x="370"/>
        <item x="124"/>
        <item x="461"/>
        <item x="215"/>
        <item x="152"/>
        <item x="216"/>
        <item x="195"/>
        <item x="131"/>
        <item x="460"/>
        <item x="267"/>
        <item x="327"/>
        <item x="15"/>
        <item x="81"/>
        <item x="308"/>
        <item x="295"/>
        <item x="212"/>
        <item x="66"/>
        <item x="359"/>
        <item x="354"/>
        <item x="282"/>
        <item x="16"/>
        <item x="332"/>
        <item x="245"/>
        <item x="357"/>
        <item x="134"/>
        <item x="435"/>
        <item x="404"/>
        <item x="298"/>
        <item x="407"/>
        <item x="315"/>
        <item x="126"/>
        <item x="200"/>
        <item x="82"/>
        <item x="138"/>
        <item x="11"/>
        <item x="285"/>
        <item x="223"/>
        <item x="60"/>
        <item x="456"/>
        <item x="312"/>
        <item x="389"/>
        <item x="265"/>
        <item x="229"/>
        <item x="165"/>
        <item x="239"/>
        <item x="47"/>
        <item x="427"/>
        <item x="395"/>
        <item x="419"/>
        <item x="148"/>
        <item x="111"/>
        <item x="284"/>
        <item x="210"/>
        <item x="377"/>
        <item x="266"/>
        <item x="250"/>
        <item x="53"/>
        <item x="288"/>
        <item x="344"/>
        <item x="303"/>
        <item x="340"/>
        <item x="444"/>
        <item x="365"/>
        <item x="132"/>
        <item x="421"/>
        <item x="225"/>
        <item x="364"/>
        <item x="193"/>
        <item x="119"/>
        <item x="162"/>
        <item x="411"/>
        <item x="243"/>
        <item x="48"/>
        <item x="34"/>
        <item x="307"/>
        <item x="57"/>
        <item x="428"/>
        <item x="431"/>
        <item x="227"/>
        <item x="376"/>
        <item x="335"/>
        <item x="418"/>
        <item x="339"/>
        <item x="45"/>
        <item x="252"/>
        <item x="127"/>
        <item x="107"/>
        <item x="322"/>
        <item x="217"/>
        <item x="244"/>
        <item x="96"/>
        <item x="37"/>
        <item x="73"/>
        <item x="289"/>
        <item x="349"/>
        <item x="399"/>
        <item x="385"/>
        <item x="145"/>
        <item x="458"/>
        <item x="387"/>
        <item x="453"/>
        <item x="382"/>
        <item x="305"/>
        <item x="278"/>
        <item x="31"/>
        <item x="293"/>
        <item x="146"/>
        <item x="309"/>
        <item x="72"/>
        <item x="151"/>
        <item x="0"/>
        <item x="436"/>
        <item x="106"/>
        <item x="121"/>
        <item x="182"/>
        <item x="155"/>
        <item x="414"/>
        <item x="75"/>
        <item x="361"/>
        <item x="402"/>
        <item x="347"/>
        <item x="21"/>
        <item x="329"/>
        <item x="1"/>
        <item x="249"/>
        <item x="133"/>
        <item x="43"/>
        <item x="101"/>
        <item x="430"/>
        <item x="253"/>
        <item x="393"/>
        <item x="94"/>
        <item x="194"/>
        <item x="320"/>
        <item x="113"/>
        <item x="325"/>
        <item x="166"/>
        <item x="346"/>
        <item x="41"/>
        <item x="255"/>
        <item x="109"/>
        <item x="233"/>
        <item x="270"/>
        <item x="206"/>
        <item x="232"/>
        <item x="224"/>
        <item x="181"/>
        <item x="143"/>
        <item x="141"/>
        <item x="375"/>
        <item x="17"/>
        <item x="185"/>
        <item x="260"/>
        <item x="446"/>
        <item x="443"/>
        <item x="125"/>
        <item x="23"/>
        <item x="360"/>
        <item x="251"/>
        <item x="279"/>
        <item x="6"/>
        <item x="318"/>
        <item x="272"/>
        <item x="259"/>
        <item x="114"/>
        <item x="69"/>
        <item x="386"/>
        <item x="423"/>
        <item x="188"/>
        <item x="433"/>
        <item x="452"/>
        <item x="412"/>
        <item x="120"/>
        <item x="36"/>
        <item x="63"/>
        <item x="30"/>
        <item x="4"/>
        <item x="8"/>
        <item x="92"/>
        <item x="356"/>
        <item x="164"/>
        <item x="104"/>
        <item x="149"/>
        <item x="434"/>
        <item x="39"/>
        <item x="388"/>
        <item x="115"/>
        <item x="437"/>
        <item x="178"/>
        <item x="241"/>
        <item x="321"/>
        <item x="142"/>
        <item x="171"/>
        <item x="26"/>
        <item x="100"/>
        <item x="175"/>
        <item x="317"/>
        <item x="201"/>
        <item x="209"/>
        <item x="350"/>
        <item x="218"/>
        <item x="192"/>
        <item x="390"/>
        <item x="462"/>
        <item x="197"/>
        <item x="362"/>
        <item x="190"/>
        <item x="409"/>
        <item x="426"/>
        <item x="299"/>
        <item x="128"/>
        <item x="52"/>
        <item x="187"/>
        <item x="80"/>
        <item x="333"/>
        <item x="103"/>
        <item x="98"/>
        <item x="2"/>
        <item x="457"/>
        <item x="410"/>
        <item x="169"/>
        <item x="71"/>
        <item x="302"/>
        <item x="38"/>
        <item x="85"/>
        <item x="56"/>
        <item x="262"/>
        <item x="319"/>
        <item x="3"/>
        <item x="246"/>
        <item x="147"/>
        <item x="19"/>
        <item x="221"/>
        <item x="391"/>
        <item x="108"/>
        <item x="54"/>
        <item t="default"/>
      </items>
    </pivotField>
    <pivotField compact="0" showAll="0">
      <items count="197">
        <item x="136"/>
        <item x="34"/>
        <item x="21"/>
        <item x="27"/>
        <item x="41"/>
        <item x="140"/>
        <item x="40"/>
        <item x="138"/>
        <item x="91"/>
        <item x="81"/>
        <item x="2"/>
        <item x="166"/>
        <item x="133"/>
        <item x="190"/>
        <item x="100"/>
        <item x="116"/>
        <item x="37"/>
        <item x="128"/>
        <item x="72"/>
        <item x="159"/>
        <item x="92"/>
        <item x="119"/>
        <item x="145"/>
        <item x="30"/>
        <item x="152"/>
        <item x="97"/>
        <item x="8"/>
        <item x="153"/>
        <item x="69"/>
        <item x="19"/>
        <item x="68"/>
        <item x="10"/>
        <item x="20"/>
        <item x="35"/>
        <item x="15"/>
        <item x="126"/>
        <item x="101"/>
        <item x="50"/>
        <item x="106"/>
        <item x="7"/>
        <item x="117"/>
        <item x="39"/>
        <item x="89"/>
        <item x="142"/>
        <item x="148"/>
        <item x="158"/>
        <item x="16"/>
        <item x="157"/>
        <item x="77"/>
        <item x="53"/>
        <item x="163"/>
        <item x="22"/>
        <item x="0"/>
        <item x="118"/>
        <item x="96"/>
        <item x="74"/>
        <item x="12"/>
        <item x="33"/>
        <item x="44"/>
        <item x="111"/>
        <item x="87"/>
        <item x="94"/>
        <item x="130"/>
        <item x="23"/>
        <item x="5"/>
        <item x="3"/>
        <item x="4"/>
        <item x="115"/>
        <item x="75"/>
        <item x="79"/>
        <item x="93"/>
        <item x="90"/>
        <item x="56"/>
        <item x="18"/>
        <item x="107"/>
        <item x="149"/>
        <item x="86"/>
        <item x="32"/>
        <item x="151"/>
        <item x="67"/>
        <item x="42"/>
        <item x="49"/>
        <item x="170"/>
        <item x="84"/>
        <item x="11"/>
        <item x="24"/>
        <item x="112"/>
        <item x="104"/>
        <item x="83"/>
        <item x="64"/>
        <item x="193"/>
        <item x="132"/>
        <item x="131"/>
        <item x="17"/>
        <item x="189"/>
        <item x="105"/>
        <item x="147"/>
        <item x="61"/>
        <item x="14"/>
        <item x="135"/>
        <item x="1"/>
        <item x="122"/>
        <item x="179"/>
        <item x="176"/>
        <item x="108"/>
        <item x="98"/>
        <item x="171"/>
        <item x="54"/>
        <item x="137"/>
        <item x="120"/>
        <item x="47"/>
        <item x="177"/>
        <item x="174"/>
        <item x="114"/>
        <item x="102"/>
        <item x="180"/>
        <item x="13"/>
        <item x="51"/>
        <item x="57"/>
        <item x="26"/>
        <item x="63"/>
        <item x="113"/>
        <item x="109"/>
        <item x="165"/>
        <item x="55"/>
        <item x="164"/>
        <item x="6"/>
        <item x="184"/>
        <item x="38"/>
        <item x="36"/>
        <item x="127"/>
        <item x="25"/>
        <item x="124"/>
        <item x="88"/>
        <item x="28"/>
        <item x="31"/>
        <item x="52"/>
        <item x="82"/>
        <item x="154"/>
        <item x="99"/>
        <item x="103"/>
        <item x="43"/>
        <item x="182"/>
        <item x="187"/>
        <item x="110"/>
        <item x="141"/>
        <item x="48"/>
        <item x="183"/>
        <item x="144"/>
        <item x="85"/>
        <item x="29"/>
        <item x="191"/>
        <item x="58"/>
        <item x="129"/>
        <item x="70"/>
        <item x="181"/>
        <item x="186"/>
        <item x="156"/>
        <item x="9"/>
        <item x="73"/>
        <item x="134"/>
        <item x="172"/>
        <item x="195"/>
        <item x="123"/>
        <item x="66"/>
        <item x="167"/>
        <item x="161"/>
        <item x="178"/>
        <item x="80"/>
        <item x="169"/>
        <item x="155"/>
        <item x="71"/>
        <item x="46"/>
        <item x="65"/>
        <item x="59"/>
        <item x="185"/>
        <item x="194"/>
        <item x="45"/>
        <item x="188"/>
        <item x="121"/>
        <item x="173"/>
        <item x="160"/>
        <item x="143"/>
        <item x="139"/>
        <item x="78"/>
        <item x="76"/>
        <item x="175"/>
        <item x="162"/>
        <item x="62"/>
        <item x="125"/>
        <item x="95"/>
        <item x="150"/>
        <item x="192"/>
        <item x="60"/>
        <item x="168"/>
        <item x="146"/>
        <item t="default"/>
      </items>
    </pivotField>
    <pivotField compact="0" showAll="0">
      <items count="5">
        <item x="1"/>
        <item x="2"/>
        <item x="0"/>
        <item x="3"/>
        <item t="default"/>
      </items>
    </pivotField>
    <pivotField compact="0" showAll="0">
      <items count="457">
        <item x="35"/>
        <item x="241"/>
        <item x="416"/>
        <item x="326"/>
        <item x="189"/>
        <item x="280"/>
        <item x="358"/>
        <item x="347"/>
        <item x="9"/>
        <item x="232"/>
        <item x="47"/>
        <item x="402"/>
        <item x="173"/>
        <item x="373"/>
        <item x="208"/>
        <item x="250"/>
        <item x="408"/>
        <item x="355"/>
        <item x="88"/>
        <item x="239"/>
        <item x="290"/>
        <item x="219"/>
        <item x="379"/>
        <item x="74"/>
        <item x="26"/>
        <item x="268"/>
        <item x="8"/>
        <item x="297"/>
        <item x="162"/>
        <item x="98"/>
        <item x="449"/>
        <item x="121"/>
        <item x="92"/>
        <item x="313"/>
        <item x="365"/>
        <item x="439"/>
        <item x="441"/>
        <item x="384"/>
        <item x="282"/>
        <item x="14"/>
        <item x="349"/>
        <item x="388"/>
        <item x="15"/>
        <item x="397"/>
        <item x="324"/>
        <item x="106"/>
        <item x="4"/>
        <item x="446"/>
        <item x="76"/>
        <item x="145"/>
        <item x="102"/>
        <item x="220"/>
        <item x="199"/>
        <item x="77"/>
        <item x="249"/>
        <item x="97"/>
        <item x="16"/>
        <item x="386"/>
        <item x="359"/>
        <item x="0"/>
        <item x="133"/>
        <item x="109"/>
        <item x="299"/>
        <item x="67"/>
        <item x="353"/>
        <item x="190"/>
        <item x="94"/>
        <item x="410"/>
        <item x="103"/>
        <item x="400"/>
        <item x="137"/>
        <item x="203"/>
        <item x="330"/>
        <item x="238"/>
        <item x="68"/>
        <item x="87"/>
        <item x="352"/>
        <item x="60"/>
        <item x="56"/>
        <item x="3"/>
        <item x="58"/>
        <item x="291"/>
        <item x="105"/>
        <item x="227"/>
        <item x="228"/>
        <item x="292"/>
        <item x="276"/>
        <item x="419"/>
        <item x="392"/>
        <item x="124"/>
        <item x="167"/>
        <item x="401"/>
        <item x="64"/>
        <item x="135"/>
        <item x="122"/>
        <item x="27"/>
        <item x="229"/>
        <item x="186"/>
        <item x="293"/>
        <item x="136"/>
        <item x="318"/>
        <item x="424"/>
        <item x="70"/>
        <item x="377"/>
        <item x="295"/>
        <item x="210"/>
        <item x="19"/>
        <item x="338"/>
        <item x="323"/>
        <item x="289"/>
        <item x="129"/>
        <item x="255"/>
        <item x="455"/>
        <item x="117"/>
        <item x="66"/>
        <item x="180"/>
        <item x="197"/>
        <item x="216"/>
        <item x="183"/>
        <item x="271"/>
        <item x="381"/>
        <item x="57"/>
        <item x="287"/>
        <item x="1"/>
        <item x="37"/>
        <item x="252"/>
        <item x="130"/>
        <item x="83"/>
        <item x="22"/>
        <item x="104"/>
        <item x="90"/>
        <item x="387"/>
        <item x="311"/>
        <item x="329"/>
        <item x="193"/>
        <item x="224"/>
        <item x="53"/>
        <item x="226"/>
        <item x="212"/>
        <item x="2"/>
        <item x="374"/>
        <item x="393"/>
        <item x="378"/>
        <item x="260"/>
        <item x="86"/>
        <item x="93"/>
        <item x="325"/>
        <item x="357"/>
        <item x="6"/>
        <item x="254"/>
        <item x="364"/>
        <item x="451"/>
        <item x="140"/>
        <item x="275"/>
        <item x="452"/>
        <item x="348"/>
        <item x="79"/>
        <item x="148"/>
        <item x="156"/>
        <item x="170"/>
        <item x="17"/>
        <item x="39"/>
        <item x="28"/>
        <item x="201"/>
        <item x="115"/>
        <item x="128"/>
        <item x="10"/>
        <item x="7"/>
        <item x="375"/>
        <item x="363"/>
        <item x="182"/>
        <item x="454"/>
        <item x="41"/>
        <item x="71"/>
        <item x="72"/>
        <item x="52"/>
        <item x="242"/>
        <item x="265"/>
        <item x="344"/>
        <item x="366"/>
        <item x="369"/>
        <item x="125"/>
        <item x="218"/>
        <item x="164"/>
        <item x="372"/>
        <item x="411"/>
        <item x="78"/>
        <item x="310"/>
        <item x="266"/>
        <item x="169"/>
        <item x="214"/>
        <item x="159"/>
        <item x="270"/>
        <item x="49"/>
        <item x="178"/>
        <item x="146"/>
        <item x="286"/>
        <item x="267"/>
        <item x="108"/>
        <item x="48"/>
        <item x="202"/>
        <item x="194"/>
        <item x="390"/>
        <item x="345"/>
        <item x="304"/>
        <item x="440"/>
        <item x="319"/>
        <item x="185"/>
        <item x="385"/>
        <item x="143"/>
        <item x="11"/>
        <item x="240"/>
        <item x="339"/>
        <item x="434"/>
        <item x="320"/>
        <item x="29"/>
        <item x="394"/>
        <item x="414"/>
        <item x="44"/>
        <item x="118"/>
        <item x="301"/>
        <item x="147"/>
        <item x="257"/>
        <item x="264"/>
        <item x="435"/>
        <item x="30"/>
        <item x="100"/>
        <item x="187"/>
        <item x="134"/>
        <item x="448"/>
        <item x="361"/>
        <item x="432"/>
        <item x="127"/>
        <item x="152"/>
        <item x="120"/>
        <item x="278"/>
        <item x="85"/>
        <item x="223"/>
        <item x="336"/>
        <item x="236"/>
        <item x="114"/>
        <item x="399"/>
        <item x="342"/>
        <item x="184"/>
        <item x="404"/>
        <item x="443"/>
        <item x="262"/>
        <item x="123"/>
        <item x="315"/>
        <item x="215"/>
        <item x="43"/>
        <item x="231"/>
        <item x="150"/>
        <item x="243"/>
        <item x="258"/>
        <item x="423"/>
        <item x="272"/>
        <item x="89"/>
        <item x="453"/>
        <item x="38"/>
        <item x="298"/>
        <item x="248"/>
        <item x="34"/>
        <item x="350"/>
        <item x="283"/>
        <item x="191"/>
        <item x="245"/>
        <item x="119"/>
        <item x="222"/>
        <item x="269"/>
        <item x="176"/>
        <item x="46"/>
        <item x="179"/>
        <item x="230"/>
        <item x="151"/>
        <item x="33"/>
        <item x="396"/>
        <item x="327"/>
        <item x="24"/>
        <item x="177"/>
        <item x="75"/>
        <item x="161"/>
        <item x="376"/>
        <item x="428"/>
        <item x="367"/>
        <item x="415"/>
        <item x="73"/>
        <item x="413"/>
        <item x="113"/>
        <item x="247"/>
        <item x="314"/>
        <item x="244"/>
        <item x="96"/>
        <item x="101"/>
        <item x="63"/>
        <item x="433"/>
        <item x="308"/>
        <item x="288"/>
        <item x="158"/>
        <item x="334"/>
        <item x="422"/>
        <item x="281"/>
        <item x="430"/>
        <item x="84"/>
        <item x="174"/>
        <item x="36"/>
        <item x="40"/>
        <item x="192"/>
        <item x="59"/>
        <item x="141"/>
        <item x="209"/>
        <item x="81"/>
        <item x="277"/>
        <item x="12"/>
        <item x="444"/>
        <item x="300"/>
        <item x="213"/>
        <item x="409"/>
        <item x="256"/>
        <item x="138"/>
        <item x="217"/>
        <item x="82"/>
        <item x="427"/>
        <item x="132"/>
        <item x="69"/>
        <item x="204"/>
        <item x="403"/>
        <item x="157"/>
        <item x="407"/>
        <item x="165"/>
        <item x="171"/>
        <item x="50"/>
        <item x="205"/>
        <item x="303"/>
        <item x="111"/>
        <item x="445"/>
        <item x="154"/>
        <item x="172"/>
        <item x="207"/>
        <item x="317"/>
        <item x="126"/>
        <item x="429"/>
        <item x="322"/>
        <item x="153"/>
        <item x="337"/>
        <item x="51"/>
        <item x="307"/>
        <item x="389"/>
        <item x="181"/>
        <item x="431"/>
        <item x="144"/>
        <item x="426"/>
        <item x="425"/>
        <item x="31"/>
        <item x="13"/>
        <item x="368"/>
        <item x="395"/>
        <item x="91"/>
        <item x="195"/>
        <item x="383"/>
        <item x="139"/>
        <item x="42"/>
        <item x="160"/>
        <item x="175"/>
        <item x="80"/>
        <item x="417"/>
        <item x="370"/>
        <item x="391"/>
        <item x="163"/>
        <item x="142"/>
        <item x="332"/>
        <item x="62"/>
        <item x="25"/>
        <item x="112"/>
        <item x="438"/>
        <item x="54"/>
        <item x="99"/>
        <item x="360"/>
        <item x="285"/>
        <item x="116"/>
        <item x="23"/>
        <item x="341"/>
        <item x="110"/>
        <item x="253"/>
        <item x="335"/>
        <item x="382"/>
        <item x="437"/>
        <item x="166"/>
        <item x="61"/>
        <item x="221"/>
        <item x="312"/>
        <item x="284"/>
        <item x="296"/>
        <item x="354"/>
        <item x="351"/>
        <item x="65"/>
        <item x="237"/>
        <item x="149"/>
        <item x="418"/>
        <item x="309"/>
        <item x="333"/>
        <item x="20"/>
        <item x="331"/>
        <item x="356"/>
        <item x="55"/>
        <item x="233"/>
        <item x="273"/>
        <item x="316"/>
        <item x="259"/>
        <item x="442"/>
        <item x="436"/>
        <item x="340"/>
        <item x="398"/>
        <item x="21"/>
        <item x="95"/>
        <item x="200"/>
        <item x="343"/>
        <item x="246"/>
        <item x="305"/>
        <item x="420"/>
        <item x="196"/>
        <item x="32"/>
        <item x="406"/>
        <item x="321"/>
        <item x="346"/>
        <item x="421"/>
        <item x="450"/>
        <item x="294"/>
        <item x="107"/>
        <item x="251"/>
        <item x="306"/>
        <item x="380"/>
        <item x="371"/>
        <item x="155"/>
        <item x="211"/>
        <item x="188"/>
        <item x="362"/>
        <item x="447"/>
        <item x="198"/>
        <item x="235"/>
        <item x="261"/>
        <item x="234"/>
        <item x="45"/>
        <item x="302"/>
        <item x="412"/>
        <item x="206"/>
        <item x="279"/>
        <item x="328"/>
        <item x="5"/>
        <item x="263"/>
        <item x="18"/>
        <item x="168"/>
        <item x="225"/>
        <item x="274"/>
        <item x="131"/>
        <item x="405"/>
        <item t="default"/>
      </items>
    </pivotField>
  </pivotFields>
  <rowFields count="1">
    <field x="10"/>
  </rowFields>
  <rowItems count="5">
    <i>
      <x v="1"/>
    </i>
    <i>
      <x v="3"/>
    </i>
    <i>
      <x/>
    </i>
    <i>
      <x v="2"/>
    </i>
    <i t="grand">
      <x/>
    </i>
  </rowItems>
  <colItems count="1">
    <i/>
  </colItems>
  <dataFields count="1">
    <dataField name="Sum of Profi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5000000}" name="PivotTable7" cacheId="0" applyNumberFormats="0" applyBorderFormats="0" applyFontFormats="0" applyPatternFormats="0" applyAlignmentFormats="0" applyWidthHeightFormats="1" dataCaption="Values" updatedVersion="5" minRefreshableVersion="3" useAutoFormatting="1" rowGrandTotals="0" colGrandTotals="0" createdVersion="5" indent="0" compact="0" outline="1" outlineData="1" compactData="0" multipleFieldFilters="0" chartFormat="4">
  <location ref="B46:C82" firstHeaderRow="1" firstDataRow="1" firstDataCol="1"/>
  <pivotFields count="20">
    <pivotField dataField="1" compact="0"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compact="0" numFmtId="167" showAll="0">
      <items count="400">
        <item x="238"/>
        <item x="71"/>
        <item x="186"/>
        <item x="322"/>
        <item x="15"/>
        <item x="255"/>
        <item x="211"/>
        <item x="53"/>
        <item x="395"/>
        <item x="358"/>
        <item x="143"/>
        <item x="54"/>
        <item x="233"/>
        <item x="43"/>
        <item x="120"/>
        <item x="222"/>
        <item x="243"/>
        <item x="94"/>
        <item x="115"/>
        <item x="192"/>
        <item x="217"/>
        <item x="201"/>
        <item x="253"/>
        <item x="166"/>
        <item x="335"/>
        <item x="394"/>
        <item x="347"/>
        <item x="64"/>
        <item x="65"/>
        <item x="50"/>
        <item x="297"/>
        <item x="292"/>
        <item x="33"/>
        <item x="140"/>
        <item x="263"/>
        <item x="280"/>
        <item x="138"/>
        <item x="58"/>
        <item x="17"/>
        <item x="362"/>
        <item x="133"/>
        <item x="308"/>
        <item x="127"/>
        <item x="177"/>
        <item x="93"/>
        <item x="245"/>
        <item x="9"/>
        <item x="381"/>
        <item x="128"/>
        <item x="105"/>
        <item x="390"/>
        <item x="318"/>
        <item x="38"/>
        <item x="183"/>
        <item x="274"/>
        <item x="104"/>
        <item x="184"/>
        <item x="239"/>
        <item x="386"/>
        <item x="171"/>
        <item x="117"/>
        <item x="181"/>
        <item x="396"/>
        <item x="398"/>
        <item x="96"/>
        <item x="293"/>
        <item x="392"/>
        <item x="345"/>
        <item x="66"/>
        <item x="241"/>
        <item x="1"/>
        <item x="357"/>
        <item x="328"/>
        <item x="352"/>
        <item x="277"/>
        <item x="311"/>
        <item x="116"/>
        <item x="299"/>
        <item x="151"/>
        <item x="249"/>
        <item x="267"/>
        <item x="203"/>
        <item x="187"/>
        <item x="121"/>
        <item x="102"/>
        <item x="388"/>
        <item x="30"/>
        <item x="226"/>
        <item x="0"/>
        <item x="69"/>
        <item x="103"/>
        <item x="91"/>
        <item x="382"/>
        <item x="129"/>
        <item x="369"/>
        <item x="141"/>
        <item x="324"/>
        <item x="343"/>
        <item x="34"/>
        <item x="346"/>
        <item x="28"/>
        <item x="350"/>
        <item x="287"/>
        <item x="208"/>
        <item x="16"/>
        <item x="24"/>
        <item x="122"/>
        <item x="374"/>
        <item x="111"/>
        <item x="229"/>
        <item x="278"/>
        <item x="110"/>
        <item x="95"/>
        <item x="170"/>
        <item x="70"/>
        <item x="149"/>
        <item x="248"/>
        <item x="90"/>
        <item x="72"/>
        <item x="135"/>
        <item x="29"/>
        <item x="334"/>
        <item x="365"/>
        <item x="237"/>
        <item x="252"/>
        <item x="158"/>
        <item x="348"/>
        <item x="307"/>
        <item x="314"/>
        <item x="112"/>
        <item x="338"/>
        <item x="19"/>
        <item x="333"/>
        <item x="344"/>
        <item x="108"/>
        <item x="131"/>
        <item x="397"/>
        <item x="153"/>
        <item x="261"/>
        <item x="282"/>
        <item x="321"/>
        <item x="74"/>
        <item x="259"/>
        <item x="56"/>
        <item x="198"/>
        <item x="231"/>
        <item x="107"/>
        <item x="262"/>
        <item x="189"/>
        <item x="301"/>
        <item x="197"/>
        <item x="62"/>
        <item x="152"/>
        <item x="266"/>
        <item x="368"/>
        <item x="242"/>
        <item x="146"/>
        <item x="60"/>
        <item x="376"/>
        <item x="136"/>
        <item x="363"/>
        <item x="85"/>
        <item x="356"/>
        <item x="309"/>
        <item x="172"/>
        <item x="48"/>
        <item x="234"/>
        <item x="296"/>
        <item x="175"/>
        <item x="323"/>
        <item x="372"/>
        <item x="144"/>
        <item x="320"/>
        <item x="387"/>
        <item x="371"/>
        <item x="86"/>
        <item x="225"/>
        <item x="199"/>
        <item x="303"/>
        <item x="12"/>
        <item x="367"/>
        <item x="173"/>
        <item x="319"/>
        <item x="219"/>
        <item x="22"/>
        <item x="212"/>
        <item x="273"/>
        <item x="206"/>
        <item x="342"/>
        <item x="134"/>
        <item x="285"/>
        <item x="75"/>
        <item x="92"/>
        <item x="351"/>
        <item x="230"/>
        <item x="257"/>
        <item x="336"/>
        <item x="312"/>
        <item x="325"/>
        <item x="26"/>
        <item x="147"/>
        <item x="32"/>
        <item x="269"/>
        <item x="379"/>
        <item x="150"/>
        <item x="79"/>
        <item x="185"/>
        <item x="370"/>
        <item x="179"/>
        <item x="168"/>
        <item x="2"/>
        <item x="18"/>
        <item x="366"/>
        <item x="385"/>
        <item x="254"/>
        <item x="330"/>
        <item x="106"/>
        <item x="68"/>
        <item x="63"/>
        <item x="61"/>
        <item x="205"/>
        <item x="286"/>
        <item x="77"/>
        <item x="256"/>
        <item x="76"/>
        <item x="25"/>
        <item x="23"/>
        <item x="288"/>
        <item x="89"/>
        <item x="383"/>
        <item x="221"/>
        <item x="210"/>
        <item x="98"/>
        <item x="384"/>
        <item x="268"/>
        <item x="145"/>
        <item x="272"/>
        <item x="7"/>
        <item x="327"/>
        <item x="377"/>
        <item x="40"/>
        <item x="142"/>
        <item x="36"/>
        <item x="46"/>
        <item x="99"/>
        <item x="31"/>
        <item x="380"/>
        <item x="55"/>
        <item x="195"/>
        <item x="109"/>
        <item x="154"/>
        <item x="176"/>
        <item x="279"/>
        <item x="10"/>
        <item x="276"/>
        <item x="331"/>
        <item x="306"/>
        <item x="165"/>
        <item x="317"/>
        <item x="47"/>
        <item x="204"/>
        <item x="329"/>
        <item x="236"/>
        <item x="78"/>
        <item x="119"/>
        <item x="100"/>
        <item x="295"/>
        <item x="87"/>
        <item x="304"/>
        <item x="3"/>
        <item x="194"/>
        <item x="4"/>
        <item x="84"/>
        <item x="332"/>
        <item x="300"/>
        <item x="5"/>
        <item x="80"/>
        <item x="313"/>
        <item x="81"/>
        <item x="224"/>
        <item x="14"/>
        <item x="49"/>
        <item x="193"/>
        <item x="240"/>
        <item x="35"/>
        <item x="271"/>
        <item x="169"/>
        <item x="291"/>
        <item x="42"/>
        <item x="246"/>
        <item x="244"/>
        <item x="305"/>
        <item x="284"/>
        <item x="164"/>
        <item x="316"/>
        <item x="373"/>
        <item x="228"/>
        <item x="355"/>
        <item x="137"/>
        <item x="124"/>
        <item x="67"/>
        <item x="250"/>
        <item x="264"/>
        <item x="82"/>
        <item x="360"/>
        <item x="97"/>
        <item x="378"/>
        <item x="353"/>
        <item x="289"/>
        <item x="251"/>
        <item x="101"/>
        <item x="83"/>
        <item x="163"/>
        <item x="214"/>
        <item x="270"/>
        <item x="283"/>
        <item x="20"/>
        <item x="125"/>
        <item x="39"/>
        <item x="126"/>
        <item x="156"/>
        <item x="209"/>
        <item x="8"/>
        <item x="190"/>
        <item x="326"/>
        <item x="294"/>
        <item x="51"/>
        <item x="182"/>
        <item x="188"/>
        <item x="393"/>
        <item x="216"/>
        <item x="341"/>
        <item x="27"/>
        <item x="361"/>
        <item x="73"/>
        <item x="265"/>
        <item x="130"/>
        <item x="196"/>
        <item x="157"/>
        <item x="88"/>
        <item x="113"/>
        <item x="391"/>
        <item x="159"/>
        <item x="178"/>
        <item x="162"/>
        <item x="118"/>
        <item x="207"/>
        <item x="155"/>
        <item x="275"/>
        <item x="298"/>
        <item x="6"/>
        <item x="227"/>
        <item x="260"/>
        <item x="52"/>
        <item x="132"/>
        <item x="57"/>
        <item x="302"/>
        <item x="123"/>
        <item x="290"/>
        <item x="13"/>
        <item x="359"/>
        <item x="21"/>
        <item x="337"/>
        <item x="232"/>
        <item x="148"/>
        <item x="389"/>
        <item x="41"/>
        <item x="200"/>
        <item x="44"/>
        <item x="191"/>
        <item x="340"/>
        <item x="213"/>
        <item x="349"/>
        <item x="218"/>
        <item x="114"/>
        <item x="167"/>
        <item x="310"/>
        <item x="354"/>
        <item x="215"/>
        <item x="11"/>
        <item x="202"/>
        <item x="375"/>
        <item x="281"/>
        <item x="174"/>
        <item x="139"/>
        <item x="37"/>
        <item x="220"/>
        <item x="247"/>
        <item x="161"/>
        <item x="315"/>
        <item x="59"/>
        <item x="180"/>
        <item x="160"/>
        <item x="223"/>
        <item x="364"/>
        <item x="339"/>
        <item x="235"/>
        <item x="45"/>
        <item x="258"/>
        <item t="default"/>
      </items>
    </pivotField>
    <pivotField compact="0" showAll="0">
      <items count="10">
        <item m="1" x="8"/>
        <item x="2"/>
        <item x="3"/>
        <item x="0"/>
        <item x="6"/>
        <item x="7"/>
        <item x="1"/>
        <item x="4"/>
        <item x="5"/>
        <item t="default"/>
      </items>
    </pivotField>
    <pivotField compact="0" showAll="0">
      <items count="20">
        <item x="14"/>
        <item x="0"/>
        <item x="16"/>
        <item x="4"/>
        <item x="9"/>
        <item x="1"/>
        <item x="17"/>
        <item x="10"/>
        <item x="8"/>
        <item x="11"/>
        <item x="2"/>
        <item x="7"/>
        <item x="15"/>
        <item x="6"/>
        <item x="13"/>
        <item x="12"/>
        <item x="3"/>
        <item x="5"/>
        <item x="18"/>
        <item t="default"/>
      </items>
    </pivotField>
    <pivotField compact="0" showAll="0">
      <items count="21">
        <item x="14"/>
        <item x="0"/>
        <item x="16"/>
        <item x="1"/>
        <item x="9"/>
        <item x="17"/>
        <item x="6"/>
        <item x="10"/>
        <item x="15"/>
        <item x="8"/>
        <item x="11"/>
        <item x="13"/>
        <item x="19"/>
        <item x="2"/>
        <item x="7"/>
        <item x="4"/>
        <item x="12"/>
        <item x="3"/>
        <item x="18"/>
        <item x="5"/>
        <item t="default"/>
      </items>
    </pivotField>
    <pivotField compact="0" showAll="0">
      <items count="20">
        <item x="16"/>
        <item x="3"/>
        <item x="2"/>
        <item x="6"/>
        <item x="15"/>
        <item x="0"/>
        <item x="10"/>
        <item x="9"/>
        <item x="11"/>
        <item x="4"/>
        <item x="17"/>
        <item x="5"/>
        <item x="12"/>
        <item x="7"/>
        <item x="1"/>
        <item x="14"/>
        <item x="8"/>
        <item x="18"/>
        <item x="13"/>
        <item t="default"/>
      </items>
    </pivotField>
    <pivotField compact="0" showAll="0">
      <items count="262">
        <item x="156"/>
        <item x="32"/>
        <item x="54"/>
        <item x="210"/>
        <item x="134"/>
        <item x="89"/>
        <item x="103"/>
        <item x="212"/>
        <item x="62"/>
        <item x="216"/>
        <item x="157"/>
        <item x="55"/>
        <item x="172"/>
        <item x="160"/>
        <item x="260"/>
        <item x="42"/>
        <item x="6"/>
        <item x="0"/>
        <item x="73"/>
        <item x="26"/>
        <item x="223"/>
        <item x="45"/>
        <item x="69"/>
        <item x="39"/>
        <item x="13"/>
        <item x="228"/>
        <item x="184"/>
        <item x="102"/>
        <item x="143"/>
        <item x="50"/>
        <item x="59"/>
        <item x="47"/>
        <item x="117"/>
        <item x="155"/>
        <item x="91"/>
        <item x="106"/>
        <item x="232"/>
        <item x="35"/>
        <item x="259"/>
        <item x="44"/>
        <item x="244"/>
        <item x="109"/>
        <item x="146"/>
        <item x="24"/>
        <item x="211"/>
        <item x="167"/>
        <item x="256"/>
        <item x="104"/>
        <item x="150"/>
        <item x="31"/>
        <item x="4"/>
        <item x="149"/>
        <item x="123"/>
        <item x="85"/>
        <item x="72"/>
        <item x="133"/>
        <item x="227"/>
        <item x="100"/>
        <item x="127"/>
        <item x="124"/>
        <item x="175"/>
        <item x="20"/>
        <item x="83"/>
        <item x="25"/>
        <item x="75"/>
        <item x="101"/>
        <item x="11"/>
        <item x="79"/>
        <item x="200"/>
        <item x="169"/>
        <item x="52"/>
        <item x="246"/>
        <item x="86"/>
        <item x="205"/>
        <item x="18"/>
        <item x="87"/>
        <item x="16"/>
        <item x="136"/>
        <item x="93"/>
        <item x="1"/>
        <item x="53"/>
        <item x="12"/>
        <item x="239"/>
        <item x="230"/>
        <item x="76"/>
        <item x="177"/>
        <item x="139"/>
        <item x="132"/>
        <item x="214"/>
        <item x="183"/>
        <item x="151"/>
        <item x="213"/>
        <item x="108"/>
        <item x="255"/>
        <item x="82"/>
        <item x="225"/>
        <item x="180"/>
        <item x="36"/>
        <item x="229"/>
        <item x="237"/>
        <item x="217"/>
        <item x="14"/>
        <item x="235"/>
        <item x="113"/>
        <item x="112"/>
        <item x="174"/>
        <item x="34"/>
        <item x="226"/>
        <item x="80"/>
        <item x="96"/>
        <item x="208"/>
        <item x="185"/>
        <item x="10"/>
        <item x="221"/>
        <item x="49"/>
        <item x="95"/>
        <item x="163"/>
        <item x="28"/>
        <item x="67"/>
        <item x="204"/>
        <item x="196"/>
        <item x="220"/>
        <item x="64"/>
        <item x="152"/>
        <item x="254"/>
        <item x="15"/>
        <item x="251"/>
        <item x="140"/>
        <item x="60"/>
        <item x="17"/>
        <item x="30"/>
        <item x="242"/>
        <item x="65"/>
        <item x="191"/>
        <item x="202"/>
        <item x="21"/>
        <item x="126"/>
        <item x="121"/>
        <item x="78"/>
        <item x="218"/>
        <item x="250"/>
        <item x="2"/>
        <item x="68"/>
        <item x="164"/>
        <item x="99"/>
        <item x="176"/>
        <item x="130"/>
        <item x="131"/>
        <item x="37"/>
        <item x="192"/>
        <item x="147"/>
        <item x="224"/>
        <item x="29"/>
        <item x="70"/>
        <item x="119"/>
        <item x="181"/>
        <item x="142"/>
        <item x="201"/>
        <item x="122"/>
        <item x="88"/>
        <item x="74"/>
        <item x="9"/>
        <item x="166"/>
        <item x="107"/>
        <item x="43"/>
        <item x="110"/>
        <item x="186"/>
        <item x="203"/>
        <item x="236"/>
        <item x="81"/>
        <item x="238"/>
        <item x="219"/>
        <item x="48"/>
        <item x="144"/>
        <item x="209"/>
        <item x="249"/>
        <item x="252"/>
        <item x="33"/>
        <item x="173"/>
        <item x="170"/>
        <item x="84"/>
        <item x="61"/>
        <item x="66"/>
        <item x="90"/>
        <item x="198"/>
        <item x="148"/>
        <item x="19"/>
        <item x="120"/>
        <item x="105"/>
        <item x="7"/>
        <item x="41"/>
        <item x="57"/>
        <item x="188"/>
        <item x="179"/>
        <item x="114"/>
        <item x="135"/>
        <item x="257"/>
        <item x="98"/>
        <item x="46"/>
        <item x="245"/>
        <item x="199"/>
        <item x="206"/>
        <item x="161"/>
        <item x="190"/>
        <item x="27"/>
        <item x="194"/>
        <item x="215"/>
        <item x="138"/>
        <item x="182"/>
        <item x="94"/>
        <item x="56"/>
        <item x="23"/>
        <item x="247"/>
        <item x="165"/>
        <item x="153"/>
        <item x="128"/>
        <item x="129"/>
        <item x="168"/>
        <item x="111"/>
        <item x="231"/>
        <item x="234"/>
        <item x="158"/>
        <item x="3"/>
        <item x="197"/>
        <item x="22"/>
        <item x="207"/>
        <item x="243"/>
        <item x="258"/>
        <item x="38"/>
        <item x="241"/>
        <item x="137"/>
        <item x="97"/>
        <item x="195"/>
        <item x="116"/>
        <item x="92"/>
        <item x="115"/>
        <item x="240"/>
        <item x="222"/>
        <item x="145"/>
        <item x="58"/>
        <item x="77"/>
        <item x="8"/>
        <item x="193"/>
        <item x="187"/>
        <item x="171"/>
        <item x="253"/>
        <item x="178"/>
        <item x="5"/>
        <item x="159"/>
        <item x="118"/>
        <item x="189"/>
        <item x="248"/>
        <item x="125"/>
        <item x="40"/>
        <item x="233"/>
        <item x="162"/>
        <item x="51"/>
        <item x="71"/>
        <item x="154"/>
        <item x="63"/>
        <item x="141"/>
        <item t="default"/>
      </items>
    </pivotField>
    <pivotField compact="0" showAll="0">
      <items count="21">
        <item x="17"/>
        <item x="3"/>
        <item x="2"/>
        <item x="0"/>
        <item x="16"/>
        <item x="10"/>
        <item x="7"/>
        <item x="9"/>
        <item x="13"/>
        <item x="12"/>
        <item x="4"/>
        <item x="1"/>
        <item x="6"/>
        <item x="18"/>
        <item x="5"/>
        <item x="11"/>
        <item x="15"/>
        <item x="8"/>
        <item x="14"/>
        <item x="19"/>
        <item t="default"/>
      </items>
    </pivotField>
    <pivotField compact="0" showAll="0">
      <items count="97">
        <item x="48"/>
        <item x="38"/>
        <item x="54"/>
        <item x="22"/>
        <item x="88"/>
        <item x="90"/>
        <item x="26"/>
        <item x="3"/>
        <item x="12"/>
        <item x="20"/>
        <item x="34"/>
        <item x="25"/>
        <item x="24"/>
        <item x="14"/>
        <item x="62"/>
        <item x="58"/>
        <item x="68"/>
        <item x="92"/>
        <item x="73"/>
        <item x="8"/>
        <item x="11"/>
        <item x="46"/>
        <item x="89"/>
        <item x="10"/>
        <item x="94"/>
        <item x="87"/>
        <item x="5"/>
        <item x="18"/>
        <item x="61"/>
        <item x="0"/>
        <item x="6"/>
        <item x="60"/>
        <item x="53"/>
        <item x="57"/>
        <item x="44"/>
        <item x="70"/>
        <item x="45"/>
        <item x="19"/>
        <item x="43"/>
        <item x="31"/>
        <item x="85"/>
        <item x="40"/>
        <item x="2"/>
        <item x="37"/>
        <item x="95"/>
        <item x="86"/>
        <item x="23"/>
        <item x="28"/>
        <item x="63"/>
        <item x="42"/>
        <item x="77"/>
        <item x="64"/>
        <item x="27"/>
        <item x="15"/>
        <item x="21"/>
        <item x="33"/>
        <item x="17"/>
        <item x="66"/>
        <item x="52"/>
        <item x="91"/>
        <item x="35"/>
        <item x="81"/>
        <item x="49"/>
        <item x="55"/>
        <item x="84"/>
        <item x="65"/>
        <item x="9"/>
        <item x="79"/>
        <item x="74"/>
        <item x="29"/>
        <item x="71"/>
        <item x="67"/>
        <item x="36"/>
        <item x="39"/>
        <item x="75"/>
        <item x="51"/>
        <item x="1"/>
        <item x="69"/>
        <item x="59"/>
        <item x="13"/>
        <item x="78"/>
        <item x="93"/>
        <item x="56"/>
        <item x="7"/>
        <item x="80"/>
        <item x="4"/>
        <item x="32"/>
        <item x="30"/>
        <item x="72"/>
        <item x="76"/>
        <item x="47"/>
        <item x="82"/>
        <item x="83"/>
        <item x="50"/>
        <item x="16"/>
        <item x="41"/>
        <item t="default"/>
      </items>
    </pivotField>
    <pivotField compact="0" showAll="0">
      <items count="409">
        <item x="184"/>
        <item x="160"/>
        <item x="135"/>
        <item x="130"/>
        <item x="334"/>
        <item x="291"/>
        <item x="92"/>
        <item x="147"/>
        <item x="224"/>
        <item x="195"/>
        <item x="65"/>
        <item x="377"/>
        <item x="331"/>
        <item x="385"/>
        <item x="170"/>
        <item x="194"/>
        <item x="368"/>
        <item x="192"/>
        <item x="279"/>
        <item x="36"/>
        <item x="372"/>
        <item x="165"/>
        <item x="328"/>
        <item x="4"/>
        <item x="1"/>
        <item x="71"/>
        <item x="121"/>
        <item x="290"/>
        <item x="267"/>
        <item x="322"/>
        <item x="335"/>
        <item x="114"/>
        <item x="197"/>
        <item x="381"/>
        <item x="347"/>
        <item x="180"/>
        <item x="119"/>
        <item x="383"/>
        <item x="17"/>
        <item x="319"/>
        <item x="34"/>
        <item x="106"/>
        <item x="258"/>
        <item x="272"/>
        <item x="99"/>
        <item x="311"/>
        <item x="154"/>
        <item x="201"/>
        <item x="78"/>
        <item x="271"/>
        <item x="102"/>
        <item x="105"/>
        <item x="318"/>
        <item x="261"/>
        <item x="247"/>
        <item x="346"/>
        <item x="300"/>
        <item x="35"/>
        <item x="245"/>
        <item x="370"/>
        <item x="150"/>
        <item x="402"/>
        <item x="178"/>
        <item x="46"/>
        <item x="77"/>
        <item x="292"/>
        <item x="159"/>
        <item x="387"/>
        <item x="249"/>
        <item x="277"/>
        <item x="374"/>
        <item x="308"/>
        <item x="89"/>
        <item x="146"/>
        <item x="336"/>
        <item x="81"/>
        <item x="132"/>
        <item x="94"/>
        <item x="214"/>
        <item x="21"/>
        <item x="112"/>
        <item x="341"/>
        <item x="270"/>
        <item x="28"/>
        <item x="242"/>
        <item x="162"/>
        <item x="330"/>
        <item x="392"/>
        <item x="166"/>
        <item x="218"/>
        <item x="389"/>
        <item x="371"/>
        <item x="53"/>
        <item x="265"/>
        <item x="233"/>
        <item x="281"/>
        <item x="133"/>
        <item x="169"/>
        <item x="64"/>
        <item x="62"/>
        <item x="40"/>
        <item x="254"/>
        <item x="171"/>
        <item x="213"/>
        <item x="15"/>
        <item x="406"/>
        <item x="280"/>
        <item x="26"/>
        <item x="246"/>
        <item x="14"/>
        <item x="405"/>
        <item x="401"/>
        <item x="384"/>
        <item x="196"/>
        <item x="207"/>
        <item x="8"/>
        <item x="118"/>
        <item x="85"/>
        <item x="10"/>
        <item x="134"/>
        <item x="369"/>
        <item x="23"/>
        <item x="337"/>
        <item x="312"/>
        <item x="176"/>
        <item x="210"/>
        <item x="69"/>
        <item x="3"/>
        <item x="209"/>
        <item x="47"/>
        <item x="378"/>
        <item x="283"/>
        <item x="111"/>
        <item x="61"/>
        <item x="206"/>
        <item x="348"/>
        <item x="149"/>
        <item x="251"/>
        <item x="379"/>
        <item x="260"/>
        <item x="58"/>
        <item x="100"/>
        <item x="189"/>
        <item x="19"/>
        <item x="225"/>
        <item x="239"/>
        <item x="338"/>
        <item x="57"/>
        <item x="252"/>
        <item x="358"/>
        <item x="164"/>
        <item x="172"/>
        <item x="232"/>
        <item x="6"/>
        <item x="376"/>
        <item x="90"/>
        <item x="326"/>
        <item x="345"/>
        <item x="12"/>
        <item x="361"/>
        <item x="278"/>
        <item x="230"/>
        <item x="238"/>
        <item x="344"/>
        <item x="244"/>
        <item x="113"/>
        <item x="243"/>
        <item x="226"/>
        <item x="327"/>
        <item x="390"/>
        <item x="27"/>
        <item x="231"/>
        <item x="350"/>
        <item x="400"/>
        <item x="293"/>
        <item x="253"/>
        <item x="188"/>
        <item x="304"/>
        <item x="234"/>
        <item x="307"/>
        <item x="342"/>
        <item x="25"/>
        <item x="56"/>
        <item x="76"/>
        <item x="120"/>
        <item x="321"/>
        <item x="63"/>
        <item x="123"/>
        <item x="212"/>
        <item x="305"/>
        <item x="20"/>
        <item x="124"/>
        <item x="143"/>
        <item x="96"/>
        <item x="141"/>
        <item x="11"/>
        <item x="269"/>
        <item x="98"/>
        <item x="152"/>
        <item x="396"/>
        <item x="83"/>
        <item x="136"/>
        <item x="93"/>
        <item x="240"/>
        <item x="259"/>
        <item x="174"/>
        <item x="187"/>
        <item x="282"/>
        <item x="37"/>
        <item x="51"/>
        <item x="107"/>
        <item x="241"/>
        <item x="388"/>
        <item x="59"/>
        <item x="30"/>
        <item x="382"/>
        <item x="351"/>
        <item x="97"/>
        <item x="115"/>
        <item x="55"/>
        <item x="229"/>
        <item x="295"/>
        <item x="343"/>
        <item x="125"/>
        <item x="289"/>
        <item x="364"/>
        <item x="302"/>
        <item x="2"/>
        <item x="193"/>
        <item x="84"/>
        <item x="363"/>
        <item x="88"/>
        <item x="264"/>
        <item x="82"/>
        <item x="299"/>
        <item x="349"/>
        <item x="60"/>
        <item x="191"/>
        <item x="131"/>
        <item x="359"/>
        <item x="5"/>
        <item x="80"/>
        <item x="215"/>
        <item x="24"/>
        <item x="222"/>
        <item x="220"/>
        <item x="297"/>
        <item x="219"/>
        <item x="367"/>
        <item x="256"/>
        <item x="362"/>
        <item x="263"/>
        <item x="45"/>
        <item x="395"/>
        <item x="67"/>
        <item x="393"/>
        <item x="168"/>
        <item x="276"/>
        <item x="366"/>
        <item x="185"/>
        <item x="0"/>
        <item x="340"/>
        <item x="399"/>
        <item x="221"/>
        <item x="316"/>
        <item x="153"/>
        <item x="294"/>
        <item x="151"/>
        <item x="16"/>
        <item x="391"/>
        <item x="274"/>
        <item x="157"/>
        <item x="52"/>
        <item x="18"/>
        <item x="217"/>
        <item x="29"/>
        <item x="273"/>
        <item x="398"/>
        <item x="54"/>
        <item x="248"/>
        <item x="39"/>
        <item x="216"/>
        <item x="181"/>
        <item x="227"/>
        <item x="32"/>
        <item x="104"/>
        <item x="186"/>
        <item x="375"/>
        <item x="202"/>
        <item x="306"/>
        <item x="22"/>
        <item x="73"/>
        <item x="142"/>
        <item x="268"/>
        <item x="235"/>
        <item x="208"/>
        <item x="315"/>
        <item x="397"/>
        <item x="386"/>
        <item x="286"/>
        <item x="66"/>
        <item x="200"/>
        <item x="145"/>
        <item x="333"/>
        <item x="75"/>
        <item x="262"/>
        <item x="128"/>
        <item x="41"/>
        <item x="394"/>
        <item x="203"/>
        <item x="257"/>
        <item x="352"/>
        <item x="109"/>
        <item x="298"/>
        <item x="103"/>
        <item x="255"/>
        <item x="122"/>
        <item x="296"/>
        <item x="314"/>
        <item x="129"/>
        <item x="320"/>
        <item x="74"/>
        <item x="228"/>
        <item x="182"/>
        <item x="205"/>
        <item x="139"/>
        <item x="31"/>
        <item x="167"/>
        <item x="266"/>
        <item x="373"/>
        <item x="173"/>
        <item x="108"/>
        <item x="284"/>
        <item x="158"/>
        <item x="95"/>
        <item x="42"/>
        <item x="183"/>
        <item x="199"/>
        <item x="357"/>
        <item x="190"/>
        <item x="317"/>
        <item x="86"/>
        <item x="137"/>
        <item x="43"/>
        <item x="329"/>
        <item x="117"/>
        <item x="198"/>
        <item x="44"/>
        <item x="360"/>
        <item x="38"/>
        <item x="404"/>
        <item x="101"/>
        <item x="403"/>
        <item x="354"/>
        <item x="48"/>
        <item x="339"/>
        <item x="285"/>
        <item x="91"/>
        <item x="50"/>
        <item x="303"/>
        <item x="148"/>
        <item x="140"/>
        <item x="70"/>
        <item x="175"/>
        <item x="310"/>
        <item x="72"/>
        <item x="110"/>
        <item x="127"/>
        <item x="161"/>
        <item x="126"/>
        <item x="79"/>
        <item x="144"/>
        <item x="33"/>
        <item x="332"/>
        <item x="223"/>
        <item x="237"/>
        <item x="177"/>
        <item x="380"/>
        <item x="236"/>
        <item x="156"/>
        <item x="287"/>
        <item x="138"/>
        <item x="87"/>
        <item x="324"/>
        <item x="9"/>
        <item x="204"/>
        <item x="155"/>
        <item x="116"/>
        <item x="301"/>
        <item x="356"/>
        <item x="365"/>
        <item x="13"/>
        <item x="163"/>
        <item x="68"/>
        <item x="313"/>
        <item x="179"/>
        <item x="275"/>
        <item x="7"/>
        <item x="353"/>
        <item x="211"/>
        <item x="49"/>
        <item x="325"/>
        <item x="288"/>
        <item x="355"/>
        <item x="407"/>
        <item x="323"/>
        <item x="250"/>
        <item x="309"/>
        <item t="default"/>
      </items>
    </pivotField>
    <pivotField compact="0" showAll="0">
      <items count="277">
        <item x="185"/>
        <item x="10"/>
        <item x="139"/>
        <item x="95"/>
        <item x="254"/>
        <item x="221"/>
        <item x="258"/>
        <item x="159"/>
        <item x="232"/>
        <item x="263"/>
        <item x="127"/>
        <item x="118"/>
        <item x="150"/>
        <item x="104"/>
        <item x="114"/>
        <item x="18"/>
        <item x="155"/>
        <item x="6"/>
        <item x="20"/>
        <item x="19"/>
        <item x="81"/>
        <item x="21"/>
        <item x="204"/>
        <item x="148"/>
        <item x="43"/>
        <item x="89"/>
        <item x="49"/>
        <item x="140"/>
        <item x="8"/>
        <item x="184"/>
        <item x="16"/>
        <item x="233"/>
        <item x="270"/>
        <item x="54"/>
        <item x="47"/>
        <item x="17"/>
        <item x="109"/>
        <item x="76"/>
        <item x="189"/>
        <item x="251"/>
        <item x="124"/>
        <item x="83"/>
        <item x="164"/>
        <item x="142"/>
        <item x="182"/>
        <item x="158"/>
        <item x="122"/>
        <item x="7"/>
        <item x="226"/>
        <item x="135"/>
        <item x="66"/>
        <item x="2"/>
        <item x="24"/>
        <item x="39"/>
        <item x="125"/>
        <item x="46"/>
        <item x="171"/>
        <item x="166"/>
        <item x="96"/>
        <item x="58"/>
        <item x="75"/>
        <item x="29"/>
        <item x="246"/>
        <item x="144"/>
        <item x="141"/>
        <item x="223"/>
        <item x="256"/>
        <item x="257"/>
        <item x="105"/>
        <item x="192"/>
        <item x="197"/>
        <item x="45"/>
        <item x="129"/>
        <item x="272"/>
        <item x="28"/>
        <item x="13"/>
        <item x="212"/>
        <item x="242"/>
        <item x="172"/>
        <item x="200"/>
        <item x="14"/>
        <item x="69"/>
        <item x="61"/>
        <item x="53"/>
        <item x="40"/>
        <item x="152"/>
        <item x="138"/>
        <item x="267"/>
        <item x="238"/>
        <item x="57"/>
        <item x="106"/>
        <item x="56"/>
        <item x="22"/>
        <item x="177"/>
        <item x="84"/>
        <item x="59"/>
        <item x="210"/>
        <item x="26"/>
        <item x="44"/>
        <item x="80"/>
        <item x="156"/>
        <item x="101"/>
        <item x="4"/>
        <item x="275"/>
        <item x="143"/>
        <item x="236"/>
        <item x="52"/>
        <item x="102"/>
        <item x="191"/>
        <item x="196"/>
        <item x="195"/>
        <item x="130"/>
        <item x="116"/>
        <item x="63"/>
        <item x="273"/>
        <item x="34"/>
        <item x="15"/>
        <item x="271"/>
        <item x="193"/>
        <item x="88"/>
        <item x="161"/>
        <item x="225"/>
        <item x="173"/>
        <item x="137"/>
        <item x="181"/>
        <item x="91"/>
        <item x="99"/>
        <item x="227"/>
        <item x="167"/>
        <item x="131"/>
        <item x="33"/>
        <item x="249"/>
        <item x="112"/>
        <item x="154"/>
        <item x="248"/>
        <item x="87"/>
        <item x="72"/>
        <item x="253"/>
        <item x="42"/>
        <item x="97"/>
        <item x="123"/>
        <item x="260"/>
        <item x="151"/>
        <item x="175"/>
        <item x="169"/>
        <item x="67"/>
        <item x="241"/>
        <item x="92"/>
        <item x="250"/>
        <item x="252"/>
        <item x="86"/>
        <item x="183"/>
        <item x="94"/>
        <item x="162"/>
        <item x="218"/>
        <item x="32"/>
        <item x="245"/>
        <item x="240"/>
        <item x="205"/>
        <item x="262"/>
        <item x="224"/>
        <item x="77"/>
        <item x="269"/>
        <item x="30"/>
        <item x="149"/>
        <item x="230"/>
        <item x="108"/>
        <item x="132"/>
        <item x="206"/>
        <item x="168"/>
        <item x="213"/>
        <item x="219"/>
        <item x="237"/>
        <item x="50"/>
        <item x="51"/>
        <item x="79"/>
        <item x="37"/>
        <item x="198"/>
        <item x="85"/>
        <item x="133"/>
        <item x="65"/>
        <item x="36"/>
        <item x="107"/>
        <item x="239"/>
        <item x="259"/>
        <item x="174"/>
        <item x="111"/>
        <item x="187"/>
        <item x="170"/>
        <item x="3"/>
        <item x="179"/>
        <item x="247"/>
        <item x="180"/>
        <item x="266"/>
        <item x="35"/>
        <item x="121"/>
        <item x="160"/>
        <item x="9"/>
        <item x="207"/>
        <item x="38"/>
        <item x="222"/>
        <item x="1"/>
        <item x="82"/>
        <item x="208"/>
        <item x="217"/>
        <item x="190"/>
        <item x="136"/>
        <item x="235"/>
        <item x="203"/>
        <item x="100"/>
        <item x="214"/>
        <item x="199"/>
        <item x="188"/>
        <item x="165"/>
        <item x="11"/>
        <item x="211"/>
        <item x="119"/>
        <item x="73"/>
        <item x="78"/>
        <item x="201"/>
        <item x="126"/>
        <item x="264"/>
        <item x="70"/>
        <item x="23"/>
        <item x="153"/>
        <item x="74"/>
        <item x="110"/>
        <item x="194"/>
        <item x="145"/>
        <item x="128"/>
        <item x="113"/>
        <item x="274"/>
        <item x="234"/>
        <item x="68"/>
        <item x="215"/>
        <item x="103"/>
        <item x="231"/>
        <item x="268"/>
        <item x="220"/>
        <item x="62"/>
        <item x="178"/>
        <item x="93"/>
        <item x="71"/>
        <item x="31"/>
        <item x="98"/>
        <item x="261"/>
        <item x="243"/>
        <item x="27"/>
        <item x="115"/>
        <item x="120"/>
        <item x="55"/>
        <item x="60"/>
        <item x="5"/>
        <item x="176"/>
        <item x="244"/>
        <item x="202"/>
        <item x="64"/>
        <item x="163"/>
        <item x="90"/>
        <item x="147"/>
        <item x="134"/>
        <item x="117"/>
        <item x="265"/>
        <item x="12"/>
        <item x="48"/>
        <item x="229"/>
        <item x="0"/>
        <item x="209"/>
        <item x="25"/>
        <item x="216"/>
        <item x="186"/>
        <item x="41"/>
        <item x="228"/>
        <item x="255"/>
        <item x="157"/>
        <item x="146"/>
        <item t="default"/>
      </items>
    </pivotField>
    <pivotField compact="0" showAll="0">
      <items count="457">
        <item x="35"/>
        <item x="241"/>
        <item x="416"/>
        <item x="326"/>
        <item x="189"/>
        <item x="280"/>
        <item x="358"/>
        <item x="347"/>
        <item x="9"/>
        <item x="232"/>
        <item x="47"/>
        <item x="402"/>
        <item x="173"/>
        <item x="373"/>
        <item x="208"/>
        <item x="250"/>
        <item x="408"/>
        <item x="355"/>
        <item x="88"/>
        <item x="239"/>
        <item x="290"/>
        <item x="219"/>
        <item x="379"/>
        <item x="74"/>
        <item x="26"/>
        <item x="268"/>
        <item x="8"/>
        <item x="297"/>
        <item x="162"/>
        <item x="98"/>
        <item x="449"/>
        <item x="121"/>
        <item x="92"/>
        <item x="313"/>
        <item x="365"/>
        <item x="439"/>
        <item x="441"/>
        <item x="384"/>
        <item x="282"/>
        <item x="14"/>
        <item x="349"/>
        <item x="388"/>
        <item x="15"/>
        <item x="397"/>
        <item x="324"/>
        <item x="106"/>
        <item x="4"/>
        <item x="446"/>
        <item x="76"/>
        <item x="145"/>
        <item x="102"/>
        <item x="220"/>
        <item x="199"/>
        <item x="77"/>
        <item x="249"/>
        <item x="97"/>
        <item x="16"/>
        <item x="386"/>
        <item x="359"/>
        <item x="0"/>
        <item x="133"/>
        <item x="109"/>
        <item x="299"/>
        <item x="67"/>
        <item x="353"/>
        <item x="190"/>
        <item x="94"/>
        <item x="410"/>
        <item x="103"/>
        <item x="400"/>
        <item x="137"/>
        <item x="203"/>
        <item x="330"/>
        <item x="238"/>
        <item x="68"/>
        <item x="87"/>
        <item x="352"/>
        <item x="60"/>
        <item x="56"/>
        <item x="3"/>
        <item x="58"/>
        <item x="291"/>
        <item x="105"/>
        <item x="227"/>
        <item x="228"/>
        <item x="292"/>
        <item x="276"/>
        <item x="419"/>
        <item x="392"/>
        <item x="124"/>
        <item x="167"/>
        <item x="401"/>
        <item x="64"/>
        <item x="135"/>
        <item x="122"/>
        <item x="27"/>
        <item x="229"/>
        <item x="186"/>
        <item x="293"/>
        <item x="136"/>
        <item x="318"/>
        <item x="424"/>
        <item x="70"/>
        <item x="377"/>
        <item x="295"/>
        <item x="210"/>
        <item x="19"/>
        <item x="338"/>
        <item x="323"/>
        <item x="289"/>
        <item x="129"/>
        <item x="255"/>
        <item x="455"/>
        <item x="117"/>
        <item x="66"/>
        <item x="180"/>
        <item x="197"/>
        <item x="216"/>
        <item x="183"/>
        <item x="271"/>
        <item x="381"/>
        <item x="57"/>
        <item x="287"/>
        <item x="1"/>
        <item x="37"/>
        <item x="252"/>
        <item x="130"/>
        <item x="83"/>
        <item x="22"/>
        <item x="104"/>
        <item x="90"/>
        <item x="387"/>
        <item x="311"/>
        <item x="329"/>
        <item x="193"/>
        <item x="224"/>
        <item x="53"/>
        <item x="226"/>
        <item x="212"/>
        <item x="2"/>
        <item x="374"/>
        <item x="393"/>
        <item x="378"/>
        <item x="260"/>
        <item x="86"/>
        <item x="93"/>
        <item x="325"/>
        <item x="357"/>
        <item x="6"/>
        <item x="254"/>
        <item x="364"/>
        <item x="451"/>
        <item x="140"/>
        <item x="275"/>
        <item x="452"/>
        <item x="348"/>
        <item x="79"/>
        <item x="148"/>
        <item x="156"/>
        <item x="170"/>
        <item x="17"/>
        <item x="39"/>
        <item x="28"/>
        <item x="201"/>
        <item x="115"/>
        <item x="128"/>
        <item x="10"/>
        <item x="7"/>
        <item x="375"/>
        <item x="363"/>
        <item x="182"/>
        <item x="454"/>
        <item x="41"/>
        <item x="71"/>
        <item x="72"/>
        <item x="52"/>
        <item x="242"/>
        <item x="265"/>
        <item x="344"/>
        <item x="366"/>
        <item x="369"/>
        <item x="125"/>
        <item x="218"/>
        <item x="164"/>
        <item x="372"/>
        <item x="411"/>
        <item x="78"/>
        <item x="310"/>
        <item x="266"/>
        <item x="169"/>
        <item x="214"/>
        <item x="159"/>
        <item x="270"/>
        <item x="49"/>
        <item x="178"/>
        <item x="146"/>
        <item x="286"/>
        <item x="267"/>
        <item x="108"/>
        <item x="48"/>
        <item x="202"/>
        <item x="194"/>
        <item x="390"/>
        <item x="345"/>
        <item x="304"/>
        <item x="440"/>
        <item x="319"/>
        <item x="185"/>
        <item x="385"/>
        <item x="143"/>
        <item x="11"/>
        <item x="240"/>
        <item x="339"/>
        <item x="434"/>
        <item x="320"/>
        <item x="29"/>
        <item x="394"/>
        <item x="414"/>
        <item x="44"/>
        <item x="118"/>
        <item x="301"/>
        <item x="147"/>
        <item x="257"/>
        <item x="264"/>
        <item x="435"/>
        <item x="30"/>
        <item x="100"/>
        <item x="187"/>
        <item x="134"/>
        <item x="448"/>
        <item x="361"/>
        <item x="432"/>
        <item x="127"/>
        <item x="152"/>
        <item x="120"/>
        <item x="278"/>
        <item x="85"/>
        <item x="223"/>
        <item x="336"/>
        <item x="236"/>
        <item x="114"/>
        <item x="399"/>
        <item x="342"/>
        <item x="184"/>
        <item x="404"/>
        <item x="443"/>
        <item x="262"/>
        <item x="123"/>
        <item x="315"/>
        <item x="215"/>
        <item x="43"/>
        <item x="231"/>
        <item x="150"/>
        <item x="243"/>
        <item x="258"/>
        <item x="423"/>
        <item x="272"/>
        <item x="89"/>
        <item x="453"/>
        <item x="38"/>
        <item x="298"/>
        <item x="248"/>
        <item x="34"/>
        <item x="350"/>
        <item x="283"/>
        <item x="191"/>
        <item x="245"/>
        <item x="119"/>
        <item x="222"/>
        <item x="269"/>
        <item x="176"/>
        <item x="46"/>
        <item x="179"/>
        <item x="230"/>
        <item x="151"/>
        <item x="33"/>
        <item x="396"/>
        <item x="327"/>
        <item x="24"/>
        <item x="177"/>
        <item x="75"/>
        <item x="161"/>
        <item x="376"/>
        <item x="428"/>
        <item x="367"/>
        <item x="415"/>
        <item x="73"/>
        <item x="413"/>
        <item x="113"/>
        <item x="247"/>
        <item x="314"/>
        <item x="244"/>
        <item x="96"/>
        <item x="101"/>
        <item x="63"/>
        <item x="433"/>
        <item x="308"/>
        <item x="288"/>
        <item x="158"/>
        <item x="334"/>
        <item x="422"/>
        <item x="281"/>
        <item x="430"/>
        <item x="84"/>
        <item x="174"/>
        <item x="36"/>
        <item x="40"/>
        <item x="192"/>
        <item x="59"/>
        <item x="141"/>
        <item x="209"/>
        <item x="81"/>
        <item x="277"/>
        <item x="12"/>
        <item x="444"/>
        <item x="300"/>
        <item x="213"/>
        <item x="409"/>
        <item x="256"/>
        <item x="138"/>
        <item x="217"/>
        <item x="82"/>
        <item x="427"/>
        <item x="132"/>
        <item x="69"/>
        <item x="204"/>
        <item x="403"/>
        <item x="157"/>
        <item x="407"/>
        <item x="165"/>
        <item x="171"/>
        <item x="50"/>
        <item x="205"/>
        <item x="303"/>
        <item x="111"/>
        <item x="445"/>
        <item x="154"/>
        <item x="172"/>
        <item x="207"/>
        <item x="317"/>
        <item x="126"/>
        <item x="429"/>
        <item x="322"/>
        <item x="153"/>
        <item x="337"/>
        <item x="51"/>
        <item x="307"/>
        <item x="389"/>
        <item x="181"/>
        <item x="431"/>
        <item x="144"/>
        <item x="426"/>
        <item x="425"/>
        <item x="31"/>
        <item x="13"/>
        <item x="368"/>
        <item x="395"/>
        <item x="91"/>
        <item x="195"/>
        <item x="383"/>
        <item x="139"/>
        <item x="42"/>
        <item x="160"/>
        <item x="175"/>
        <item x="80"/>
        <item x="417"/>
        <item x="370"/>
        <item x="391"/>
        <item x="163"/>
        <item x="142"/>
        <item x="332"/>
        <item x="62"/>
        <item x="25"/>
        <item x="112"/>
        <item x="438"/>
        <item x="54"/>
        <item x="99"/>
        <item x="360"/>
        <item x="285"/>
        <item x="116"/>
        <item x="23"/>
        <item x="341"/>
        <item x="110"/>
        <item x="253"/>
        <item x="335"/>
        <item x="382"/>
        <item x="437"/>
        <item x="166"/>
        <item x="61"/>
        <item x="221"/>
        <item x="312"/>
        <item x="284"/>
        <item x="296"/>
        <item x="354"/>
        <item x="351"/>
        <item x="65"/>
        <item x="237"/>
        <item x="149"/>
        <item x="418"/>
        <item x="309"/>
        <item x="333"/>
        <item x="20"/>
        <item x="331"/>
        <item x="356"/>
        <item x="55"/>
        <item x="233"/>
        <item x="273"/>
        <item x="316"/>
        <item x="259"/>
        <item x="442"/>
        <item x="436"/>
        <item x="340"/>
        <item x="398"/>
        <item x="21"/>
        <item x="95"/>
        <item x="200"/>
        <item x="343"/>
        <item x="246"/>
        <item x="305"/>
        <item x="420"/>
        <item x="196"/>
        <item x="32"/>
        <item x="406"/>
        <item x="321"/>
        <item x="346"/>
        <item x="421"/>
        <item x="450"/>
        <item x="294"/>
        <item x="107"/>
        <item x="251"/>
        <item x="306"/>
        <item x="380"/>
        <item x="371"/>
        <item x="155"/>
        <item x="211"/>
        <item x="188"/>
        <item x="362"/>
        <item x="447"/>
        <item x="198"/>
        <item x="235"/>
        <item x="261"/>
        <item x="234"/>
        <item x="45"/>
        <item x="302"/>
        <item x="412"/>
        <item x="206"/>
        <item x="279"/>
        <item x="328"/>
        <item x="5"/>
        <item x="263"/>
        <item x="18"/>
        <item x="168"/>
        <item x="225"/>
        <item x="274"/>
        <item x="131"/>
        <item x="405"/>
        <item t="default"/>
      </items>
    </pivotField>
    <pivotField compact="0" showAll="0">
      <items count="466">
        <item x="87"/>
        <item x="179"/>
        <item x="213"/>
        <item x="432"/>
        <item x="379"/>
        <item x="122"/>
        <item x="366"/>
        <item x="139"/>
        <item x="271"/>
        <item x="140"/>
        <item x="159"/>
        <item x="384"/>
        <item x="248"/>
        <item x="342"/>
        <item x="292"/>
        <item x="405"/>
        <item x="314"/>
        <item x="238"/>
        <item x="130"/>
        <item x="268"/>
        <item x="440"/>
        <item x="177"/>
        <item x="378"/>
        <item x="222"/>
        <item x="112"/>
        <item x="77"/>
        <item x="20"/>
        <item x="50"/>
        <item x="5"/>
        <item x="51"/>
        <item x="97"/>
        <item x="235"/>
        <item x="49"/>
        <item x="263"/>
        <item x="118"/>
        <item x="231"/>
        <item x="448"/>
        <item x="234"/>
        <item x="129"/>
        <item x="74"/>
        <item x="447"/>
        <item x="62"/>
        <item x="294"/>
        <item x="358"/>
        <item x="310"/>
        <item x="286"/>
        <item x="99"/>
        <item x="68"/>
        <item x="35"/>
        <item x="330"/>
        <item x="372"/>
        <item x="383"/>
        <item x="297"/>
        <item x="46"/>
        <item x="291"/>
        <item x="301"/>
        <item x="313"/>
        <item x="230"/>
        <item x="355"/>
        <item x="237"/>
        <item x="425"/>
        <item x="264"/>
        <item x="79"/>
        <item x="226"/>
        <item x="408"/>
        <item x="70"/>
        <item x="160"/>
        <item x="135"/>
        <item x="167"/>
        <item x="368"/>
        <item x="191"/>
        <item x="7"/>
        <item x="455"/>
        <item x="283"/>
        <item x="95"/>
        <item x="24"/>
        <item x="183"/>
        <item x="400"/>
        <item x="67"/>
        <item x="338"/>
        <item x="257"/>
        <item x="205"/>
        <item x="173"/>
        <item x="256"/>
        <item x="306"/>
        <item x="189"/>
        <item x="280"/>
        <item x="326"/>
        <item x="198"/>
        <item x="373"/>
        <item x="380"/>
        <item x="184"/>
        <item x="172"/>
        <item x="123"/>
        <item x="429"/>
        <item x="156"/>
        <item x="290"/>
        <item x="199"/>
        <item x="300"/>
        <item x="275"/>
        <item x="274"/>
        <item x="369"/>
        <item x="228"/>
        <item x="337"/>
        <item x="174"/>
        <item x="334"/>
        <item x="163"/>
        <item x="247"/>
        <item x="110"/>
        <item x="371"/>
        <item x="25"/>
        <item x="353"/>
        <item x="351"/>
        <item x="78"/>
        <item x="33"/>
        <item x="352"/>
        <item x="348"/>
        <item x="261"/>
        <item x="398"/>
        <item x="463"/>
        <item x="186"/>
        <item x="454"/>
        <item x="403"/>
        <item x="236"/>
        <item x="406"/>
        <item x="76"/>
        <item x="422"/>
        <item x="459"/>
        <item x="89"/>
        <item x="136"/>
        <item x="420"/>
        <item x="396"/>
        <item x="220"/>
        <item x="44"/>
        <item x="258"/>
        <item x="449"/>
        <item x="269"/>
        <item x="90"/>
        <item x="276"/>
        <item x="22"/>
        <item x="401"/>
        <item x="442"/>
        <item x="58"/>
        <item x="441"/>
        <item x="464"/>
        <item x="219"/>
        <item x="203"/>
        <item x="61"/>
        <item x="438"/>
        <item x="363"/>
        <item x="328"/>
        <item x="316"/>
        <item x="18"/>
        <item x="180"/>
        <item x="116"/>
        <item x="28"/>
        <item x="277"/>
        <item x="88"/>
        <item x="374"/>
        <item x="287"/>
        <item x="394"/>
        <item x="196"/>
        <item x="273"/>
        <item x="439"/>
        <item x="208"/>
        <item x="40"/>
        <item x="65"/>
        <item x="153"/>
        <item x="424"/>
        <item x="214"/>
        <item x="105"/>
        <item x="381"/>
        <item x="117"/>
        <item x="154"/>
        <item x="86"/>
        <item x="42"/>
        <item x="450"/>
        <item x="10"/>
        <item x="55"/>
        <item x="240"/>
        <item x="324"/>
        <item x="13"/>
        <item x="304"/>
        <item x="336"/>
        <item x="102"/>
        <item x="168"/>
        <item x="144"/>
        <item x="91"/>
        <item x="323"/>
        <item x="242"/>
        <item x="341"/>
        <item x="451"/>
        <item x="158"/>
        <item x="83"/>
        <item x="14"/>
        <item x="331"/>
        <item x="413"/>
        <item x="345"/>
        <item x="445"/>
        <item x="59"/>
        <item x="204"/>
        <item x="296"/>
        <item x="311"/>
        <item x="202"/>
        <item x="281"/>
        <item x="161"/>
        <item x="32"/>
        <item x="343"/>
        <item x="84"/>
        <item x="64"/>
        <item x="397"/>
        <item x="254"/>
        <item x="207"/>
        <item x="416"/>
        <item x="367"/>
        <item x="157"/>
        <item x="12"/>
        <item x="27"/>
        <item x="415"/>
        <item x="417"/>
        <item x="9"/>
        <item x="211"/>
        <item x="137"/>
        <item x="176"/>
        <item x="93"/>
        <item x="392"/>
        <item x="29"/>
        <item x="170"/>
        <item x="150"/>
        <item x="370"/>
        <item x="124"/>
        <item x="461"/>
        <item x="215"/>
        <item x="152"/>
        <item x="216"/>
        <item x="195"/>
        <item x="131"/>
        <item x="460"/>
        <item x="267"/>
        <item x="327"/>
        <item x="15"/>
        <item x="81"/>
        <item x="308"/>
        <item x="295"/>
        <item x="212"/>
        <item x="66"/>
        <item x="359"/>
        <item x="354"/>
        <item x="282"/>
        <item x="16"/>
        <item x="332"/>
        <item x="245"/>
        <item x="357"/>
        <item x="134"/>
        <item x="435"/>
        <item x="404"/>
        <item x="298"/>
        <item x="407"/>
        <item x="315"/>
        <item x="126"/>
        <item x="200"/>
        <item x="82"/>
        <item x="138"/>
        <item x="11"/>
        <item x="285"/>
        <item x="223"/>
        <item x="60"/>
        <item x="456"/>
        <item x="312"/>
        <item x="389"/>
        <item x="265"/>
        <item x="229"/>
        <item x="165"/>
        <item x="239"/>
        <item x="47"/>
        <item x="427"/>
        <item x="395"/>
        <item x="419"/>
        <item x="148"/>
        <item x="111"/>
        <item x="284"/>
        <item x="210"/>
        <item x="377"/>
        <item x="266"/>
        <item x="250"/>
        <item x="53"/>
        <item x="288"/>
        <item x="344"/>
        <item x="303"/>
        <item x="340"/>
        <item x="444"/>
        <item x="365"/>
        <item x="132"/>
        <item x="421"/>
        <item x="225"/>
        <item x="364"/>
        <item x="193"/>
        <item x="119"/>
        <item x="162"/>
        <item x="411"/>
        <item x="243"/>
        <item x="48"/>
        <item x="34"/>
        <item x="307"/>
        <item x="57"/>
        <item x="428"/>
        <item x="431"/>
        <item x="227"/>
        <item x="376"/>
        <item x="335"/>
        <item x="418"/>
        <item x="339"/>
        <item x="45"/>
        <item x="252"/>
        <item x="127"/>
        <item x="107"/>
        <item x="322"/>
        <item x="217"/>
        <item x="244"/>
        <item x="96"/>
        <item x="37"/>
        <item x="73"/>
        <item x="289"/>
        <item x="349"/>
        <item x="399"/>
        <item x="385"/>
        <item x="145"/>
        <item x="458"/>
        <item x="387"/>
        <item x="453"/>
        <item x="382"/>
        <item x="305"/>
        <item x="278"/>
        <item x="31"/>
        <item x="293"/>
        <item x="146"/>
        <item x="309"/>
        <item x="72"/>
        <item x="151"/>
        <item x="0"/>
        <item x="436"/>
        <item x="106"/>
        <item x="121"/>
        <item x="182"/>
        <item x="155"/>
        <item x="414"/>
        <item x="75"/>
        <item x="361"/>
        <item x="402"/>
        <item x="347"/>
        <item x="21"/>
        <item x="329"/>
        <item x="1"/>
        <item x="249"/>
        <item x="133"/>
        <item x="43"/>
        <item x="101"/>
        <item x="430"/>
        <item x="253"/>
        <item x="393"/>
        <item x="94"/>
        <item x="194"/>
        <item x="320"/>
        <item x="113"/>
        <item x="325"/>
        <item x="166"/>
        <item x="346"/>
        <item x="41"/>
        <item x="255"/>
        <item x="109"/>
        <item x="233"/>
        <item x="270"/>
        <item x="206"/>
        <item x="232"/>
        <item x="224"/>
        <item x="181"/>
        <item x="143"/>
        <item x="141"/>
        <item x="375"/>
        <item x="17"/>
        <item x="185"/>
        <item x="260"/>
        <item x="446"/>
        <item x="443"/>
        <item x="125"/>
        <item x="23"/>
        <item x="360"/>
        <item x="251"/>
        <item x="279"/>
        <item x="6"/>
        <item x="318"/>
        <item x="272"/>
        <item x="259"/>
        <item x="114"/>
        <item x="69"/>
        <item x="386"/>
        <item x="423"/>
        <item x="188"/>
        <item x="433"/>
        <item x="452"/>
        <item x="412"/>
        <item x="120"/>
        <item x="36"/>
        <item x="63"/>
        <item x="30"/>
        <item x="4"/>
        <item x="8"/>
        <item x="92"/>
        <item x="356"/>
        <item x="164"/>
        <item x="104"/>
        <item x="149"/>
        <item x="434"/>
        <item x="39"/>
        <item x="388"/>
        <item x="115"/>
        <item x="437"/>
        <item x="178"/>
        <item x="241"/>
        <item x="321"/>
        <item x="142"/>
        <item x="171"/>
        <item x="26"/>
        <item x="100"/>
        <item x="175"/>
        <item x="317"/>
        <item x="201"/>
        <item x="209"/>
        <item x="350"/>
        <item x="218"/>
        <item x="192"/>
        <item x="390"/>
        <item x="462"/>
        <item x="197"/>
        <item x="362"/>
        <item x="190"/>
        <item x="409"/>
        <item x="426"/>
        <item x="299"/>
        <item x="128"/>
        <item x="52"/>
        <item x="187"/>
        <item x="80"/>
        <item x="333"/>
        <item x="103"/>
        <item x="98"/>
        <item x="2"/>
        <item x="457"/>
        <item x="410"/>
        <item x="169"/>
        <item x="71"/>
        <item x="302"/>
        <item x="38"/>
        <item x="85"/>
        <item x="56"/>
        <item x="262"/>
        <item x="319"/>
        <item x="3"/>
        <item x="246"/>
        <item x="147"/>
        <item x="19"/>
        <item x="221"/>
        <item x="391"/>
        <item x="108"/>
        <item x="54"/>
        <item t="default"/>
      </items>
    </pivotField>
    <pivotField compact="0" showAll="0">
      <items count="6">
        <item x="1"/>
        <item x="2"/>
        <item x="0"/>
        <item x="3"/>
        <item m="1" x="4"/>
        <item t="default"/>
      </items>
    </pivotField>
    <pivotField compact="0" showAll="0">
      <items count="219">
        <item x="161"/>
        <item x="126"/>
        <item x="163"/>
        <item x="66"/>
        <item x="195"/>
        <item x="205"/>
        <item x="186"/>
        <item x="189"/>
        <item x="173"/>
        <item x="74"/>
        <item x="182"/>
        <item x="103"/>
        <item x="197"/>
        <item x="127"/>
        <item x="188"/>
        <item x="85"/>
        <item x="3"/>
        <item x="150"/>
        <item x="0"/>
        <item x="210"/>
        <item x="86"/>
        <item x="207"/>
        <item x="2"/>
        <item x="82"/>
        <item x="31"/>
        <item x="51"/>
        <item x="165"/>
        <item x="34"/>
        <item x="100"/>
        <item x="78"/>
        <item x="139"/>
        <item x="70"/>
        <item x="69"/>
        <item x="129"/>
        <item x="159"/>
        <item x="171"/>
        <item x="170"/>
        <item x="5"/>
        <item x="93"/>
        <item x="52"/>
        <item x="42"/>
        <item x="183"/>
        <item x="13"/>
        <item x="40"/>
        <item x="81"/>
        <item x="191"/>
        <item x="119"/>
        <item x="128"/>
        <item x="30"/>
        <item x="91"/>
        <item x="167"/>
        <item x="101"/>
        <item x="22"/>
        <item x="36"/>
        <item x="158"/>
        <item x="132"/>
        <item x="19"/>
        <item x="108"/>
        <item x="166"/>
        <item x="110"/>
        <item x="198"/>
        <item x="211"/>
        <item x="217"/>
        <item x="109"/>
        <item x="124"/>
        <item x="24"/>
        <item x="168"/>
        <item x="88"/>
        <item x="134"/>
        <item x="141"/>
        <item x="94"/>
        <item x="155"/>
        <item x="209"/>
        <item x="64"/>
        <item x="48"/>
        <item x="116"/>
        <item x="133"/>
        <item x="115"/>
        <item x="112"/>
        <item x="181"/>
        <item x="4"/>
        <item x="32"/>
        <item x="187"/>
        <item x="140"/>
        <item x="6"/>
        <item x="21"/>
        <item x="55"/>
        <item x="61"/>
        <item x="148"/>
        <item x="145"/>
        <item x="16"/>
        <item x="92"/>
        <item x="35"/>
        <item x="190"/>
        <item x="102"/>
        <item x="79"/>
        <item x="17"/>
        <item x="95"/>
        <item x="38"/>
        <item x="105"/>
        <item x="203"/>
        <item x="43"/>
        <item x="49"/>
        <item x="123"/>
        <item x="180"/>
        <item x="201"/>
        <item x="153"/>
        <item x="143"/>
        <item x="113"/>
        <item x="196"/>
        <item x="10"/>
        <item x="215"/>
        <item x="184"/>
        <item x="192"/>
        <item x="131"/>
        <item x="83"/>
        <item x="50"/>
        <item x="185"/>
        <item x="23"/>
        <item x="58"/>
        <item x="1"/>
        <item x="14"/>
        <item x="142"/>
        <item x="7"/>
        <item x="89"/>
        <item x="208"/>
        <item x="72"/>
        <item x="151"/>
        <item x="147"/>
        <item x="27"/>
        <item x="138"/>
        <item x="90"/>
        <item x="154"/>
        <item x="172"/>
        <item x="25"/>
        <item x="53"/>
        <item x="200"/>
        <item x="46"/>
        <item x="152"/>
        <item x="8"/>
        <item x="176"/>
        <item x="60"/>
        <item x="26"/>
        <item x="193"/>
        <item x="146"/>
        <item x="206"/>
        <item x="149"/>
        <item x="15"/>
        <item x="194"/>
        <item x="199"/>
        <item x="9"/>
        <item x="157"/>
        <item x="37"/>
        <item x="216"/>
        <item x="135"/>
        <item x="136"/>
        <item x="65"/>
        <item x="214"/>
        <item x="97"/>
        <item x="41"/>
        <item x="84"/>
        <item x="160"/>
        <item x="212"/>
        <item x="87"/>
        <item x="130"/>
        <item x="20"/>
        <item x="47"/>
        <item x="76"/>
        <item x="68"/>
        <item x="59"/>
        <item x="12"/>
        <item x="117"/>
        <item x="73"/>
        <item x="28"/>
        <item x="111"/>
        <item x="104"/>
        <item x="57"/>
        <item x="107"/>
        <item x="29"/>
        <item x="44"/>
        <item x="125"/>
        <item x="99"/>
        <item x="122"/>
        <item x="77"/>
        <item x="175"/>
        <item x="156"/>
        <item x="179"/>
        <item x="174"/>
        <item x="39"/>
        <item x="204"/>
        <item x="45"/>
        <item x="114"/>
        <item x="67"/>
        <item x="118"/>
        <item x="62"/>
        <item x="121"/>
        <item x="75"/>
        <item x="202"/>
        <item x="137"/>
        <item x="120"/>
        <item x="96"/>
        <item x="162"/>
        <item x="213"/>
        <item x="177"/>
        <item x="33"/>
        <item x="56"/>
        <item x="11"/>
        <item x="106"/>
        <item x="169"/>
        <item x="164"/>
        <item x="71"/>
        <item x="80"/>
        <item x="178"/>
        <item x="54"/>
        <item x="98"/>
        <item x="144"/>
        <item x="18"/>
        <item x="63"/>
        <item t="default"/>
      </items>
    </pivotField>
    <pivotField compact="0" showAll="0">
      <items count="197">
        <item x="136"/>
        <item x="34"/>
        <item x="21"/>
        <item x="27"/>
        <item x="41"/>
        <item x="140"/>
        <item x="40"/>
        <item x="138"/>
        <item x="91"/>
        <item x="81"/>
        <item x="2"/>
        <item x="166"/>
        <item x="133"/>
        <item x="190"/>
        <item x="100"/>
        <item x="116"/>
        <item x="37"/>
        <item x="128"/>
        <item x="72"/>
        <item x="159"/>
        <item x="92"/>
        <item x="119"/>
        <item x="145"/>
        <item x="30"/>
        <item x="152"/>
        <item x="97"/>
        <item x="8"/>
        <item x="153"/>
        <item x="69"/>
        <item x="19"/>
        <item x="68"/>
        <item x="10"/>
        <item x="20"/>
        <item x="35"/>
        <item x="15"/>
        <item x="126"/>
        <item x="101"/>
        <item x="50"/>
        <item x="106"/>
        <item x="7"/>
        <item x="117"/>
        <item x="39"/>
        <item x="89"/>
        <item x="142"/>
        <item x="148"/>
        <item x="158"/>
        <item x="16"/>
        <item x="157"/>
        <item x="77"/>
        <item x="53"/>
        <item x="163"/>
        <item x="22"/>
        <item x="0"/>
        <item x="118"/>
        <item x="96"/>
        <item x="74"/>
        <item x="12"/>
        <item x="33"/>
        <item x="44"/>
        <item x="111"/>
        <item x="87"/>
        <item x="94"/>
        <item x="130"/>
        <item x="23"/>
        <item x="5"/>
        <item x="3"/>
        <item x="4"/>
        <item x="115"/>
        <item x="75"/>
        <item x="79"/>
        <item x="93"/>
        <item x="90"/>
        <item x="56"/>
        <item x="18"/>
        <item x="107"/>
        <item x="149"/>
        <item x="86"/>
        <item x="32"/>
        <item x="151"/>
        <item x="67"/>
        <item x="42"/>
        <item x="49"/>
        <item x="170"/>
        <item x="84"/>
        <item x="11"/>
        <item x="24"/>
        <item x="112"/>
        <item x="104"/>
        <item x="83"/>
        <item x="64"/>
        <item x="193"/>
        <item x="132"/>
        <item x="131"/>
        <item x="17"/>
        <item x="189"/>
        <item x="105"/>
        <item x="147"/>
        <item x="61"/>
        <item x="14"/>
        <item x="135"/>
        <item x="1"/>
        <item x="122"/>
        <item x="179"/>
        <item x="176"/>
        <item x="108"/>
        <item x="98"/>
        <item x="171"/>
        <item x="54"/>
        <item x="137"/>
        <item x="120"/>
        <item x="47"/>
        <item x="177"/>
        <item x="174"/>
        <item x="114"/>
        <item x="102"/>
        <item x="180"/>
        <item x="13"/>
        <item x="51"/>
        <item x="57"/>
        <item x="26"/>
        <item x="63"/>
        <item x="113"/>
        <item x="109"/>
        <item x="165"/>
        <item x="55"/>
        <item x="164"/>
        <item x="6"/>
        <item x="184"/>
        <item x="38"/>
        <item x="36"/>
        <item x="127"/>
        <item x="25"/>
        <item x="124"/>
        <item x="88"/>
        <item x="28"/>
        <item x="31"/>
        <item x="52"/>
        <item x="82"/>
        <item x="154"/>
        <item x="99"/>
        <item x="103"/>
        <item x="43"/>
        <item x="182"/>
        <item x="187"/>
        <item x="110"/>
        <item x="141"/>
        <item x="48"/>
        <item x="183"/>
        <item x="144"/>
        <item x="85"/>
        <item x="29"/>
        <item x="191"/>
        <item x="58"/>
        <item x="129"/>
        <item x="70"/>
        <item x="181"/>
        <item x="186"/>
        <item x="156"/>
        <item x="9"/>
        <item x="73"/>
        <item x="134"/>
        <item x="172"/>
        <item x="195"/>
        <item x="123"/>
        <item x="66"/>
        <item x="167"/>
        <item x="161"/>
        <item x="178"/>
        <item x="80"/>
        <item x="169"/>
        <item x="155"/>
        <item x="71"/>
        <item x="46"/>
        <item x="65"/>
        <item x="59"/>
        <item x="185"/>
        <item x="194"/>
        <item x="45"/>
        <item x="188"/>
        <item x="121"/>
        <item x="173"/>
        <item x="160"/>
        <item x="143"/>
        <item x="139"/>
        <item x="78"/>
        <item x="76"/>
        <item x="175"/>
        <item x="162"/>
        <item x="62"/>
        <item x="125"/>
        <item x="95"/>
        <item x="150"/>
        <item x="192"/>
        <item x="60"/>
        <item x="168"/>
        <item x="146"/>
        <item t="default"/>
      </items>
    </pivotField>
    <pivotField compact="0" showAll="0">
      <items count="488">
        <item x="470"/>
        <item x="38"/>
        <item x="452"/>
        <item x="486"/>
        <item x="307"/>
        <item x="336"/>
        <item x="479"/>
        <item x="481"/>
        <item x="114"/>
        <item x="338"/>
        <item x="310"/>
        <item x="472"/>
        <item x="129"/>
        <item x="248"/>
        <item x="185"/>
        <item x="345"/>
        <item x="221"/>
        <item x="46"/>
        <item x="333"/>
        <item x="158"/>
        <item x="287"/>
        <item x="308"/>
        <item x="357"/>
        <item x="284"/>
        <item x="217"/>
        <item x="386"/>
        <item x="302"/>
        <item x="229"/>
        <item x="257"/>
        <item x="139"/>
        <item x="113"/>
        <item x="348"/>
        <item x="12"/>
        <item x="18"/>
        <item x="309"/>
        <item x="143"/>
        <item x="142"/>
        <item x="172"/>
        <item x="462"/>
        <item x="106"/>
        <item x="334"/>
        <item x="314"/>
        <item x="61"/>
        <item x="424"/>
        <item x="384"/>
        <item x="24"/>
        <item x="389"/>
        <item x="149"/>
        <item x="283"/>
        <item x="123"/>
        <item x="413"/>
        <item x="301"/>
        <item x="44"/>
        <item x="466"/>
        <item x="195"/>
        <item x="404"/>
        <item x="10"/>
        <item x="30"/>
        <item x="94"/>
        <item x="439"/>
        <item x="197"/>
        <item x="213"/>
        <item x="8"/>
        <item x="167"/>
        <item x="482"/>
        <item x="330"/>
        <item x="349"/>
        <item x="361"/>
        <item x="477"/>
        <item x="240"/>
        <item x="227"/>
        <item x="200"/>
        <item x="175"/>
        <item x="250"/>
        <item x="49"/>
        <item x="234"/>
        <item x="117"/>
        <item x="86"/>
        <item x="412"/>
        <item x="191"/>
        <item x="432"/>
        <item x="297"/>
        <item x="118"/>
        <item x="45"/>
        <item x="351"/>
        <item x="174"/>
        <item x="194"/>
        <item x="204"/>
        <item x="271"/>
        <item x="419"/>
        <item x="39"/>
        <item x="182"/>
        <item x="446"/>
        <item x="295"/>
        <item x="442"/>
        <item x="21"/>
        <item x="422"/>
        <item x="468"/>
        <item x="17"/>
        <item x="391"/>
        <item x="274"/>
        <item x="289"/>
        <item x="58"/>
        <item x="25"/>
        <item x="478"/>
        <item x="222"/>
        <item x="140"/>
        <item x="254"/>
        <item x="300"/>
        <item x="93"/>
        <item x="273"/>
        <item x="258"/>
        <item x="64"/>
        <item x="233"/>
        <item x="235"/>
        <item x="346"/>
        <item x="171"/>
        <item x="262"/>
        <item x="414"/>
        <item x="378"/>
        <item x="23"/>
        <item x="224"/>
        <item x="405"/>
        <item x="429"/>
        <item x="198"/>
        <item x="26"/>
        <item x="255"/>
        <item x="20"/>
        <item x="14"/>
        <item x="253"/>
        <item x="367"/>
        <item x="266"/>
        <item x="379"/>
        <item x="181"/>
        <item x="355"/>
        <item x="176"/>
        <item x="184"/>
        <item x="359"/>
        <item x="78"/>
        <item x="264"/>
        <item x="440"/>
        <item x="278"/>
        <item x="162"/>
        <item x="288"/>
        <item x="411"/>
        <item x="232"/>
        <item x="179"/>
        <item x="132"/>
        <item x="341"/>
        <item x="124"/>
        <item x="444"/>
        <item x="420"/>
        <item x="2"/>
        <item x="454"/>
        <item x="397"/>
        <item x="192"/>
        <item x="216"/>
        <item x="151"/>
        <item x="99"/>
        <item x="326"/>
        <item x="110"/>
        <item x="115"/>
        <item x="421"/>
        <item x="294"/>
        <item x="443"/>
        <item x="96"/>
        <item x="134"/>
        <item x="209"/>
        <item x="303"/>
        <item x="304"/>
        <item x="173"/>
        <item x="22"/>
        <item x="155"/>
        <item x="476"/>
        <item x="246"/>
        <item x="473"/>
        <item x="237"/>
        <item x="460"/>
        <item x="243"/>
        <item x="148"/>
        <item x="427"/>
        <item x="320"/>
        <item x="436"/>
        <item x="178"/>
        <item x="136"/>
        <item x="437"/>
        <item x="445"/>
        <item x="63"/>
        <item x="70"/>
        <item x="344"/>
        <item x="219"/>
        <item x="177"/>
        <item x="285"/>
        <item x="41"/>
        <item x="435"/>
        <item x="34"/>
        <item x="363"/>
        <item x="170"/>
        <item x="347"/>
        <item x="27"/>
        <item x="82"/>
        <item x="52"/>
        <item x="319"/>
        <item x="101"/>
        <item x="157"/>
        <item x="332"/>
        <item x="290"/>
        <item x="193"/>
        <item x="29"/>
        <item x="126"/>
        <item x="80"/>
        <item x="6"/>
        <item x="455"/>
        <item x="159"/>
        <item x="55"/>
        <item x="353"/>
        <item x="456"/>
        <item x="79"/>
        <item x="236"/>
        <item x="298"/>
        <item x="360"/>
        <item x="220"/>
        <item x="228"/>
        <item x="392"/>
        <item x="40"/>
        <item x="57"/>
        <item x="365"/>
        <item x="241"/>
        <item x="469"/>
        <item x="207"/>
        <item x="4"/>
        <item x="402"/>
        <item x="417"/>
        <item x="131"/>
        <item x="395"/>
        <item x="366"/>
        <item x="286"/>
        <item x="48"/>
        <item x="146"/>
        <item x="230"/>
        <item x="84"/>
        <item x="356"/>
        <item x="393"/>
        <item x="90"/>
        <item x="71"/>
        <item x="396"/>
        <item x="127"/>
        <item x="15"/>
        <item x="31"/>
        <item x="28"/>
        <item x="260"/>
        <item x="53"/>
        <item x="251"/>
        <item x="169"/>
        <item x="33"/>
        <item x="1"/>
        <item x="423"/>
        <item x="354"/>
        <item x="259"/>
        <item x="484"/>
        <item x="203"/>
        <item x="199"/>
        <item x="121"/>
        <item x="81"/>
        <item x="145"/>
        <item x="270"/>
        <item x="147"/>
        <item x="116"/>
        <item x="329"/>
        <item x="275"/>
        <item x="187"/>
        <item x="453"/>
        <item x="292"/>
        <item x="425"/>
        <item x="205"/>
        <item x="42"/>
        <item x="374"/>
        <item x="37"/>
        <item x="276"/>
        <item x="9"/>
        <item x="416"/>
        <item x="166"/>
        <item x="105"/>
        <item x="369"/>
        <item x="322"/>
        <item x="11"/>
        <item x="372"/>
        <item x="380"/>
        <item x="109"/>
        <item x="268"/>
        <item x="475"/>
        <item x="371"/>
        <item x="153"/>
        <item x="399"/>
        <item x="350"/>
        <item x="426"/>
        <item x="112"/>
        <item x="206"/>
        <item x="407"/>
        <item x="447"/>
        <item x="249"/>
        <item x="215"/>
        <item x="282"/>
        <item x="400"/>
        <item x="152"/>
        <item x="107"/>
        <item x="98"/>
        <item x="161"/>
        <item x="85"/>
        <item x="385"/>
        <item x="190"/>
        <item x="305"/>
        <item x="449"/>
        <item x="89"/>
        <item x="65"/>
        <item x="467"/>
        <item x="226"/>
        <item x="87"/>
        <item x="103"/>
        <item x="239"/>
        <item x="16"/>
        <item x="339"/>
        <item x="315"/>
        <item x="267"/>
        <item x="342"/>
        <item x="364"/>
        <item x="318"/>
        <item x="128"/>
        <item x="247"/>
        <item x="66"/>
        <item x="208"/>
        <item x="325"/>
        <item x="428"/>
        <item x="272"/>
        <item x="280"/>
        <item x="279"/>
        <item x="352"/>
        <item x="77"/>
        <item x="358"/>
        <item x="434"/>
        <item x="448"/>
        <item x="7"/>
        <item x="135"/>
        <item x="214"/>
        <item x="337"/>
        <item x="317"/>
        <item x="242"/>
        <item x="100"/>
        <item x="231"/>
        <item x="201"/>
        <item x="324"/>
        <item x="377"/>
        <item x="130"/>
        <item x="312"/>
        <item x="74"/>
        <item x="409"/>
        <item x="291"/>
        <item x="60"/>
        <item x="122"/>
        <item x="202"/>
        <item x="156"/>
        <item x="343"/>
        <item x="43"/>
        <item x="261"/>
        <item x="265"/>
        <item x="150"/>
        <item x="138"/>
        <item x="376"/>
        <item x="408"/>
        <item x="465"/>
        <item x="485"/>
        <item x="62"/>
        <item x="165"/>
        <item x="293"/>
        <item x="296"/>
        <item x="362"/>
        <item x="256"/>
        <item x="92"/>
        <item x="430"/>
        <item x="263"/>
        <item x="91"/>
        <item x="5"/>
        <item x="370"/>
        <item x="218"/>
        <item x="340"/>
        <item x="72"/>
        <item x="483"/>
        <item x="245"/>
        <item x="163"/>
        <item x="474"/>
        <item x="186"/>
        <item x="311"/>
        <item x="137"/>
        <item x="50"/>
        <item x="104"/>
        <item x="164"/>
        <item x="306"/>
        <item x="394"/>
        <item x="461"/>
        <item x="433"/>
        <item x="211"/>
        <item x="323"/>
        <item x="398"/>
        <item x="83"/>
        <item x="0"/>
        <item x="68"/>
        <item x="415"/>
        <item x="188"/>
        <item x="225"/>
        <item x="388"/>
        <item x="463"/>
        <item x="59"/>
        <item x="328"/>
        <item x="119"/>
        <item x="95"/>
        <item x="313"/>
        <item x="281"/>
        <item x="464"/>
        <item x="438"/>
        <item x="390"/>
        <item x="111"/>
        <item x="168"/>
        <item x="97"/>
        <item x="102"/>
        <item x="458"/>
        <item x="196"/>
        <item x="269"/>
        <item x="19"/>
        <item x="381"/>
        <item x="375"/>
        <item x="160"/>
        <item x="327"/>
        <item x="133"/>
        <item x="56"/>
        <item x="471"/>
        <item x="212"/>
        <item x="210"/>
        <item x="403"/>
        <item x="316"/>
        <item x="451"/>
        <item x="75"/>
        <item x="431"/>
        <item x="457"/>
        <item x="180"/>
        <item x="88"/>
        <item x="450"/>
        <item x="406"/>
        <item x="238"/>
        <item x="368"/>
        <item x="13"/>
        <item x="459"/>
        <item x="36"/>
        <item x="108"/>
        <item x="299"/>
        <item x="480"/>
        <item x="335"/>
        <item x="35"/>
        <item x="418"/>
        <item x="120"/>
        <item x="154"/>
        <item x="73"/>
        <item x="373"/>
        <item x="252"/>
        <item x="244"/>
        <item x="321"/>
        <item x="387"/>
        <item x="125"/>
        <item x="144"/>
        <item x="382"/>
        <item x="410"/>
        <item x="54"/>
        <item x="277"/>
        <item x="69"/>
        <item x="183"/>
        <item x="223"/>
        <item x="67"/>
        <item x="441"/>
        <item x="189"/>
        <item x="331"/>
        <item x="383"/>
        <item x="141"/>
        <item x="32"/>
        <item x="51"/>
        <item x="401"/>
        <item x="3"/>
        <item x="47"/>
        <item x="76"/>
        <item t="default"/>
      </items>
    </pivotField>
    <pivotField compact="0" showAll="0">
      <items count="4">
        <item x="2"/>
        <item x="1"/>
        <item x="0"/>
        <item t="default"/>
      </items>
    </pivotField>
    <pivotField axis="axisRow" compact="0" showAll="0" sortType="ascending">
      <items count="37">
        <item x="12"/>
        <item x="21"/>
        <item x="25"/>
        <item x="14"/>
        <item x="7"/>
        <item x="34"/>
        <item x="1"/>
        <item x="0"/>
        <item x="13"/>
        <item x="30"/>
        <item x="20"/>
        <item x="15"/>
        <item x="26"/>
        <item x="28"/>
        <item x="24"/>
        <item x="32"/>
        <item x="10"/>
        <item x="18"/>
        <item x="2"/>
        <item x="27"/>
        <item x="17"/>
        <item x="5"/>
        <item x="8"/>
        <item x="23"/>
        <item x="3"/>
        <item x="11"/>
        <item x="29"/>
        <item x="31"/>
        <item x="6"/>
        <item x="19"/>
        <item x="33"/>
        <item x="4"/>
        <item x="16"/>
        <item x="35"/>
        <item x="9"/>
        <item x="22"/>
        <item t="default"/>
      </items>
    </pivotField>
    <pivotField compact="0" showAll="0">
      <items count="91">
        <item x="0"/>
        <item x="25"/>
        <item x="60"/>
        <item x="63"/>
        <item x="62"/>
        <item x="27"/>
        <item x="47"/>
        <item x="17"/>
        <item x="66"/>
        <item x="41"/>
        <item x="80"/>
        <item x="58"/>
        <item x="56"/>
        <item x="84"/>
        <item x="26"/>
        <item x="57"/>
        <item x="12"/>
        <item x="72"/>
        <item x="16"/>
        <item x="55"/>
        <item x="78"/>
        <item x="50"/>
        <item x="79"/>
        <item x="88"/>
        <item x="75"/>
        <item x="1"/>
        <item x="70"/>
        <item x="69"/>
        <item x="51"/>
        <item x="74"/>
        <item x="9"/>
        <item x="15"/>
        <item x="22"/>
        <item x="85"/>
        <item x="89"/>
        <item x="6"/>
        <item x="59"/>
        <item x="64"/>
        <item x="81"/>
        <item x="65"/>
        <item x="20"/>
        <item x="7"/>
        <item x="34"/>
        <item x="53"/>
        <item x="4"/>
        <item x="29"/>
        <item x="5"/>
        <item x="46"/>
        <item x="76"/>
        <item x="42"/>
        <item x="37"/>
        <item x="82"/>
        <item x="61"/>
        <item x="67"/>
        <item x="43"/>
        <item x="36"/>
        <item x="28"/>
        <item x="11"/>
        <item x="48"/>
        <item x="10"/>
        <item x="86"/>
        <item x="2"/>
        <item x="21"/>
        <item x="71"/>
        <item x="23"/>
        <item x="30"/>
        <item x="68"/>
        <item x="19"/>
        <item x="54"/>
        <item x="52"/>
        <item x="38"/>
        <item x="45"/>
        <item x="14"/>
        <item x="35"/>
        <item x="13"/>
        <item x="87"/>
        <item x="77"/>
        <item x="8"/>
        <item x="31"/>
        <item x="32"/>
        <item x="18"/>
        <item x="33"/>
        <item x="39"/>
        <item x="44"/>
        <item x="83"/>
        <item x="73"/>
        <item x="24"/>
        <item x="40"/>
        <item x="3"/>
        <item x="49"/>
        <item t="default"/>
      </items>
    </pivotField>
  </pivotFields>
  <rowFields count="1">
    <field x="18"/>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rowItems>
  <colItems count="1">
    <i/>
  </colItems>
  <dataFields count="1">
    <dataField name="Count of Flight Id" fld="0" subtotal="count"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800-000006000000}" name="PivotTable8" cacheId="0" applyNumberFormats="0" applyBorderFormats="0" applyFontFormats="0" applyPatternFormats="0" applyAlignmentFormats="0" applyWidthHeightFormats="1" dataCaption="Values" updatedVersion="5" minRefreshableVersion="3" useAutoFormatting="1" createdVersion="5" indent="0" compact="0" outline="1" outlineData="1" compactData="0" multipleFieldFilters="0">
  <location ref="B88:D105" firstHeaderRow="1" firstDataRow="1" firstDataCol="0"/>
  <pivotFields count="20">
    <pivotField compact="0" showAll="0"/>
    <pivotField compact="0" numFmtId="167"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13" cacheId="1" applyNumberFormats="0" applyBorderFormats="0" applyFontFormats="0" applyPatternFormats="0" applyAlignmentFormats="0" applyWidthHeightFormats="1" dataCaption="Values" updatedVersion="5" minRefreshableVersion="3" useAutoFormatting="1" createdVersion="5" indent="0" compact="0" outline="1" outlineData="1" compactData="0" multipleFieldFilters="0">
  <location ref="F89:G98" firstHeaderRow="1" firstDataRow="1" firstDataCol="1"/>
  <pivotFields count="15">
    <pivotField compact="0"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compact="0"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compact="0" showAll="0">
      <items count="21">
        <item x="14"/>
        <item x="0"/>
        <item x="16"/>
        <item x="1"/>
        <item x="9"/>
        <item x="17"/>
        <item x="6"/>
        <item x="10"/>
        <item x="15"/>
        <item x="8"/>
        <item x="11"/>
        <item x="13"/>
        <item x="19"/>
        <item x="2"/>
        <item x="7"/>
        <item x="4"/>
        <item x="12"/>
        <item x="3"/>
        <item x="18"/>
        <item x="5"/>
        <item t="default"/>
      </items>
    </pivotField>
    <pivotField axis="axisRow" compact="0" showAll="0" sortType="descending">
      <items count="10">
        <item m="1" x="8"/>
        <item x="0"/>
        <item x="1"/>
        <item x="2"/>
        <item x="3"/>
        <item x="4"/>
        <item x="5"/>
        <item x="6"/>
        <item x="7"/>
        <item t="default"/>
      </items>
      <autoSortScope>
        <pivotArea fieldPosition="0">
          <references count="1">
            <reference field="4294967294" count="1" selected="0">
              <x v="0"/>
            </reference>
          </references>
        </pivotArea>
      </autoSortScope>
    </pivotField>
    <pivotField dataField="1" compact="0" showAll="0">
      <items count="501">
        <item x="258"/>
        <item x="178"/>
        <item x="395"/>
        <item x="337"/>
        <item x="199"/>
        <item x="473"/>
        <item x="159"/>
        <item x="242"/>
        <item x="411"/>
        <item x="481"/>
        <item x="113"/>
        <item x="366"/>
        <item x="318"/>
        <item x="251"/>
        <item x="410"/>
        <item x="197"/>
        <item x="314"/>
        <item x="465"/>
        <item x="415"/>
        <item x="283"/>
        <item x="353"/>
        <item x="303"/>
        <item x="158"/>
        <item x="277"/>
        <item x="135"/>
        <item x="268"/>
        <item x="362"/>
        <item x="276"/>
        <item x="310"/>
        <item x="250"/>
        <item x="233"/>
        <item x="311"/>
        <item x="179"/>
        <item x="437"/>
        <item x="480"/>
        <item x="291"/>
        <item x="255"/>
        <item x="193"/>
        <item x="248"/>
        <item x="186"/>
        <item x="94"/>
        <item x="38"/>
        <item x="89"/>
        <item x="5"/>
        <item x="102"/>
        <item x="93"/>
        <item x="211"/>
        <item x="312"/>
        <item x="46"/>
        <item x="92"/>
        <item x="139"/>
        <item x="373"/>
        <item x="64"/>
        <item x="175"/>
        <item x="349"/>
        <item x="397"/>
        <item x="385"/>
        <item x="499"/>
        <item x="127"/>
        <item x="146"/>
        <item x="300"/>
        <item x="284"/>
        <item x="432"/>
        <item x="403"/>
        <item x="306"/>
        <item x="288"/>
        <item x="219"/>
        <item x="24"/>
        <item x="147"/>
        <item x="336"/>
        <item x="140"/>
        <item x="453"/>
        <item x="428"/>
        <item x="37"/>
        <item x="62"/>
        <item x="200"/>
        <item x="328"/>
        <item x="76"/>
        <item x="430"/>
        <item x="223"/>
        <item x="115"/>
        <item x="129"/>
        <item x="82"/>
        <item x="440"/>
        <item x="416"/>
        <item x="354"/>
        <item x="489"/>
        <item x="281"/>
        <item x="231"/>
        <item x="63"/>
        <item x="433"/>
        <item x="187"/>
        <item x="41"/>
        <item x="257"/>
        <item x="278"/>
        <item x="111"/>
        <item x="30"/>
        <item x="45"/>
        <item x="172"/>
        <item x="365"/>
        <item x="194"/>
        <item x="153"/>
        <item x="173"/>
        <item x="206"/>
        <item x="402"/>
        <item x="334"/>
        <item x="33"/>
        <item x="106"/>
        <item x="203"/>
        <item x="305"/>
        <item x="57"/>
        <item x="59"/>
        <item x="239"/>
        <item x="287"/>
        <item x="31"/>
        <item x="426"/>
        <item x="333"/>
        <item x="96"/>
        <item x="429"/>
        <item x="483"/>
        <item x="218"/>
        <item x="493"/>
        <item x="79"/>
        <item x="371"/>
        <item x="357"/>
        <item x="351"/>
        <item x="458"/>
        <item x="21"/>
        <item x="58"/>
        <item x="171"/>
        <item x="346"/>
        <item x="360"/>
        <item x="494"/>
        <item x="48"/>
        <item x="457"/>
        <item x="398"/>
        <item x="490"/>
        <item x="298"/>
        <item x="345"/>
        <item x="215"/>
        <item x="294"/>
        <item x="7"/>
        <item x="236"/>
        <item x="234"/>
        <item x="438"/>
        <item x="338"/>
        <item x="10"/>
        <item x="307"/>
        <item x="449"/>
        <item x="269"/>
        <item x="462"/>
        <item x="322"/>
        <item x="260"/>
        <item x="237"/>
        <item x="252"/>
        <item x="84"/>
        <item x="265"/>
        <item x="382"/>
        <item x="192"/>
        <item x="98"/>
        <item x="176"/>
        <item x="12"/>
        <item x="262"/>
        <item x="495"/>
        <item x="412"/>
        <item x="267"/>
        <item x="380"/>
        <item x="424"/>
        <item x="224"/>
        <item x="80"/>
        <item x="321"/>
        <item x="498"/>
        <item x="350"/>
        <item x="492"/>
        <item x="121"/>
        <item x="455"/>
        <item x="22"/>
        <item x="304"/>
        <item x="17"/>
        <item x="325"/>
        <item x="85"/>
        <item x="435"/>
        <item x="488"/>
        <item x="486"/>
        <item x="177"/>
        <item x="289"/>
        <item x="204"/>
        <item x="369"/>
        <item x="463"/>
        <item x="477"/>
        <item x="107"/>
        <item x="118"/>
        <item x="53"/>
        <item x="243"/>
        <item x="81"/>
        <item x="143"/>
        <item x="254"/>
        <item x="26"/>
        <item x="181"/>
        <item x="191"/>
        <item x="436"/>
        <item x="454"/>
        <item x="256"/>
        <item x="209"/>
        <item x="342"/>
        <item x="202"/>
        <item x="329"/>
        <item x="261"/>
        <item x="372"/>
        <item x="25"/>
        <item x="123"/>
        <item x="297"/>
        <item x="23"/>
        <item x="246"/>
        <item x="103"/>
        <item x="130"/>
        <item x="390"/>
        <item x="42"/>
        <item x="471"/>
        <item x="18"/>
        <item x="14"/>
        <item x="128"/>
        <item x="125"/>
        <item x="406"/>
        <item x="434"/>
        <item x="196"/>
        <item x="34"/>
        <item x="301"/>
        <item x="377"/>
        <item x="20"/>
        <item x="225"/>
        <item x="169"/>
        <item x="133"/>
        <item x="478"/>
        <item x="205"/>
        <item x="70"/>
        <item x="326"/>
        <item x="235"/>
        <item x="339"/>
        <item x="401"/>
        <item x="392"/>
        <item x="71"/>
        <item x="144"/>
        <item x="154"/>
        <item x="482"/>
        <item x="472"/>
        <item x="396"/>
        <item x="55"/>
        <item x="295"/>
        <item x="150"/>
        <item x="105"/>
        <item x="375"/>
        <item x="101"/>
        <item x="2"/>
        <item x="308"/>
        <item x="245"/>
        <item x="343"/>
        <item x="290"/>
        <item x="391"/>
        <item x="456"/>
        <item x="221"/>
        <item x="134"/>
        <item x="441"/>
        <item x="286"/>
        <item x="44"/>
        <item x="309"/>
        <item x="388"/>
        <item x="431"/>
        <item x="174"/>
        <item x="484"/>
        <item x="359"/>
        <item x="160"/>
        <item x="78"/>
        <item x="274"/>
        <item x="189"/>
        <item x="419"/>
        <item x="61"/>
        <item x="216"/>
        <item x="340"/>
        <item x="487"/>
        <item x="148"/>
        <item x="141"/>
        <item x="19"/>
        <item x="313"/>
        <item x="151"/>
        <item x="152"/>
        <item x="408"/>
        <item x="222"/>
        <item x="292"/>
        <item x="124"/>
        <item x="114"/>
        <item x="16"/>
        <item x="99"/>
        <item x="491"/>
        <item x="423"/>
        <item x="35"/>
        <item x="27"/>
        <item x="164"/>
        <item x="110"/>
        <item x="157"/>
        <item x="293"/>
        <item x="368"/>
        <item x="15"/>
        <item x="263"/>
        <item x="0"/>
        <item x="68"/>
        <item x="378"/>
        <item x="228"/>
        <item x="195"/>
        <item x="384"/>
        <item x="450"/>
        <item x="452"/>
        <item x="361"/>
        <item x="355"/>
        <item x="381"/>
        <item x="327"/>
        <item x="379"/>
        <item x="386"/>
        <item x="180"/>
        <item x="182"/>
        <item x="39"/>
        <item x="259"/>
        <item x="8"/>
        <item x="155"/>
        <item x="421"/>
        <item x="348"/>
        <item x="184"/>
        <item x="13"/>
        <item x="347"/>
        <item x="270"/>
        <item x="226"/>
        <item x="275"/>
        <item x="74"/>
        <item x="220"/>
        <item x="136"/>
        <item x="104"/>
        <item x="445"/>
        <item x="28"/>
        <item x="447"/>
        <item x="420"/>
        <item x="335"/>
        <item x="87"/>
        <item x="264"/>
        <item x="112"/>
        <item x="413"/>
        <item x="56"/>
        <item x="474"/>
        <item x="73"/>
        <item x="475"/>
        <item x="352"/>
        <item x="479"/>
        <item x="296"/>
        <item x="399"/>
        <item x="47"/>
        <item x="317"/>
        <item x="170"/>
        <item x="330"/>
        <item x="324"/>
        <item x="364"/>
        <item x="165"/>
        <item x="91"/>
        <item x="9"/>
        <item x="40"/>
        <item x="75"/>
        <item x="117"/>
        <item x="183"/>
        <item x="230"/>
        <item x="469"/>
        <item x="163"/>
        <item x="49"/>
        <item x="240"/>
        <item x="90"/>
        <item x="11"/>
        <item x="285"/>
        <item x="331"/>
        <item x="241"/>
        <item x="404"/>
        <item x="6"/>
        <item x="323"/>
        <item x="302"/>
        <item x="394"/>
        <item x="383"/>
        <item x="332"/>
        <item x="393"/>
        <item x="232"/>
        <item x="86"/>
        <item x="271"/>
        <item x="201"/>
        <item x="4"/>
        <item x="229"/>
        <item x="273"/>
        <item x="168"/>
        <item x="36"/>
        <item x="217"/>
        <item x="162"/>
        <item x="389"/>
        <item x="120"/>
        <item x="467"/>
        <item x="400"/>
        <item x="138"/>
        <item x="97"/>
        <item x="319"/>
        <item x="367"/>
        <item x="1"/>
        <item x="439"/>
        <item x="109"/>
        <item x="282"/>
        <item x="3"/>
        <item x="247"/>
        <item x="122"/>
        <item x="356"/>
        <item x="60"/>
        <item x="358"/>
        <item x="497"/>
        <item x="185"/>
        <item x="227"/>
        <item x="409"/>
        <item x="496"/>
        <item x="448"/>
        <item x="446"/>
        <item x="459"/>
        <item x="460"/>
        <item x="116"/>
        <item x="387"/>
        <item x="249"/>
        <item x="466"/>
        <item x="161"/>
        <item x="425"/>
        <item x="316"/>
        <item x="266"/>
        <item x="374"/>
        <item x="376"/>
        <item x="72"/>
        <item x="443"/>
        <item x="405"/>
        <item x="149"/>
        <item x="418"/>
        <item x="427"/>
        <item x="100"/>
        <item x="66"/>
        <item x="315"/>
        <item x="137"/>
        <item x="476"/>
        <item x="29"/>
        <item x="167"/>
        <item x="213"/>
        <item x="190"/>
        <item x="279"/>
        <item x="464"/>
        <item x="417"/>
        <item x="131"/>
        <item x="363"/>
        <item x="370"/>
        <item x="52"/>
        <item x="341"/>
        <item x="238"/>
        <item x="344"/>
        <item x="451"/>
        <item x="422"/>
        <item x="142"/>
        <item x="156"/>
        <item x="126"/>
        <item x="253"/>
        <item x="43"/>
        <item x="468"/>
        <item x="54"/>
        <item x="65"/>
        <item x="244"/>
        <item x="207"/>
        <item x="166"/>
        <item x="414"/>
        <item x="108"/>
        <item x="145"/>
        <item x="214"/>
        <item x="461"/>
        <item x="280"/>
        <item x="212"/>
        <item x="210"/>
        <item x="50"/>
        <item x="444"/>
        <item x="208"/>
        <item x="132"/>
        <item x="407"/>
        <item x="299"/>
        <item x="88"/>
        <item x="32"/>
        <item x="470"/>
        <item x="272"/>
        <item x="442"/>
        <item x="77"/>
        <item x="83"/>
        <item x="485"/>
        <item x="188"/>
        <item x="95"/>
        <item x="51"/>
        <item x="67"/>
        <item x="198"/>
        <item x="320"/>
        <item x="119"/>
        <item x="69"/>
        <item t="default"/>
      </items>
    </pivotField>
    <pivotField compact="0" showAll="0">
      <items count="501">
        <item x="258"/>
        <item x="242"/>
        <item x="178"/>
        <item x="366"/>
        <item x="473"/>
        <item x="113"/>
        <item x="410"/>
        <item x="277"/>
        <item x="158"/>
        <item x="199"/>
        <item x="465"/>
        <item x="318"/>
        <item x="353"/>
        <item x="362"/>
        <item x="311"/>
        <item x="197"/>
        <item x="193"/>
        <item x="5"/>
        <item x="291"/>
        <item x="480"/>
        <item x="179"/>
        <item x="159"/>
        <item x="303"/>
        <item x="268"/>
        <item x="186"/>
        <item x="233"/>
        <item x="93"/>
        <item x="251"/>
        <item x="411"/>
        <item x="211"/>
        <item x="385"/>
        <item x="337"/>
        <item x="415"/>
        <item x="250"/>
        <item x="300"/>
        <item x="255"/>
        <item x="283"/>
        <item x="175"/>
        <item x="146"/>
        <item x="38"/>
        <item x="276"/>
        <item x="46"/>
        <item x="328"/>
        <item x="397"/>
        <item x="172"/>
        <item x="62"/>
        <item x="45"/>
        <item x="336"/>
        <item x="200"/>
        <item x="354"/>
        <item x="102"/>
        <item x="440"/>
        <item x="140"/>
        <item x="24"/>
        <item x="82"/>
        <item x="287"/>
        <item x="203"/>
        <item x="453"/>
        <item x="428"/>
        <item x="432"/>
        <item x="76"/>
        <item x="115"/>
        <item x="218"/>
        <item x="493"/>
        <item x="63"/>
        <item x="21"/>
        <item x="490"/>
        <item x="234"/>
        <item x="395"/>
        <item x="294"/>
        <item x="31"/>
        <item x="127"/>
        <item x="449"/>
        <item x="257"/>
        <item x="129"/>
        <item x="462"/>
        <item x="457"/>
        <item x="153"/>
        <item x="59"/>
        <item x="429"/>
        <item x="231"/>
        <item x="481"/>
        <item x="33"/>
        <item x="398"/>
        <item x="365"/>
        <item x="92"/>
        <item x="310"/>
        <item x="333"/>
        <item x="239"/>
        <item x="265"/>
        <item x="30"/>
        <item x="334"/>
        <item x="252"/>
        <item x="351"/>
        <item x="412"/>
        <item x="438"/>
        <item x="350"/>
        <item x="435"/>
        <item x="346"/>
        <item x="243"/>
        <item x="288"/>
        <item x="176"/>
        <item x="312"/>
        <item x="371"/>
        <item x="455"/>
        <item x="18"/>
        <item x="135"/>
        <item x="12"/>
        <item x="321"/>
        <item x="278"/>
        <item x="284"/>
        <item x="372"/>
        <item x="187"/>
        <item x="219"/>
        <item x="499"/>
        <item x="41"/>
        <item x="224"/>
        <item x="133"/>
        <item x="173"/>
        <item x="357"/>
        <item x="325"/>
        <item x="98"/>
        <item x="298"/>
        <item x="118"/>
        <item x="426"/>
        <item x="402"/>
        <item x="248"/>
        <item x="392"/>
        <item x="81"/>
        <item x="401"/>
        <item x="488"/>
        <item x="64"/>
        <item x="23"/>
        <item x="25"/>
        <item x="205"/>
        <item x="260"/>
        <item x="486"/>
        <item x="390"/>
        <item x="478"/>
        <item x="20"/>
        <item x="89"/>
        <item x="37"/>
        <item x="42"/>
        <item x="471"/>
        <item x="441"/>
        <item x="55"/>
        <item x="223"/>
        <item x="143"/>
        <item x="144"/>
        <item x="154"/>
        <item x="139"/>
        <item x="79"/>
        <item x="121"/>
        <item x="128"/>
        <item x="314"/>
        <item x="472"/>
        <item x="48"/>
        <item x="192"/>
        <item x="101"/>
        <item x="269"/>
        <item x="256"/>
        <item x="169"/>
        <item x="456"/>
        <item x="340"/>
        <item x="338"/>
        <item x="70"/>
        <item x="431"/>
        <item x="286"/>
        <item x="484"/>
        <item x="349"/>
        <item x="103"/>
        <item x="181"/>
        <item x="322"/>
        <item x="61"/>
        <item x="463"/>
        <item x="151"/>
        <item x="406"/>
        <item x="313"/>
        <item x="306"/>
        <item x="263"/>
        <item x="106"/>
        <item x="141"/>
        <item x="436"/>
        <item x="419"/>
        <item x="114"/>
        <item x="290"/>
        <item x="7"/>
        <item x="134"/>
        <item x="347"/>
        <item x="196"/>
        <item x="494"/>
        <item x="487"/>
        <item x="160"/>
        <item x="34"/>
        <item x="377"/>
        <item x="10"/>
        <item x="378"/>
        <item x="57"/>
        <item x="477"/>
        <item x="245"/>
        <item x="275"/>
        <item x="228"/>
        <item x="293"/>
        <item x="246"/>
        <item x="125"/>
        <item x="216"/>
        <item x="94"/>
        <item x="369"/>
        <item x="380"/>
        <item x="157"/>
        <item x="498"/>
        <item x="373"/>
        <item x="180"/>
        <item x="209"/>
        <item x="324"/>
        <item x="335"/>
        <item x="495"/>
        <item x="13"/>
        <item x="206"/>
        <item x="80"/>
        <item x="433"/>
        <item x="339"/>
        <item x="329"/>
        <item x="112"/>
        <item x="164"/>
        <item x="254"/>
        <item x="479"/>
        <item x="17"/>
        <item x="170"/>
        <item x="416"/>
        <item x="147"/>
        <item x="274"/>
        <item x="301"/>
        <item x="189"/>
        <item x="391"/>
        <item x="413"/>
        <item x="355"/>
        <item x="450"/>
        <item x="360"/>
        <item x="482"/>
        <item x="152"/>
        <item x="327"/>
        <item x="323"/>
        <item x="222"/>
        <item x="111"/>
        <item x="437"/>
        <item x="220"/>
        <item x="259"/>
        <item x="225"/>
        <item x="273"/>
        <item x="182"/>
        <item x="331"/>
        <item x="292"/>
        <item x="201"/>
        <item x="163"/>
        <item x="44"/>
        <item x="383"/>
        <item x="271"/>
        <item x="22"/>
        <item x="130"/>
        <item x="430"/>
        <item x="396"/>
        <item x="489"/>
        <item x="171"/>
        <item x="184"/>
        <item x="458"/>
        <item x="74"/>
        <item x="491"/>
        <item x="469"/>
        <item x="296"/>
        <item x="267"/>
        <item x="85"/>
        <item x="475"/>
        <item x="221"/>
        <item x="109"/>
        <item x="53"/>
        <item x="58"/>
        <item x="40"/>
        <item x="420"/>
        <item x="97"/>
        <item x="270"/>
        <item x="96"/>
        <item x="148"/>
        <item x="236"/>
        <item x="304"/>
        <item x="155"/>
        <item x="247"/>
        <item x="150"/>
        <item x="460"/>
        <item x="400"/>
        <item x="307"/>
        <item x="452"/>
        <item x="459"/>
        <item x="375"/>
        <item x="356"/>
        <item x="110"/>
        <item x="364"/>
        <item x="237"/>
        <item x="361"/>
        <item x="367"/>
        <item x="86"/>
        <item x="235"/>
        <item x="202"/>
        <item x="315"/>
        <item x="443"/>
        <item x="91"/>
        <item x="87"/>
        <item x="167"/>
        <item x="359"/>
        <item x="136"/>
        <item x="467"/>
        <item x="213"/>
        <item x="36"/>
        <item x="174"/>
        <item x="368"/>
        <item x="2"/>
        <item x="358"/>
        <item x="474"/>
        <item x="421"/>
        <item x="240"/>
        <item x="342"/>
        <item x="285"/>
        <item x="281"/>
        <item x="466"/>
        <item x="66"/>
        <item x="403"/>
        <item x="191"/>
        <item x="229"/>
        <item x="382"/>
        <item x="289"/>
        <item x="427"/>
        <item x="446"/>
        <item x="363"/>
        <item x="84"/>
        <item x="408"/>
        <item x="483"/>
        <item x="244"/>
        <item x="71"/>
        <item x="107"/>
        <item x="282"/>
        <item x="39"/>
        <item x="161"/>
        <item x="11"/>
        <item x="399"/>
        <item x="422"/>
        <item x="434"/>
        <item x="183"/>
        <item x="73"/>
        <item x="341"/>
        <item x="49"/>
        <item x="439"/>
        <item x="156"/>
        <item x="496"/>
        <item x="28"/>
        <item x="54"/>
        <item x="122"/>
        <item x="166"/>
        <item x="305"/>
        <item x="120"/>
        <item x="316"/>
        <item x="19"/>
        <item x="319"/>
        <item x="348"/>
        <item x="116"/>
        <item x="326"/>
        <item x="32"/>
        <item x="117"/>
        <item x="204"/>
        <item x="451"/>
        <item x="381"/>
        <item x="162"/>
        <item x="214"/>
        <item x="168"/>
        <item x="299"/>
        <item x="352"/>
        <item x="386"/>
        <item x="393"/>
        <item x="212"/>
        <item x="261"/>
        <item x="50"/>
        <item x="124"/>
        <item x="27"/>
        <item x="105"/>
        <item x="370"/>
        <item x="330"/>
        <item x="264"/>
        <item x="468"/>
        <item x="444"/>
        <item x="461"/>
        <item x="394"/>
        <item x="6"/>
        <item x="149"/>
        <item x="423"/>
        <item x="194"/>
        <item x="497"/>
        <item x="404"/>
        <item x="448"/>
        <item x="492"/>
        <item x="476"/>
        <item x="29"/>
        <item x="65"/>
        <item x="309"/>
        <item x="43"/>
        <item x="232"/>
        <item x="470"/>
        <item x="190"/>
        <item x="302"/>
        <item x="297"/>
        <item x="424"/>
        <item x="215"/>
        <item x="83"/>
        <item x="320"/>
        <item x="14"/>
        <item x="72"/>
        <item x="279"/>
        <item x="78"/>
        <item x="262"/>
        <item x="405"/>
        <item x="16"/>
        <item x="123"/>
        <item x="379"/>
        <item x="99"/>
        <item x="68"/>
        <item x="195"/>
        <item x="0"/>
        <item x="26"/>
        <item x="343"/>
        <item x="387"/>
        <item x="51"/>
        <item x="442"/>
        <item x="1"/>
        <item x="52"/>
        <item x="266"/>
        <item x="145"/>
        <item x="230"/>
        <item x="425"/>
        <item x="56"/>
        <item x="217"/>
        <item x="208"/>
        <item x="280"/>
        <item x="345"/>
        <item x="447"/>
        <item x="185"/>
        <item x="177"/>
        <item x="485"/>
        <item x="142"/>
        <item x="15"/>
        <item x="317"/>
        <item x="344"/>
        <item x="138"/>
        <item x="417"/>
        <item x="207"/>
        <item x="104"/>
        <item x="131"/>
        <item x="3"/>
        <item x="454"/>
        <item x="60"/>
        <item x="308"/>
        <item x="464"/>
        <item x="389"/>
        <item x="137"/>
        <item x="8"/>
        <item x="88"/>
        <item x="238"/>
        <item x="132"/>
        <item x="4"/>
        <item x="272"/>
        <item x="295"/>
        <item x="384"/>
        <item x="226"/>
        <item x="165"/>
        <item x="126"/>
        <item x="227"/>
        <item x="388"/>
        <item x="445"/>
        <item x="332"/>
        <item x="75"/>
        <item x="95"/>
        <item x="407"/>
        <item x="188"/>
        <item x="90"/>
        <item x="376"/>
        <item x="198"/>
        <item x="418"/>
        <item x="35"/>
        <item x="210"/>
        <item x="47"/>
        <item x="67"/>
        <item x="409"/>
        <item x="9"/>
        <item x="100"/>
        <item x="119"/>
        <item x="108"/>
        <item x="241"/>
        <item x="249"/>
        <item x="414"/>
        <item x="77"/>
        <item x="374"/>
        <item x="69"/>
        <item x="253"/>
        <item t="default"/>
      </items>
    </pivotField>
    <pivotField compact="0" showAll="0">
      <items count="476">
        <item x="21"/>
        <item x="423"/>
        <item x="250"/>
        <item x="432"/>
        <item x="272"/>
        <item x="129"/>
        <item x="260"/>
        <item x="35"/>
        <item x="45"/>
        <item x="290"/>
        <item x="455"/>
        <item x="183"/>
        <item x="156"/>
        <item x="191"/>
        <item x="332"/>
        <item x="30"/>
        <item x="203"/>
        <item x="74"/>
        <item x="57"/>
        <item x="426"/>
        <item x="394"/>
        <item x="141"/>
        <item x="258"/>
        <item x="281"/>
        <item x="2"/>
        <item x="473"/>
        <item x="444"/>
        <item x="418"/>
        <item x="128"/>
        <item x="396"/>
        <item x="14"/>
        <item x="270"/>
        <item x="62"/>
        <item x="452"/>
        <item x="383"/>
        <item x="254"/>
        <item x="407"/>
        <item x="363"/>
        <item x="358"/>
        <item x="4"/>
        <item x="259"/>
        <item x="299"/>
        <item x="427"/>
        <item x="160"/>
        <item x="410"/>
        <item x="298"/>
        <item x="305"/>
        <item x="145"/>
        <item x="0"/>
        <item x="206"/>
        <item x="391"/>
        <item x="85"/>
        <item x="323"/>
        <item x="313"/>
        <item x="37"/>
        <item x="327"/>
        <item x="335"/>
        <item x="392"/>
        <item x="157"/>
        <item x="175"/>
        <item x="405"/>
        <item x="20"/>
        <item x="178"/>
        <item x="169"/>
        <item x="377"/>
        <item x="134"/>
        <item x="437"/>
        <item x="198"/>
        <item x="339"/>
        <item x="146"/>
        <item x="470"/>
        <item x="151"/>
        <item x="276"/>
        <item x="127"/>
        <item x="411"/>
        <item x="63"/>
        <item x="472"/>
        <item x="400"/>
        <item x="185"/>
        <item x="292"/>
        <item x="133"/>
        <item x="355"/>
        <item x="58"/>
        <item x="107"/>
        <item x="140"/>
        <item x="95"/>
        <item x="207"/>
        <item x="67"/>
        <item x="103"/>
        <item x="152"/>
        <item x="346"/>
        <item x="10"/>
        <item x="167"/>
        <item x="413"/>
        <item x="106"/>
        <item x="395"/>
        <item x="93"/>
        <item x="173"/>
        <item x="99"/>
        <item x="262"/>
        <item x="439"/>
        <item x="446"/>
        <item x="27"/>
        <item x="54"/>
        <item x="119"/>
        <item x="442"/>
        <item x="454"/>
        <item x="343"/>
        <item x="214"/>
        <item x="329"/>
        <item x="187"/>
        <item x="224"/>
        <item x="286"/>
        <item x="48"/>
        <item x="324"/>
        <item x="317"/>
        <item x="296"/>
        <item x="373"/>
        <item x="384"/>
        <item x="438"/>
        <item x="153"/>
        <item x="172"/>
        <item x="60"/>
        <item x="333"/>
        <item x="440"/>
        <item x="222"/>
        <item x="87"/>
        <item x="49"/>
        <item x="375"/>
        <item x="357"/>
        <item x="289"/>
        <item x="201"/>
        <item x="72"/>
        <item x="182"/>
        <item x="56"/>
        <item x="240"/>
        <item x="8"/>
        <item x="204"/>
        <item x="216"/>
        <item x="419"/>
        <item x="430"/>
        <item x="406"/>
        <item x="66"/>
        <item x="300"/>
        <item x="209"/>
        <item x="125"/>
        <item x="307"/>
        <item x="77"/>
        <item x="243"/>
        <item x="378"/>
        <item x="308"/>
        <item x="326"/>
        <item x="461"/>
        <item x="321"/>
        <item x="154"/>
        <item x="123"/>
        <item x="315"/>
        <item x="414"/>
        <item x="40"/>
        <item x="39"/>
        <item x="295"/>
        <item x="232"/>
        <item x="294"/>
        <item x="330"/>
        <item x="347"/>
        <item x="465"/>
        <item x="147"/>
        <item x="200"/>
        <item x="90"/>
        <item x="98"/>
        <item x="51"/>
        <item x="380"/>
        <item x="161"/>
        <item x="312"/>
        <item x="180"/>
        <item x="218"/>
        <item x="22"/>
        <item x="166"/>
        <item x="122"/>
        <item x="267"/>
        <item x="422"/>
        <item x="64"/>
        <item x="291"/>
        <item x="205"/>
        <item x="9"/>
        <item x="190"/>
        <item x="436"/>
        <item x="28"/>
        <item x="372"/>
        <item x="319"/>
        <item x="111"/>
        <item x="31"/>
        <item x="100"/>
        <item x="311"/>
        <item x="409"/>
        <item x="47"/>
        <item x="97"/>
        <item x="149"/>
        <item x="265"/>
        <item x="366"/>
        <item x="469"/>
        <item x="474"/>
        <item x="212"/>
        <item x="449"/>
        <item x="43"/>
        <item x="108"/>
        <item x="117"/>
        <item x="421"/>
        <item x="369"/>
        <item x="252"/>
        <item x="92"/>
        <item x="75"/>
        <item x="464"/>
        <item x="293"/>
        <item x="36"/>
        <item x="102"/>
        <item x="431"/>
        <item x="79"/>
        <item x="223"/>
        <item x="53"/>
        <item x="268"/>
        <item x="337"/>
        <item x="91"/>
        <item x="282"/>
        <item x="271"/>
        <item x="246"/>
        <item x="34"/>
        <item x="303"/>
        <item x="18"/>
        <item x="388"/>
        <item x="393"/>
        <item x="101"/>
        <item x="348"/>
        <item x="235"/>
        <item x="408"/>
        <item x="135"/>
        <item x="441"/>
        <item x="132"/>
        <item x="196"/>
        <item x="231"/>
        <item x="208"/>
        <item x="55"/>
        <item x="277"/>
        <item x="148"/>
        <item x="89"/>
        <item x="213"/>
        <item x="399"/>
        <item x="162"/>
        <item x="248"/>
        <item x="181"/>
        <item x="471"/>
        <item x="142"/>
        <item x="168"/>
        <item x="84"/>
        <item x="382"/>
        <item x="279"/>
        <item x="466"/>
        <item x="288"/>
        <item x="163"/>
        <item x="82"/>
        <item x="451"/>
        <item x="29"/>
        <item x="434"/>
        <item x="110"/>
        <item x="19"/>
        <item x="12"/>
        <item x="401"/>
        <item x="188"/>
        <item x="236"/>
        <item x="310"/>
        <item x="334"/>
        <item x="131"/>
        <item x="130"/>
        <item x="462"/>
        <item x="86"/>
        <item x="403"/>
        <item x="195"/>
        <item x="287"/>
        <item x="397"/>
        <item x="443"/>
        <item x="230"/>
        <item x="17"/>
        <item x="69"/>
        <item x="274"/>
        <item x="137"/>
        <item x="118"/>
        <item x="386"/>
        <item x="159"/>
        <item x="385"/>
        <item x="211"/>
        <item x="41"/>
        <item x="467"/>
        <item x="143"/>
        <item x="264"/>
        <item x="171"/>
        <item x="227"/>
        <item x="11"/>
        <item x="463"/>
        <item x="316"/>
        <item x="458"/>
        <item x="359"/>
        <item x="244"/>
        <item x="220"/>
        <item x="448"/>
        <item x="249"/>
        <item x="402"/>
        <item x="221"/>
        <item x="113"/>
        <item x="306"/>
        <item x="424"/>
        <item x="225"/>
        <item x="194"/>
        <item x="364"/>
        <item x="6"/>
        <item x="186"/>
        <item x="16"/>
        <item x="109"/>
        <item x="273"/>
        <item x="215"/>
        <item x="435"/>
        <item x="116"/>
        <item x="184"/>
        <item x="447"/>
        <item x="269"/>
        <item x="253"/>
        <item x="115"/>
        <item x="342"/>
        <item x="155"/>
        <item x="320"/>
        <item x="76"/>
        <item x="389"/>
        <item x="370"/>
        <item x="336"/>
        <item x="170"/>
        <item x="350"/>
        <item x="354"/>
        <item x="381"/>
        <item x="193"/>
        <item x="50"/>
        <item x="367"/>
        <item x="1"/>
        <item x="124"/>
        <item x="126"/>
        <item x="387"/>
        <item x="376"/>
        <item x="61"/>
        <item x="176"/>
        <item x="263"/>
        <item x="416"/>
        <item x="88"/>
        <item x="158"/>
        <item x="374"/>
        <item x="42"/>
        <item x="23"/>
        <item x="433"/>
        <item x="420"/>
        <item x="280"/>
        <item x="136"/>
        <item x="179"/>
        <item x="199"/>
        <item x="197"/>
        <item x="7"/>
        <item x="104"/>
        <item x="349"/>
        <item x="371"/>
        <item x="226"/>
        <item x="460"/>
        <item x="360"/>
        <item x="83"/>
        <item x="245"/>
        <item x="68"/>
        <item x="80"/>
        <item x="44"/>
        <item x="297"/>
        <item x="114"/>
        <item x="341"/>
        <item x="38"/>
        <item x="210"/>
        <item x="322"/>
        <item x="379"/>
        <item x="304"/>
        <item x="238"/>
        <item x="352"/>
        <item x="144"/>
        <item x="261"/>
        <item x="302"/>
        <item x="340"/>
        <item x="398"/>
        <item x="71"/>
        <item x="456"/>
        <item x="239"/>
        <item x="309"/>
        <item x="325"/>
        <item x="314"/>
        <item x="219"/>
        <item x="139"/>
        <item x="285"/>
        <item x="251"/>
        <item x="356"/>
        <item x="70"/>
        <item x="241"/>
        <item x="78"/>
        <item x="81"/>
        <item x="202"/>
        <item x="353"/>
        <item x="318"/>
        <item x="96"/>
        <item x="247"/>
        <item x="275"/>
        <item x="428"/>
        <item x="237"/>
        <item x="450"/>
        <item x="429"/>
        <item x="192"/>
        <item x="26"/>
        <item x="59"/>
        <item x="5"/>
        <item x="25"/>
        <item x="15"/>
        <item x="228"/>
        <item x="94"/>
        <item x="361"/>
        <item x="368"/>
        <item x="164"/>
        <item x="301"/>
        <item x="468"/>
        <item x="121"/>
        <item x="13"/>
        <item x="73"/>
        <item x="459"/>
        <item x="338"/>
        <item x="256"/>
        <item x="150"/>
        <item x="165"/>
        <item x="33"/>
        <item x="46"/>
        <item x="278"/>
        <item x="242"/>
        <item x="112"/>
        <item x="445"/>
        <item x="217"/>
        <item x="233"/>
        <item x="174"/>
        <item x="32"/>
        <item x="415"/>
        <item x="344"/>
        <item x="229"/>
        <item x="457"/>
        <item x="362"/>
        <item x="390"/>
        <item x="255"/>
        <item x="417"/>
        <item x="3"/>
        <item x="412"/>
        <item x="189"/>
        <item x="404"/>
        <item x="105"/>
        <item x="351"/>
        <item x="328"/>
        <item x="24"/>
        <item x="234"/>
        <item x="257"/>
        <item x="138"/>
        <item x="177"/>
        <item x="65"/>
        <item x="120"/>
        <item x="266"/>
        <item x="365"/>
        <item x="453"/>
        <item x="331"/>
        <item x="52"/>
        <item x="284"/>
        <item x="283"/>
        <item x="425"/>
        <item x="345"/>
        <item t="default"/>
      </items>
    </pivotField>
    <pivotField compact="0" showAll="0">
      <items count="494">
        <item x="19"/>
        <item x="51"/>
        <item x="448"/>
        <item x="329"/>
        <item x="333"/>
        <item x="453"/>
        <item x="346"/>
        <item x="246"/>
        <item x="103"/>
        <item x="431"/>
        <item x="59"/>
        <item x="196"/>
        <item x="33"/>
        <item x="362"/>
        <item x="136"/>
        <item x="304"/>
        <item x="487"/>
        <item x="407"/>
        <item x="324"/>
        <item x="108"/>
        <item x="216"/>
        <item x="306"/>
        <item x="234"/>
        <item x="30"/>
        <item x="343"/>
        <item x="477"/>
        <item x="394"/>
        <item x="484"/>
        <item x="168"/>
        <item x="10"/>
        <item x="179"/>
        <item x="85"/>
        <item x="6"/>
        <item x="395"/>
        <item x="327"/>
        <item x="87"/>
        <item x="302"/>
        <item x="123"/>
        <item x="352"/>
        <item x="332"/>
        <item x="239"/>
        <item x="121"/>
        <item x="393"/>
        <item x="340"/>
        <item x="0"/>
        <item x="328"/>
        <item x="62"/>
        <item x="174"/>
        <item x="261"/>
        <item x="68"/>
        <item x="99"/>
        <item x="91"/>
        <item x="357"/>
        <item x="209"/>
        <item x="286"/>
        <item x="120"/>
        <item x="111"/>
        <item x="415"/>
        <item x="485"/>
        <item x="459"/>
        <item x="285"/>
        <item x="283"/>
        <item x="369"/>
        <item x="83"/>
        <item x="188"/>
        <item x="226"/>
        <item x="291"/>
        <item x="15"/>
        <item x="230"/>
        <item x="290"/>
        <item x="116"/>
        <item x="202"/>
        <item x="55"/>
        <item x="384"/>
        <item x="114"/>
        <item x="144"/>
        <item x="292"/>
        <item x="199"/>
        <item x="149"/>
        <item x="438"/>
        <item x="42"/>
        <item x="36"/>
        <item x="49"/>
        <item x="110"/>
        <item x="233"/>
        <item x="198"/>
        <item x="11"/>
        <item x="259"/>
        <item x="392"/>
        <item x="492"/>
        <item x="268"/>
        <item x="135"/>
        <item x="165"/>
        <item x="260"/>
        <item x="67"/>
        <item x="379"/>
        <item x="419"/>
        <item x="443"/>
        <item x="31"/>
        <item x="241"/>
        <item x="122"/>
        <item x="466"/>
        <item x="276"/>
        <item x="78"/>
        <item x="368"/>
        <item x="472"/>
        <item x="1"/>
        <item x="163"/>
        <item x="308"/>
        <item x="424"/>
        <item x="229"/>
        <item x="107"/>
        <item x="284"/>
        <item x="326"/>
        <item x="16"/>
        <item x="344"/>
        <item x="430"/>
        <item x="146"/>
        <item x="232"/>
        <item x="439"/>
        <item x="218"/>
        <item x="254"/>
        <item x="73"/>
        <item x="152"/>
        <item x="288"/>
        <item x="296"/>
        <item x="204"/>
        <item x="390"/>
        <item x="98"/>
        <item x="23"/>
        <item x="147"/>
        <item x="349"/>
        <item x="479"/>
        <item x="117"/>
        <item x="86"/>
        <item x="311"/>
        <item x="214"/>
        <item x="220"/>
        <item x="138"/>
        <item x="131"/>
        <item x="158"/>
        <item x="403"/>
        <item x="489"/>
        <item x="177"/>
        <item x="377"/>
        <item x="197"/>
        <item x="372"/>
        <item x="467"/>
        <item x="470"/>
        <item x="9"/>
        <item x="41"/>
        <item x="184"/>
        <item x="104"/>
        <item x="69"/>
        <item x="219"/>
        <item x="257"/>
        <item x="450"/>
        <item x="281"/>
        <item x="172"/>
        <item x="207"/>
        <item x="355"/>
        <item x="125"/>
        <item x="89"/>
        <item x="205"/>
        <item x="90"/>
        <item x="180"/>
        <item x="265"/>
        <item x="270"/>
        <item x="96"/>
        <item x="401"/>
        <item x="402"/>
        <item x="112"/>
        <item x="84"/>
        <item x="452"/>
        <item x="367"/>
        <item x="126"/>
        <item x="243"/>
        <item x="476"/>
        <item x="274"/>
        <item x="248"/>
        <item x="412"/>
        <item x="250"/>
        <item x="212"/>
        <item x="124"/>
        <item x="182"/>
        <item x="342"/>
        <item x="221"/>
        <item x="18"/>
        <item x="79"/>
        <item x="178"/>
        <item x="173"/>
        <item x="227"/>
        <item x="480"/>
        <item x="427"/>
        <item x="255"/>
        <item x="130"/>
        <item x="398"/>
        <item x="93"/>
        <item x="469"/>
        <item x="77"/>
        <item x="38"/>
        <item x="12"/>
        <item x="471"/>
        <item x="373"/>
        <item x="74"/>
        <item x="289"/>
        <item x="318"/>
        <item x="26"/>
        <item x="347"/>
        <item x="365"/>
        <item x="242"/>
        <item x="157"/>
        <item x="371"/>
        <item x="102"/>
        <item x="128"/>
        <item x="127"/>
        <item x="258"/>
        <item x="400"/>
        <item x="399"/>
        <item x="66"/>
        <item x="410"/>
        <item x="145"/>
        <item x="336"/>
        <item x="481"/>
        <item x="437"/>
        <item x="321"/>
        <item x="76"/>
        <item x="338"/>
        <item x="244"/>
        <item x="156"/>
        <item x="94"/>
        <item x="45"/>
        <item x="200"/>
        <item x="72"/>
        <item x="141"/>
        <item x="176"/>
        <item x="354"/>
        <item x="455"/>
        <item x="458"/>
        <item x="272"/>
        <item x="465"/>
        <item x="189"/>
        <item x="299"/>
        <item x="115"/>
        <item x="238"/>
        <item x="282"/>
        <item x="491"/>
        <item x="383"/>
        <item x="313"/>
        <item x="316"/>
        <item x="17"/>
        <item x="396"/>
        <item x="391"/>
        <item x="193"/>
        <item x="100"/>
        <item x="319"/>
        <item x="271"/>
        <item x="95"/>
        <item x="420"/>
        <item x="20"/>
        <item x="416"/>
        <item x="222"/>
        <item x="71"/>
        <item x="280"/>
        <item x="359"/>
        <item x="175"/>
        <item x="231"/>
        <item x="294"/>
        <item x="314"/>
        <item x="142"/>
        <item x="106"/>
        <item x="339"/>
        <item x="298"/>
        <item x="468"/>
        <item x="223"/>
        <item x="475"/>
        <item x="151"/>
        <item x="240"/>
        <item x="64"/>
        <item x="322"/>
        <item x="429"/>
        <item x="483"/>
        <item x="171"/>
        <item x="2"/>
        <item x="37"/>
        <item x="446"/>
        <item x="312"/>
        <item x="4"/>
        <item x="353"/>
        <item x="378"/>
        <item x="50"/>
        <item x="315"/>
        <item x="57"/>
        <item x="269"/>
        <item x="109"/>
        <item x="192"/>
        <item x="345"/>
        <item x="217"/>
        <item x="206"/>
        <item x="478"/>
        <item x="53"/>
        <item x="25"/>
        <item x="44"/>
        <item x="35"/>
        <item x="397"/>
        <item x="224"/>
        <item x="70"/>
        <item x="3"/>
        <item x="133"/>
        <item x="48"/>
        <item x="374"/>
        <item x="56"/>
        <item x="447"/>
        <item x="267"/>
        <item x="80"/>
        <item x="208"/>
        <item x="334"/>
        <item x="433"/>
        <item x="488"/>
        <item x="210"/>
        <item x="162"/>
        <item x="24"/>
        <item x="323"/>
        <item x="194"/>
        <item x="247"/>
        <item x="445"/>
        <item x="297"/>
        <item x="105"/>
        <item x="139"/>
        <item x="187"/>
        <item x="81"/>
        <item x="236"/>
        <item x="181"/>
        <item x="350"/>
        <item x="213"/>
        <item x="461"/>
        <item x="425"/>
        <item x="300"/>
        <item x="21"/>
        <item x="101"/>
        <item x="277"/>
        <item x="150"/>
        <item x="201"/>
        <item x="262"/>
        <item x="140"/>
        <item x="7"/>
        <item x="5"/>
        <item x="211"/>
        <item x="442"/>
        <item x="456"/>
        <item x="46"/>
        <item x="134"/>
        <item x="426"/>
        <item x="279"/>
        <item x="317"/>
        <item x="13"/>
        <item x="169"/>
        <item x="382"/>
        <item x="27"/>
        <item x="60"/>
        <item x="325"/>
        <item x="237"/>
        <item x="486"/>
        <item x="225"/>
        <item x="14"/>
        <item x="411"/>
        <item x="118"/>
        <item x="305"/>
        <item x="119"/>
        <item x="388"/>
        <item x="190"/>
        <item x="441"/>
        <item x="406"/>
        <item x="137"/>
        <item x="58"/>
        <item x="307"/>
        <item x="82"/>
        <item x="417"/>
        <item x="310"/>
        <item x="361"/>
        <item x="387"/>
        <item x="161"/>
        <item x="92"/>
        <item x="364"/>
        <item x="186"/>
        <item x="148"/>
        <item x="385"/>
        <item x="474"/>
        <item x="8"/>
        <item x="164"/>
        <item x="160"/>
        <item x="404"/>
        <item x="28"/>
        <item x="54"/>
        <item x="129"/>
        <item x="47"/>
        <item x="366"/>
        <item x="195"/>
        <item x="331"/>
        <item x="454"/>
        <item x="143"/>
        <item x="256"/>
        <item x="457"/>
        <item x="264"/>
        <item x="154"/>
        <item x="473"/>
        <item x="409"/>
        <item x="29"/>
        <item x="185"/>
        <item x="451"/>
        <item x="386"/>
        <item x="440"/>
        <item x="351"/>
        <item x="166"/>
        <item x="228"/>
        <item x="434"/>
        <item x="215"/>
        <item x="341"/>
        <item x="309"/>
        <item x="22"/>
        <item x="348"/>
        <item x="167"/>
        <item x="460"/>
        <item x="159"/>
        <item x="335"/>
        <item x="252"/>
        <item x="356"/>
        <item x="422"/>
        <item x="273"/>
        <item x="414"/>
        <item x="295"/>
        <item x="235"/>
        <item x="330"/>
        <item x="63"/>
        <item x="32"/>
        <item x="278"/>
        <item x="263"/>
        <item x="253"/>
        <item x="381"/>
        <item x="462"/>
        <item x="97"/>
        <item x="266"/>
        <item x="376"/>
        <item x="380"/>
        <item x="183"/>
        <item x="449"/>
        <item x="405"/>
        <item x="75"/>
        <item x="428"/>
        <item x="408"/>
        <item x="337"/>
        <item x="249"/>
        <item x="88"/>
        <item x="153"/>
        <item x="363"/>
        <item x="155"/>
        <item x="320"/>
        <item x="251"/>
        <item x="34"/>
        <item x="170"/>
        <item x="43"/>
        <item x="360"/>
        <item x="293"/>
        <item x="65"/>
        <item x="301"/>
        <item x="421"/>
        <item x="418"/>
        <item x="245"/>
        <item x="482"/>
        <item x="463"/>
        <item x="444"/>
        <item x="370"/>
        <item x="303"/>
        <item x="413"/>
        <item x="132"/>
        <item x="436"/>
        <item x="432"/>
        <item x="40"/>
        <item x="490"/>
        <item x="203"/>
        <item x="191"/>
        <item x="287"/>
        <item x="39"/>
        <item x="52"/>
        <item x="113"/>
        <item x="423"/>
        <item x="375"/>
        <item x="435"/>
        <item x="389"/>
        <item x="358"/>
        <item x="464"/>
        <item x="275"/>
        <item x="61"/>
        <item t="default"/>
      </items>
    </pivotField>
    <pivotField compact="0" showAll="0">
      <items count="501">
        <item x="469"/>
        <item x="453"/>
        <item x="412"/>
        <item x="45"/>
        <item x="183"/>
        <item x="452"/>
        <item x="348"/>
        <item x="478"/>
        <item x="82"/>
        <item x="121"/>
        <item x="475"/>
        <item x="261"/>
        <item x="233"/>
        <item x="390"/>
        <item x="235"/>
        <item x="406"/>
        <item x="1"/>
        <item x="178"/>
        <item x="43"/>
        <item x="297"/>
        <item x="163"/>
        <item x="290"/>
        <item x="34"/>
        <item x="470"/>
        <item x="434"/>
        <item x="284"/>
        <item x="64"/>
        <item x="94"/>
        <item x="122"/>
        <item x="205"/>
        <item x="145"/>
        <item x="431"/>
        <item x="228"/>
        <item x="9"/>
        <item x="444"/>
        <item x="207"/>
        <item x="477"/>
        <item x="466"/>
        <item x="485"/>
        <item x="165"/>
        <item x="476"/>
        <item x="222"/>
        <item x="162"/>
        <item x="257"/>
        <item x="387"/>
        <item x="482"/>
        <item x="98"/>
        <item x="50"/>
        <item x="417"/>
        <item x="430"/>
        <item x="80"/>
        <item x="303"/>
        <item x="195"/>
        <item x="358"/>
        <item x="154"/>
        <item x="13"/>
        <item x="367"/>
        <item x="305"/>
        <item x="244"/>
        <item x="490"/>
        <item x="203"/>
        <item x="156"/>
        <item x="241"/>
        <item x="41"/>
        <item x="299"/>
        <item x="439"/>
        <item x="67"/>
        <item x="494"/>
        <item x="415"/>
        <item x="266"/>
        <item x="337"/>
        <item x="177"/>
        <item x="91"/>
        <item x="240"/>
        <item x="33"/>
        <item x="410"/>
        <item x="160"/>
        <item x="116"/>
        <item x="279"/>
        <item x="384"/>
        <item x="114"/>
        <item x="126"/>
        <item x="100"/>
        <item x="229"/>
        <item x="368"/>
        <item x="255"/>
        <item x="110"/>
        <item x="81"/>
        <item x="404"/>
        <item x="313"/>
        <item x="293"/>
        <item x="186"/>
        <item x="212"/>
        <item x="454"/>
        <item x="328"/>
        <item x="424"/>
        <item x="149"/>
        <item x="26"/>
        <item x="459"/>
        <item x="66"/>
        <item x="499"/>
        <item x="23"/>
        <item x="113"/>
        <item x="53"/>
        <item x="301"/>
        <item x="446"/>
        <item x="226"/>
        <item x="40"/>
        <item x="79"/>
        <item x="74"/>
        <item x="275"/>
        <item x="269"/>
        <item x="138"/>
        <item x="362"/>
        <item x="62"/>
        <item x="71"/>
        <item x="295"/>
        <item x="359"/>
        <item x="51"/>
        <item x="312"/>
        <item x="141"/>
        <item x="247"/>
        <item x="397"/>
        <item x="264"/>
        <item x="445"/>
        <item x="5"/>
        <item x="245"/>
        <item x="392"/>
        <item x="360"/>
        <item x="231"/>
        <item x="134"/>
        <item x="471"/>
        <item x="8"/>
        <item x="473"/>
        <item x="291"/>
        <item x="460"/>
        <item x="278"/>
        <item x="127"/>
        <item x="56"/>
        <item x="140"/>
        <item x="351"/>
        <item x="408"/>
        <item x="324"/>
        <item x="432"/>
        <item x="24"/>
        <item x="254"/>
        <item x="151"/>
        <item x="115"/>
        <item x="263"/>
        <item x="157"/>
        <item x="389"/>
        <item x="289"/>
        <item x="428"/>
        <item x="436"/>
        <item x="426"/>
        <item x="93"/>
        <item x="451"/>
        <item x="150"/>
        <item x="433"/>
        <item x="216"/>
        <item x="427"/>
        <item x="22"/>
        <item x="372"/>
        <item x="496"/>
        <item x="383"/>
        <item x="210"/>
        <item x="109"/>
        <item x="495"/>
        <item x="316"/>
        <item x="25"/>
        <item x="248"/>
        <item x="462"/>
        <item x="88"/>
        <item x="42"/>
        <item x="144"/>
        <item x="409"/>
        <item x="63"/>
        <item x="4"/>
        <item x="44"/>
        <item x="200"/>
        <item x="175"/>
        <item x="209"/>
        <item x="286"/>
        <item x="486"/>
        <item x="194"/>
        <item x="179"/>
        <item x="243"/>
        <item x="474"/>
        <item x="379"/>
        <item x="268"/>
        <item x="77"/>
        <item x="402"/>
        <item x="464"/>
        <item x="184"/>
        <item x="21"/>
        <item x="371"/>
        <item x="329"/>
        <item x="302"/>
        <item x="75"/>
        <item x="147"/>
        <item x="213"/>
        <item x="318"/>
        <item x="488"/>
        <item x="375"/>
        <item x="199"/>
        <item x="202"/>
        <item x="277"/>
        <item x="319"/>
        <item x="234"/>
        <item x="365"/>
        <item x="174"/>
        <item x="262"/>
        <item x="493"/>
        <item x="0"/>
        <item x="29"/>
        <item x="416"/>
        <item x="280"/>
        <item x="394"/>
        <item x="6"/>
        <item x="191"/>
        <item x="65"/>
        <item x="298"/>
        <item x="281"/>
        <item x="84"/>
        <item x="68"/>
        <item x="296"/>
        <item x="479"/>
        <item x="341"/>
        <item x="92"/>
        <item x="413"/>
        <item x="357"/>
        <item x="108"/>
        <item x="317"/>
        <item x="197"/>
        <item x="125"/>
        <item x="11"/>
        <item x="196"/>
        <item x="435"/>
        <item x="369"/>
        <item x="440"/>
        <item x="423"/>
        <item x="361"/>
        <item x="288"/>
        <item x="449"/>
        <item x="352"/>
        <item x="492"/>
        <item x="347"/>
        <item x="325"/>
        <item x="59"/>
        <item x="376"/>
        <item x="472"/>
        <item x="497"/>
        <item x="48"/>
        <item x="95"/>
        <item x="106"/>
        <item x="333"/>
        <item x="32"/>
        <item x="340"/>
        <item x="198"/>
        <item x="429"/>
        <item x="385"/>
        <item x="311"/>
        <item x="465"/>
        <item x="442"/>
        <item x="78"/>
        <item x="421"/>
        <item x="128"/>
        <item x="447"/>
        <item x="395"/>
        <item x="221"/>
        <item x="204"/>
        <item x="215"/>
        <item x="39"/>
        <item x="214"/>
        <item x="36"/>
        <item x="211"/>
        <item x="60"/>
        <item x="27"/>
        <item x="164"/>
        <item x="189"/>
        <item x="46"/>
        <item x="307"/>
        <item x="187"/>
        <item x="242"/>
        <item x="272"/>
        <item x="232"/>
        <item x="260"/>
        <item x="463"/>
        <item x="285"/>
        <item x="70"/>
        <item x="12"/>
        <item x="37"/>
        <item x="336"/>
        <item x="206"/>
        <item x="52"/>
        <item x="89"/>
        <item x="481"/>
        <item x="356"/>
        <item x="308"/>
        <item x="224"/>
        <item x="461"/>
        <item x="270"/>
        <item x="101"/>
        <item x="192"/>
        <item x="437"/>
        <item x="450"/>
        <item x="148"/>
        <item x="251"/>
        <item x="15"/>
        <item x="139"/>
        <item x="28"/>
        <item x="310"/>
        <item x="103"/>
        <item x="105"/>
        <item x="350"/>
        <item x="90"/>
        <item x="349"/>
        <item x="339"/>
        <item x="31"/>
        <item x="314"/>
        <item x="334"/>
        <item x="201"/>
        <item x="223"/>
        <item x="7"/>
        <item x="167"/>
        <item x="97"/>
        <item x="438"/>
        <item x="401"/>
        <item x="304"/>
        <item x="323"/>
        <item x="54"/>
        <item x="252"/>
        <item x="49"/>
        <item x="146"/>
        <item x="185"/>
        <item x="16"/>
        <item x="382"/>
        <item x="271"/>
        <item x="83"/>
        <item x="420"/>
        <item x="3"/>
        <item x="111"/>
        <item x="283"/>
        <item x="354"/>
        <item x="399"/>
        <item x="353"/>
        <item x="326"/>
        <item x="188"/>
        <item x="391"/>
        <item x="18"/>
        <item x="73"/>
        <item x="309"/>
        <item x="355"/>
        <item x="346"/>
        <item x="342"/>
        <item x="159"/>
        <item x="61"/>
        <item x="86"/>
        <item x="374"/>
        <item x="373"/>
        <item x="135"/>
        <item x="133"/>
        <item x="330"/>
        <item x="422"/>
        <item x="176"/>
        <item x="256"/>
        <item x="76"/>
        <item x="327"/>
        <item x="377"/>
        <item x="47"/>
        <item x="274"/>
        <item x="14"/>
        <item x="398"/>
        <item x="153"/>
        <item x="169"/>
        <item x="414"/>
        <item x="386"/>
        <item x="441"/>
        <item x="276"/>
        <item x="489"/>
        <item x="396"/>
        <item x="363"/>
        <item x="218"/>
        <item x="455"/>
        <item x="30"/>
        <item x="491"/>
        <item x="265"/>
        <item x="155"/>
        <item x="381"/>
        <item x="267"/>
        <item x="315"/>
        <item x="104"/>
        <item x="484"/>
        <item x="227"/>
        <item x="208"/>
        <item x="38"/>
        <item x="458"/>
        <item x="457"/>
        <item x="456"/>
        <item x="370"/>
        <item x="170"/>
        <item x="480"/>
        <item x="152"/>
        <item x="259"/>
        <item x="96"/>
        <item x="137"/>
        <item x="443"/>
        <item x="425"/>
        <item x="193"/>
        <item x="448"/>
        <item x="306"/>
        <item x="136"/>
        <item x="344"/>
        <item x="300"/>
        <item x="498"/>
        <item x="131"/>
        <item x="182"/>
        <item x="258"/>
        <item x="345"/>
        <item x="124"/>
        <item x="173"/>
        <item x="236"/>
        <item x="294"/>
        <item x="343"/>
        <item x="230"/>
        <item x="487"/>
        <item x="143"/>
        <item x="292"/>
        <item x="388"/>
        <item x="87"/>
        <item x="225"/>
        <item x="467"/>
        <item x="239"/>
        <item x="69"/>
        <item x="400"/>
        <item x="411"/>
        <item x="419"/>
        <item x="57"/>
        <item x="483"/>
        <item x="287"/>
        <item x="85"/>
        <item x="2"/>
        <item x="118"/>
        <item x="364"/>
        <item x="237"/>
        <item x="107"/>
        <item x="120"/>
        <item x="418"/>
        <item x="238"/>
        <item x="380"/>
        <item x="35"/>
        <item x="322"/>
        <item x="253"/>
        <item x="166"/>
        <item x="119"/>
        <item x="55"/>
        <item x="58"/>
        <item x="321"/>
        <item x="102"/>
        <item x="123"/>
        <item x="17"/>
        <item x="250"/>
        <item x="393"/>
        <item x="168"/>
        <item x="273"/>
        <item x="246"/>
        <item x="190"/>
        <item x="407"/>
        <item x="19"/>
        <item x="99"/>
        <item x="220"/>
        <item x="171"/>
        <item x="335"/>
        <item x="331"/>
        <item x="249"/>
        <item x="405"/>
        <item x="217"/>
        <item x="117"/>
        <item x="130"/>
        <item x="338"/>
        <item x="142"/>
        <item x="320"/>
        <item x="172"/>
        <item x="282"/>
        <item x="366"/>
        <item x="180"/>
        <item x="10"/>
        <item x="161"/>
        <item x="378"/>
        <item x="332"/>
        <item x="181"/>
        <item x="158"/>
        <item x="132"/>
        <item x="20"/>
        <item x="468"/>
        <item x="129"/>
        <item x="112"/>
        <item x="72"/>
        <item x="219"/>
        <item x="403"/>
        <item t="default"/>
      </items>
    </pivotField>
    <pivotField compact="0" showAll="0">
      <items count="501">
        <item x="442"/>
        <item x="497"/>
        <item x="252"/>
        <item x="480"/>
        <item x="411"/>
        <item x="423"/>
        <item x="21"/>
        <item x="184"/>
        <item x="395"/>
        <item x="163"/>
        <item x="56"/>
        <item x="81"/>
        <item x="418"/>
        <item x="146"/>
        <item x="61"/>
        <item x="472"/>
        <item x="226"/>
        <item x="453"/>
        <item x="276"/>
        <item x="179"/>
        <item x="366"/>
        <item x="90"/>
        <item x="315"/>
        <item x="379"/>
        <item x="77"/>
        <item x="314"/>
        <item x="193"/>
        <item x="481"/>
        <item x="136"/>
        <item x="353"/>
        <item x="291"/>
        <item x="261"/>
        <item x="135"/>
        <item x="283"/>
        <item x="197"/>
        <item x="258"/>
        <item x="102"/>
        <item x="248"/>
        <item x="445"/>
        <item x="399"/>
        <item x="250"/>
        <item x="410"/>
        <item x="255"/>
        <item x="158"/>
        <item x="489"/>
        <item x="415"/>
        <item x="311"/>
        <item x="159"/>
        <item x="186"/>
        <item x="211"/>
        <item x="318"/>
        <item x="336"/>
        <item x="76"/>
        <item x="264"/>
        <item x="178"/>
        <item x="251"/>
        <item x="465"/>
        <item x="403"/>
        <item x="93"/>
        <item x="46"/>
        <item x="206"/>
        <item x="440"/>
        <item x="428"/>
        <item x="432"/>
        <item x="173"/>
        <item x="278"/>
        <item x="429"/>
        <item x="113"/>
        <item x="303"/>
        <item x="5"/>
        <item x="373"/>
        <item x="268"/>
        <item x="38"/>
        <item x="26"/>
        <item x="435"/>
        <item x="89"/>
        <item x="365"/>
        <item x="37"/>
        <item x="17"/>
        <item x="63"/>
        <item x="64"/>
        <item x="471"/>
        <item x="140"/>
        <item x="194"/>
        <item x="231"/>
        <item x="242"/>
        <item x="277"/>
        <item x="281"/>
        <item x="139"/>
        <item x="388"/>
        <item x="328"/>
        <item x="458"/>
        <item x="58"/>
        <item x="284"/>
        <item x="473"/>
        <item x="300"/>
        <item x="438"/>
        <item x="305"/>
        <item x="129"/>
        <item x="57"/>
        <item x="175"/>
        <item x="94"/>
        <item x="397"/>
        <item x="25"/>
        <item x="172"/>
        <item x="171"/>
        <item x="310"/>
        <item x="307"/>
        <item x="312"/>
        <item x="437"/>
        <item x="82"/>
        <item x="349"/>
        <item x="115"/>
        <item x="239"/>
        <item x="127"/>
        <item x="346"/>
        <item x="199"/>
        <item x="106"/>
        <item x="337"/>
        <item x="218"/>
        <item x="382"/>
        <item x="354"/>
        <item x="493"/>
        <item x="30"/>
        <item x="416"/>
        <item x="259"/>
        <item x="92"/>
        <item x="362"/>
        <item x="385"/>
        <item x="223"/>
        <item x="96"/>
        <item x="147"/>
        <item x="306"/>
        <item x="233"/>
        <item x="219"/>
        <item x="433"/>
        <item x="153"/>
        <item x="288"/>
        <item x="200"/>
        <item x="45"/>
        <item x="48"/>
        <item x="14"/>
        <item x="402"/>
        <item x="424"/>
        <item x="426"/>
        <item x="499"/>
        <item x="98"/>
        <item x="455"/>
        <item x="111"/>
        <item x="7"/>
        <item x="187"/>
        <item x="321"/>
        <item x="430"/>
        <item x="325"/>
        <item x="265"/>
        <item x="269"/>
        <item x="342"/>
        <item x="304"/>
        <item x="380"/>
        <item x="483"/>
        <item x="322"/>
        <item x="41"/>
        <item x="62"/>
        <item x="350"/>
        <item x="273"/>
        <item x="133"/>
        <item x="498"/>
        <item x="234"/>
        <item x="203"/>
        <item x="130"/>
        <item x="256"/>
        <item x="192"/>
        <item x="412"/>
        <item x="31"/>
        <item x="457"/>
        <item x="490"/>
        <item x="298"/>
        <item x="287"/>
        <item x="215"/>
        <item x="462"/>
        <item x="79"/>
        <item x="169"/>
        <item x="406"/>
        <item x="176"/>
        <item x="369"/>
        <item x="463"/>
        <item x="334"/>
        <item x="80"/>
        <item x="257"/>
        <item x="141"/>
        <item x="254"/>
        <item x="204"/>
        <item x="372"/>
        <item x="224"/>
        <item x="107"/>
        <item x="398"/>
        <item x="59"/>
        <item x="260"/>
        <item x="143"/>
        <item x="345"/>
        <item x="236"/>
        <item x="360"/>
        <item x="338"/>
        <item x="101"/>
        <item x="24"/>
        <item x="181"/>
        <item x="333"/>
        <item x="294"/>
        <item x="441"/>
        <item x="34"/>
        <item x="243"/>
        <item x="297"/>
        <item x="456"/>
        <item x="357"/>
        <item x="154"/>
        <item x="488"/>
        <item x="339"/>
        <item x="419"/>
        <item x="53"/>
        <item x="22"/>
        <item x="391"/>
        <item x="2"/>
        <item x="209"/>
        <item x="449"/>
        <item x="434"/>
        <item x="33"/>
        <item x="392"/>
        <item x="237"/>
        <item x="225"/>
        <item x="494"/>
        <item x="246"/>
        <item x="144"/>
        <item x="103"/>
        <item x="118"/>
        <item x="351"/>
        <item x="262"/>
        <item x="70"/>
        <item x="301"/>
        <item x="128"/>
        <item x="309"/>
        <item x="486"/>
        <item x="196"/>
        <item x="123"/>
        <item x="267"/>
        <item x="85"/>
        <item x="160"/>
        <item x="477"/>
        <item x="340"/>
        <item x="492"/>
        <item x="71"/>
        <item x="189"/>
        <item x="313"/>
        <item x="274"/>
        <item x="134"/>
        <item x="35"/>
        <item x="152"/>
        <item x="396"/>
        <item x="478"/>
        <item x="47"/>
        <item x="482"/>
        <item x="177"/>
        <item x="216"/>
        <item x="114"/>
        <item x="125"/>
        <item x="191"/>
        <item x="105"/>
        <item x="495"/>
        <item x="343"/>
        <item x="436"/>
        <item x="121"/>
        <item x="289"/>
        <item x="174"/>
        <item x="286"/>
        <item x="39"/>
        <item x="164"/>
        <item x="55"/>
        <item x="381"/>
        <item x="202"/>
        <item x="44"/>
        <item x="377"/>
        <item x="401"/>
        <item x="454"/>
        <item x="386"/>
        <item x="487"/>
        <item x="42"/>
        <item x="371"/>
        <item x="104"/>
        <item x="235"/>
        <item x="151"/>
        <item x="368"/>
        <item x="431"/>
        <item x="329"/>
        <item x="148"/>
        <item x="295"/>
        <item x="245"/>
        <item x="390"/>
        <item x="221"/>
        <item x="84"/>
        <item x="12"/>
        <item x="150"/>
        <item x="205"/>
        <item x="359"/>
        <item x="308"/>
        <item x="378"/>
        <item x="327"/>
        <item x="375"/>
        <item x="355"/>
        <item x="8"/>
        <item x="335"/>
        <item x="99"/>
        <item x="195"/>
        <item x="292"/>
        <item x="19"/>
        <item x="420"/>
        <item x="110"/>
        <item x="290"/>
        <item x="228"/>
        <item x="447"/>
        <item x="484"/>
        <item x="222"/>
        <item x="157"/>
        <item x="220"/>
        <item x="452"/>
        <item x="293"/>
        <item x="384"/>
        <item x="270"/>
        <item x="180"/>
        <item x="491"/>
        <item x="330"/>
        <item x="347"/>
        <item x="10"/>
        <item x="263"/>
        <item x="323"/>
        <item x="40"/>
        <item x="0"/>
        <item x="450"/>
        <item x="182"/>
        <item x="75"/>
        <item x="364"/>
        <item x="374"/>
        <item x="74"/>
        <item x="91"/>
        <item x="275"/>
        <item x="475"/>
        <item x="393"/>
        <item x="20"/>
        <item x="352"/>
        <item x="112"/>
        <item x="168"/>
        <item x="317"/>
        <item x="324"/>
        <item x="474"/>
        <item x="469"/>
        <item x="230"/>
        <item x="240"/>
        <item x="348"/>
        <item x="87"/>
        <item x="18"/>
        <item x="302"/>
        <item x="479"/>
        <item x="413"/>
        <item x="296"/>
        <item x="170"/>
        <item x="326"/>
        <item x="285"/>
        <item x="165"/>
        <item x="4"/>
        <item x="282"/>
        <item x="467"/>
        <item x="27"/>
        <item x="117"/>
        <item x="49"/>
        <item x="120"/>
        <item x="241"/>
        <item x="459"/>
        <item x="404"/>
        <item x="183"/>
        <item x="162"/>
        <item x="15"/>
        <item x="332"/>
        <item x="78"/>
        <item x="86"/>
        <item x="217"/>
        <item x="356"/>
        <item x="201"/>
        <item x="13"/>
        <item x="383"/>
        <item x="389"/>
        <item x="232"/>
        <item x="138"/>
        <item x="16"/>
        <item x="6"/>
        <item x="448"/>
        <item x="271"/>
        <item x="3"/>
        <item x="227"/>
        <item x="60"/>
        <item x="319"/>
        <item x="361"/>
        <item x="23"/>
        <item x="97"/>
        <item x="36"/>
        <item x="439"/>
        <item x="229"/>
        <item x="400"/>
        <item x="185"/>
        <item x="376"/>
        <item x="358"/>
        <item x="387"/>
        <item x="446"/>
        <item x="247"/>
        <item x="28"/>
        <item x="266"/>
        <item x="427"/>
        <item x="155"/>
        <item x="443"/>
        <item x="363"/>
        <item x="409"/>
        <item x="496"/>
        <item x="116"/>
        <item x="1"/>
        <item x="72"/>
        <item x="405"/>
        <item x="149"/>
        <item x="161"/>
        <item x="190"/>
        <item x="29"/>
        <item x="11"/>
        <item x="109"/>
        <item x="425"/>
        <item x="122"/>
        <item x="464"/>
        <item x="367"/>
        <item x="213"/>
        <item x="238"/>
        <item x="52"/>
        <item x="249"/>
        <item x="460"/>
        <item x="466"/>
        <item x="9"/>
        <item x="417"/>
        <item x="66"/>
        <item x="124"/>
        <item x="344"/>
        <item x="131"/>
        <item x="156"/>
        <item x="370"/>
        <item x="73"/>
        <item x="451"/>
        <item x="100"/>
        <item x="167"/>
        <item x="137"/>
        <item x="476"/>
        <item x="279"/>
        <item x="421"/>
        <item x="341"/>
        <item x="142"/>
        <item x="65"/>
        <item x="422"/>
        <item x="468"/>
        <item x="54"/>
        <item x="414"/>
        <item x="43"/>
        <item x="166"/>
        <item x="394"/>
        <item x="408"/>
        <item x="461"/>
        <item x="253"/>
        <item x="68"/>
        <item x="214"/>
        <item x="126"/>
        <item x="108"/>
        <item x="331"/>
        <item x="207"/>
        <item x="50"/>
        <item x="210"/>
        <item x="244"/>
        <item x="88"/>
        <item x="208"/>
        <item x="132"/>
        <item x="32"/>
        <item x="280"/>
        <item x="145"/>
        <item x="299"/>
        <item x="470"/>
        <item x="407"/>
        <item x="212"/>
        <item x="272"/>
        <item x="444"/>
        <item x="188"/>
        <item x="83"/>
        <item x="485"/>
        <item x="95"/>
        <item x="316"/>
        <item x="198"/>
        <item x="51"/>
        <item x="320"/>
        <item x="67"/>
        <item x="119"/>
        <item x="69"/>
        <item t="default"/>
      </items>
    </pivotField>
    <pivotField compact="0" showAll="0">
      <items count="5">
        <item x="0"/>
        <item x="1"/>
        <item x="2"/>
        <item x="3"/>
        <item t="default"/>
      </items>
    </pivotField>
    <pivotField compact="0" showAll="0">
      <items count="466">
        <item x="87"/>
        <item x="179"/>
        <item x="213"/>
        <item x="432"/>
        <item x="379"/>
        <item x="122"/>
        <item x="366"/>
        <item x="139"/>
        <item x="271"/>
        <item x="140"/>
        <item x="159"/>
        <item x="384"/>
        <item x="248"/>
        <item x="342"/>
        <item x="292"/>
        <item x="405"/>
        <item x="314"/>
        <item x="238"/>
        <item x="130"/>
        <item x="268"/>
        <item x="440"/>
        <item x="177"/>
        <item x="378"/>
        <item x="222"/>
        <item x="112"/>
        <item x="77"/>
        <item x="20"/>
        <item x="50"/>
        <item x="5"/>
        <item x="51"/>
        <item x="97"/>
        <item x="235"/>
        <item x="49"/>
        <item x="263"/>
        <item x="118"/>
        <item x="231"/>
        <item x="448"/>
        <item x="234"/>
        <item x="129"/>
        <item x="74"/>
        <item x="447"/>
        <item x="62"/>
        <item x="294"/>
        <item x="358"/>
        <item x="310"/>
        <item x="286"/>
        <item x="99"/>
        <item x="68"/>
        <item x="35"/>
        <item x="330"/>
        <item x="372"/>
        <item x="383"/>
        <item x="297"/>
        <item x="46"/>
        <item x="291"/>
        <item x="301"/>
        <item x="313"/>
        <item x="230"/>
        <item x="355"/>
        <item x="237"/>
        <item x="425"/>
        <item x="264"/>
        <item x="79"/>
        <item x="226"/>
        <item x="408"/>
        <item x="70"/>
        <item x="160"/>
        <item x="135"/>
        <item x="167"/>
        <item x="368"/>
        <item x="191"/>
        <item x="7"/>
        <item x="455"/>
        <item x="283"/>
        <item x="95"/>
        <item x="24"/>
        <item x="183"/>
        <item x="400"/>
        <item x="67"/>
        <item x="338"/>
        <item x="257"/>
        <item x="205"/>
        <item x="173"/>
        <item x="256"/>
        <item x="306"/>
        <item x="189"/>
        <item x="280"/>
        <item x="326"/>
        <item x="198"/>
        <item x="373"/>
        <item x="380"/>
        <item x="184"/>
        <item x="172"/>
        <item x="123"/>
        <item x="429"/>
        <item x="156"/>
        <item x="290"/>
        <item x="199"/>
        <item x="300"/>
        <item x="275"/>
        <item x="274"/>
        <item x="369"/>
        <item x="228"/>
        <item x="337"/>
        <item x="174"/>
        <item x="334"/>
        <item x="163"/>
        <item x="247"/>
        <item x="110"/>
        <item x="371"/>
        <item x="25"/>
        <item x="353"/>
        <item x="351"/>
        <item x="78"/>
        <item x="33"/>
        <item x="352"/>
        <item x="348"/>
        <item x="261"/>
        <item x="398"/>
        <item x="463"/>
        <item x="186"/>
        <item x="454"/>
        <item x="403"/>
        <item x="236"/>
        <item x="406"/>
        <item x="76"/>
        <item x="422"/>
        <item x="459"/>
        <item x="89"/>
        <item x="136"/>
        <item x="420"/>
        <item x="396"/>
        <item x="220"/>
        <item x="44"/>
        <item x="258"/>
        <item x="449"/>
        <item x="269"/>
        <item x="90"/>
        <item x="276"/>
        <item x="22"/>
        <item x="401"/>
        <item x="442"/>
        <item x="58"/>
        <item x="441"/>
        <item x="464"/>
        <item x="219"/>
        <item x="203"/>
        <item x="61"/>
        <item x="438"/>
        <item x="363"/>
        <item x="328"/>
        <item x="316"/>
        <item x="18"/>
        <item x="180"/>
        <item x="116"/>
        <item x="28"/>
        <item x="277"/>
        <item x="88"/>
        <item x="374"/>
        <item x="287"/>
        <item x="394"/>
        <item x="196"/>
        <item x="273"/>
        <item x="439"/>
        <item x="208"/>
        <item x="40"/>
        <item x="65"/>
        <item x="153"/>
        <item x="424"/>
        <item x="214"/>
        <item x="105"/>
        <item x="381"/>
        <item x="117"/>
        <item x="154"/>
        <item x="86"/>
        <item x="42"/>
        <item x="450"/>
        <item x="10"/>
        <item x="55"/>
        <item x="240"/>
        <item x="324"/>
        <item x="13"/>
        <item x="304"/>
        <item x="336"/>
        <item x="102"/>
        <item x="168"/>
        <item x="144"/>
        <item x="91"/>
        <item x="323"/>
        <item x="242"/>
        <item x="341"/>
        <item x="451"/>
        <item x="158"/>
        <item x="83"/>
        <item x="14"/>
        <item x="331"/>
        <item x="413"/>
        <item x="345"/>
        <item x="445"/>
        <item x="59"/>
        <item x="204"/>
        <item x="296"/>
        <item x="311"/>
        <item x="202"/>
        <item x="281"/>
        <item x="161"/>
        <item x="32"/>
        <item x="343"/>
        <item x="84"/>
        <item x="64"/>
        <item x="397"/>
        <item x="254"/>
        <item x="207"/>
        <item x="416"/>
        <item x="367"/>
        <item x="157"/>
        <item x="12"/>
        <item x="27"/>
        <item x="415"/>
        <item x="417"/>
        <item x="9"/>
        <item x="211"/>
        <item x="137"/>
        <item x="176"/>
        <item x="93"/>
        <item x="392"/>
        <item x="29"/>
        <item x="170"/>
        <item x="150"/>
        <item x="370"/>
        <item x="124"/>
        <item x="461"/>
        <item x="215"/>
        <item x="152"/>
        <item x="216"/>
        <item x="195"/>
        <item x="131"/>
        <item x="460"/>
        <item x="267"/>
        <item x="327"/>
        <item x="15"/>
        <item x="81"/>
        <item x="308"/>
        <item x="295"/>
        <item x="212"/>
        <item x="66"/>
        <item x="359"/>
        <item x="354"/>
        <item x="282"/>
        <item x="16"/>
        <item x="332"/>
        <item x="245"/>
        <item x="357"/>
        <item x="134"/>
        <item x="435"/>
        <item x="404"/>
        <item x="298"/>
        <item x="407"/>
        <item x="315"/>
        <item x="126"/>
        <item x="200"/>
        <item x="82"/>
        <item x="138"/>
        <item x="11"/>
        <item x="285"/>
        <item x="223"/>
        <item x="60"/>
        <item x="456"/>
        <item x="312"/>
        <item x="389"/>
        <item x="265"/>
        <item x="229"/>
        <item x="165"/>
        <item x="239"/>
        <item x="47"/>
        <item x="427"/>
        <item x="395"/>
        <item x="419"/>
        <item x="148"/>
        <item x="111"/>
        <item x="284"/>
        <item x="210"/>
        <item x="377"/>
        <item x="266"/>
        <item x="250"/>
        <item x="53"/>
        <item x="288"/>
        <item x="344"/>
        <item x="303"/>
        <item x="340"/>
        <item x="444"/>
        <item x="365"/>
        <item x="132"/>
        <item x="421"/>
        <item x="225"/>
        <item x="364"/>
        <item x="193"/>
        <item x="119"/>
        <item x="162"/>
        <item x="411"/>
        <item x="243"/>
        <item x="48"/>
        <item x="34"/>
        <item x="307"/>
        <item x="57"/>
        <item x="428"/>
        <item x="431"/>
        <item x="227"/>
        <item x="376"/>
        <item x="335"/>
        <item x="418"/>
        <item x="339"/>
        <item x="45"/>
        <item x="252"/>
        <item x="127"/>
        <item x="107"/>
        <item x="322"/>
        <item x="217"/>
        <item x="244"/>
        <item x="96"/>
        <item x="37"/>
        <item x="73"/>
        <item x="289"/>
        <item x="349"/>
        <item x="399"/>
        <item x="385"/>
        <item x="145"/>
        <item x="458"/>
        <item x="387"/>
        <item x="453"/>
        <item x="382"/>
        <item x="305"/>
        <item x="278"/>
        <item x="31"/>
        <item x="293"/>
        <item x="146"/>
        <item x="309"/>
        <item x="72"/>
        <item x="151"/>
        <item x="0"/>
        <item x="436"/>
        <item x="106"/>
        <item x="121"/>
        <item x="182"/>
        <item x="155"/>
        <item x="414"/>
        <item x="75"/>
        <item x="361"/>
        <item x="402"/>
        <item x="347"/>
        <item x="21"/>
        <item x="329"/>
        <item x="1"/>
        <item x="249"/>
        <item x="133"/>
        <item x="43"/>
        <item x="101"/>
        <item x="430"/>
        <item x="253"/>
        <item x="393"/>
        <item x="94"/>
        <item x="194"/>
        <item x="320"/>
        <item x="113"/>
        <item x="325"/>
        <item x="166"/>
        <item x="346"/>
        <item x="41"/>
        <item x="255"/>
        <item x="109"/>
        <item x="233"/>
        <item x="270"/>
        <item x="206"/>
        <item x="232"/>
        <item x="224"/>
        <item x="181"/>
        <item x="143"/>
        <item x="141"/>
        <item x="375"/>
        <item x="17"/>
        <item x="185"/>
        <item x="260"/>
        <item x="446"/>
        <item x="443"/>
        <item x="125"/>
        <item x="23"/>
        <item x="360"/>
        <item x="251"/>
        <item x="279"/>
        <item x="6"/>
        <item x="318"/>
        <item x="272"/>
        <item x="259"/>
        <item x="114"/>
        <item x="69"/>
        <item x="386"/>
        <item x="423"/>
        <item x="188"/>
        <item x="433"/>
        <item x="452"/>
        <item x="412"/>
        <item x="120"/>
        <item x="36"/>
        <item x="63"/>
        <item x="30"/>
        <item x="4"/>
        <item x="8"/>
        <item x="92"/>
        <item x="356"/>
        <item x="164"/>
        <item x="104"/>
        <item x="149"/>
        <item x="434"/>
        <item x="39"/>
        <item x="388"/>
        <item x="115"/>
        <item x="437"/>
        <item x="178"/>
        <item x="241"/>
        <item x="321"/>
        <item x="142"/>
        <item x="171"/>
        <item x="26"/>
        <item x="100"/>
        <item x="175"/>
        <item x="317"/>
        <item x="201"/>
        <item x="209"/>
        <item x="350"/>
        <item x="218"/>
        <item x="192"/>
        <item x="390"/>
        <item x="462"/>
        <item x="197"/>
        <item x="362"/>
        <item x="190"/>
        <item x="409"/>
        <item x="426"/>
        <item x="299"/>
        <item x="128"/>
        <item x="52"/>
        <item x="187"/>
        <item x="80"/>
        <item x="333"/>
        <item x="103"/>
        <item x="98"/>
        <item x="2"/>
        <item x="457"/>
        <item x="410"/>
        <item x="169"/>
        <item x="71"/>
        <item x="302"/>
        <item x="38"/>
        <item x="85"/>
        <item x="56"/>
        <item x="262"/>
        <item x="319"/>
        <item x="3"/>
        <item x="246"/>
        <item x="147"/>
        <item x="19"/>
        <item x="221"/>
        <item x="391"/>
        <item x="108"/>
        <item x="54"/>
        <item t="default"/>
      </items>
    </pivotField>
    <pivotField compact="0" showAll="0">
      <items count="197">
        <item x="136"/>
        <item x="34"/>
        <item x="21"/>
        <item x="27"/>
        <item x="41"/>
        <item x="140"/>
        <item x="40"/>
        <item x="138"/>
        <item x="91"/>
        <item x="81"/>
        <item x="2"/>
        <item x="166"/>
        <item x="133"/>
        <item x="190"/>
        <item x="100"/>
        <item x="116"/>
        <item x="37"/>
        <item x="128"/>
        <item x="72"/>
        <item x="159"/>
        <item x="92"/>
        <item x="119"/>
        <item x="145"/>
        <item x="30"/>
        <item x="152"/>
        <item x="97"/>
        <item x="8"/>
        <item x="153"/>
        <item x="69"/>
        <item x="19"/>
        <item x="68"/>
        <item x="10"/>
        <item x="20"/>
        <item x="35"/>
        <item x="15"/>
        <item x="126"/>
        <item x="101"/>
        <item x="50"/>
        <item x="106"/>
        <item x="7"/>
        <item x="117"/>
        <item x="39"/>
        <item x="89"/>
        <item x="142"/>
        <item x="148"/>
        <item x="158"/>
        <item x="16"/>
        <item x="157"/>
        <item x="77"/>
        <item x="53"/>
        <item x="163"/>
        <item x="22"/>
        <item x="0"/>
        <item x="118"/>
        <item x="96"/>
        <item x="74"/>
        <item x="12"/>
        <item x="33"/>
        <item x="44"/>
        <item x="111"/>
        <item x="87"/>
        <item x="94"/>
        <item x="130"/>
        <item x="23"/>
        <item x="5"/>
        <item x="3"/>
        <item x="4"/>
        <item x="115"/>
        <item x="75"/>
        <item x="79"/>
        <item x="93"/>
        <item x="90"/>
        <item x="56"/>
        <item x="18"/>
        <item x="107"/>
        <item x="149"/>
        <item x="86"/>
        <item x="32"/>
        <item x="151"/>
        <item x="67"/>
        <item x="42"/>
        <item x="49"/>
        <item x="170"/>
        <item x="84"/>
        <item x="11"/>
        <item x="24"/>
        <item x="112"/>
        <item x="104"/>
        <item x="83"/>
        <item x="64"/>
        <item x="193"/>
        <item x="132"/>
        <item x="131"/>
        <item x="17"/>
        <item x="189"/>
        <item x="105"/>
        <item x="147"/>
        <item x="61"/>
        <item x="14"/>
        <item x="135"/>
        <item x="1"/>
        <item x="122"/>
        <item x="179"/>
        <item x="176"/>
        <item x="108"/>
        <item x="98"/>
        <item x="171"/>
        <item x="54"/>
        <item x="137"/>
        <item x="120"/>
        <item x="47"/>
        <item x="177"/>
        <item x="174"/>
        <item x="114"/>
        <item x="102"/>
        <item x="180"/>
        <item x="13"/>
        <item x="51"/>
        <item x="57"/>
        <item x="26"/>
        <item x="63"/>
        <item x="113"/>
        <item x="109"/>
        <item x="165"/>
        <item x="55"/>
        <item x="164"/>
        <item x="6"/>
        <item x="184"/>
        <item x="38"/>
        <item x="36"/>
        <item x="127"/>
        <item x="25"/>
        <item x="124"/>
        <item x="88"/>
        <item x="28"/>
        <item x="31"/>
        <item x="52"/>
        <item x="82"/>
        <item x="154"/>
        <item x="99"/>
        <item x="103"/>
        <item x="43"/>
        <item x="182"/>
        <item x="187"/>
        <item x="110"/>
        <item x="141"/>
        <item x="48"/>
        <item x="183"/>
        <item x="144"/>
        <item x="85"/>
        <item x="29"/>
        <item x="191"/>
        <item x="58"/>
        <item x="129"/>
        <item x="70"/>
        <item x="181"/>
        <item x="186"/>
        <item x="156"/>
        <item x="9"/>
        <item x="73"/>
        <item x="134"/>
        <item x="172"/>
        <item x="195"/>
        <item x="123"/>
        <item x="66"/>
        <item x="167"/>
        <item x="161"/>
        <item x="178"/>
        <item x="80"/>
        <item x="169"/>
        <item x="155"/>
        <item x="71"/>
        <item x="46"/>
        <item x="65"/>
        <item x="59"/>
        <item x="185"/>
        <item x="194"/>
        <item x="45"/>
        <item x="188"/>
        <item x="121"/>
        <item x="173"/>
        <item x="160"/>
        <item x="143"/>
        <item x="139"/>
        <item x="78"/>
        <item x="76"/>
        <item x="175"/>
        <item x="162"/>
        <item x="62"/>
        <item x="125"/>
        <item x="95"/>
        <item x="150"/>
        <item x="192"/>
        <item x="60"/>
        <item x="168"/>
        <item x="146"/>
        <item t="default"/>
      </items>
    </pivotField>
    <pivotField compact="0" showAll="0">
      <items count="5">
        <item x="1"/>
        <item x="2"/>
        <item x="0"/>
        <item x="3"/>
        <item t="default"/>
      </items>
    </pivotField>
    <pivotField compact="0" showAll="0">
      <items count="457">
        <item x="35"/>
        <item x="241"/>
        <item x="416"/>
        <item x="326"/>
        <item x="189"/>
        <item x="280"/>
        <item x="358"/>
        <item x="347"/>
        <item x="9"/>
        <item x="232"/>
        <item x="47"/>
        <item x="402"/>
        <item x="173"/>
        <item x="373"/>
        <item x="208"/>
        <item x="250"/>
        <item x="408"/>
        <item x="355"/>
        <item x="88"/>
        <item x="239"/>
        <item x="290"/>
        <item x="219"/>
        <item x="379"/>
        <item x="74"/>
        <item x="26"/>
        <item x="268"/>
        <item x="8"/>
        <item x="297"/>
        <item x="162"/>
        <item x="98"/>
        <item x="449"/>
        <item x="121"/>
        <item x="92"/>
        <item x="313"/>
        <item x="365"/>
        <item x="439"/>
        <item x="441"/>
        <item x="384"/>
        <item x="282"/>
        <item x="14"/>
        <item x="349"/>
        <item x="388"/>
        <item x="15"/>
        <item x="397"/>
        <item x="324"/>
        <item x="106"/>
        <item x="4"/>
        <item x="446"/>
        <item x="76"/>
        <item x="145"/>
        <item x="102"/>
        <item x="220"/>
        <item x="199"/>
        <item x="77"/>
        <item x="249"/>
        <item x="97"/>
        <item x="16"/>
        <item x="386"/>
        <item x="359"/>
        <item x="0"/>
        <item x="133"/>
        <item x="109"/>
        <item x="299"/>
        <item x="67"/>
        <item x="353"/>
        <item x="190"/>
        <item x="94"/>
        <item x="410"/>
        <item x="103"/>
        <item x="400"/>
        <item x="137"/>
        <item x="203"/>
        <item x="330"/>
        <item x="238"/>
        <item x="68"/>
        <item x="87"/>
        <item x="352"/>
        <item x="60"/>
        <item x="56"/>
        <item x="3"/>
        <item x="58"/>
        <item x="291"/>
        <item x="105"/>
        <item x="227"/>
        <item x="228"/>
        <item x="292"/>
        <item x="276"/>
        <item x="419"/>
        <item x="392"/>
        <item x="124"/>
        <item x="167"/>
        <item x="401"/>
        <item x="64"/>
        <item x="135"/>
        <item x="122"/>
        <item x="27"/>
        <item x="229"/>
        <item x="186"/>
        <item x="293"/>
        <item x="136"/>
        <item x="318"/>
        <item x="424"/>
        <item x="70"/>
        <item x="377"/>
        <item x="295"/>
        <item x="210"/>
        <item x="19"/>
        <item x="338"/>
        <item x="323"/>
        <item x="289"/>
        <item x="129"/>
        <item x="255"/>
        <item x="455"/>
        <item x="117"/>
        <item x="66"/>
        <item x="180"/>
        <item x="197"/>
        <item x="216"/>
        <item x="183"/>
        <item x="271"/>
        <item x="381"/>
        <item x="57"/>
        <item x="287"/>
        <item x="1"/>
        <item x="37"/>
        <item x="252"/>
        <item x="130"/>
        <item x="83"/>
        <item x="22"/>
        <item x="104"/>
        <item x="90"/>
        <item x="387"/>
        <item x="311"/>
        <item x="329"/>
        <item x="193"/>
        <item x="224"/>
        <item x="53"/>
        <item x="226"/>
        <item x="212"/>
        <item x="2"/>
        <item x="374"/>
        <item x="393"/>
        <item x="378"/>
        <item x="260"/>
        <item x="86"/>
        <item x="93"/>
        <item x="325"/>
        <item x="357"/>
        <item x="6"/>
        <item x="254"/>
        <item x="364"/>
        <item x="451"/>
        <item x="140"/>
        <item x="275"/>
        <item x="452"/>
        <item x="348"/>
        <item x="79"/>
        <item x="148"/>
        <item x="156"/>
        <item x="170"/>
        <item x="17"/>
        <item x="39"/>
        <item x="28"/>
        <item x="201"/>
        <item x="115"/>
        <item x="128"/>
        <item x="10"/>
        <item x="7"/>
        <item x="375"/>
        <item x="363"/>
        <item x="182"/>
        <item x="454"/>
        <item x="41"/>
        <item x="71"/>
        <item x="72"/>
        <item x="52"/>
        <item x="242"/>
        <item x="265"/>
        <item x="344"/>
        <item x="366"/>
        <item x="369"/>
        <item x="125"/>
        <item x="218"/>
        <item x="164"/>
        <item x="372"/>
        <item x="411"/>
        <item x="78"/>
        <item x="310"/>
        <item x="266"/>
        <item x="169"/>
        <item x="214"/>
        <item x="159"/>
        <item x="270"/>
        <item x="49"/>
        <item x="178"/>
        <item x="146"/>
        <item x="286"/>
        <item x="267"/>
        <item x="108"/>
        <item x="48"/>
        <item x="202"/>
        <item x="194"/>
        <item x="390"/>
        <item x="345"/>
        <item x="304"/>
        <item x="440"/>
        <item x="319"/>
        <item x="185"/>
        <item x="385"/>
        <item x="143"/>
        <item x="11"/>
        <item x="240"/>
        <item x="339"/>
        <item x="434"/>
        <item x="320"/>
        <item x="29"/>
        <item x="394"/>
        <item x="414"/>
        <item x="44"/>
        <item x="118"/>
        <item x="301"/>
        <item x="147"/>
        <item x="257"/>
        <item x="264"/>
        <item x="435"/>
        <item x="30"/>
        <item x="100"/>
        <item x="187"/>
        <item x="134"/>
        <item x="448"/>
        <item x="361"/>
        <item x="432"/>
        <item x="127"/>
        <item x="152"/>
        <item x="120"/>
        <item x="278"/>
        <item x="85"/>
        <item x="223"/>
        <item x="336"/>
        <item x="236"/>
        <item x="114"/>
        <item x="399"/>
        <item x="342"/>
        <item x="184"/>
        <item x="404"/>
        <item x="443"/>
        <item x="262"/>
        <item x="123"/>
        <item x="315"/>
        <item x="215"/>
        <item x="43"/>
        <item x="231"/>
        <item x="150"/>
        <item x="243"/>
        <item x="258"/>
        <item x="423"/>
        <item x="272"/>
        <item x="89"/>
        <item x="453"/>
        <item x="38"/>
        <item x="298"/>
        <item x="248"/>
        <item x="34"/>
        <item x="350"/>
        <item x="283"/>
        <item x="191"/>
        <item x="245"/>
        <item x="119"/>
        <item x="222"/>
        <item x="269"/>
        <item x="176"/>
        <item x="46"/>
        <item x="179"/>
        <item x="230"/>
        <item x="151"/>
        <item x="33"/>
        <item x="396"/>
        <item x="327"/>
        <item x="24"/>
        <item x="177"/>
        <item x="75"/>
        <item x="161"/>
        <item x="376"/>
        <item x="428"/>
        <item x="367"/>
        <item x="415"/>
        <item x="73"/>
        <item x="413"/>
        <item x="113"/>
        <item x="247"/>
        <item x="314"/>
        <item x="244"/>
        <item x="96"/>
        <item x="101"/>
        <item x="63"/>
        <item x="433"/>
        <item x="308"/>
        <item x="288"/>
        <item x="158"/>
        <item x="334"/>
        <item x="422"/>
        <item x="281"/>
        <item x="430"/>
        <item x="84"/>
        <item x="174"/>
        <item x="36"/>
        <item x="40"/>
        <item x="192"/>
        <item x="59"/>
        <item x="141"/>
        <item x="209"/>
        <item x="81"/>
        <item x="277"/>
        <item x="12"/>
        <item x="444"/>
        <item x="300"/>
        <item x="213"/>
        <item x="409"/>
        <item x="256"/>
        <item x="138"/>
        <item x="217"/>
        <item x="82"/>
        <item x="427"/>
        <item x="132"/>
        <item x="69"/>
        <item x="204"/>
        <item x="403"/>
        <item x="157"/>
        <item x="407"/>
        <item x="165"/>
        <item x="171"/>
        <item x="50"/>
        <item x="205"/>
        <item x="303"/>
        <item x="111"/>
        <item x="445"/>
        <item x="154"/>
        <item x="172"/>
        <item x="207"/>
        <item x="317"/>
        <item x="126"/>
        <item x="429"/>
        <item x="322"/>
        <item x="153"/>
        <item x="337"/>
        <item x="51"/>
        <item x="307"/>
        <item x="389"/>
        <item x="181"/>
        <item x="431"/>
        <item x="144"/>
        <item x="426"/>
        <item x="425"/>
        <item x="31"/>
        <item x="13"/>
        <item x="368"/>
        <item x="395"/>
        <item x="91"/>
        <item x="195"/>
        <item x="383"/>
        <item x="139"/>
        <item x="42"/>
        <item x="160"/>
        <item x="175"/>
        <item x="80"/>
        <item x="417"/>
        <item x="370"/>
        <item x="391"/>
        <item x="163"/>
        <item x="142"/>
        <item x="332"/>
        <item x="62"/>
        <item x="25"/>
        <item x="112"/>
        <item x="438"/>
        <item x="54"/>
        <item x="99"/>
        <item x="360"/>
        <item x="285"/>
        <item x="116"/>
        <item x="23"/>
        <item x="341"/>
        <item x="110"/>
        <item x="253"/>
        <item x="335"/>
        <item x="382"/>
        <item x="437"/>
        <item x="166"/>
        <item x="61"/>
        <item x="221"/>
        <item x="312"/>
        <item x="284"/>
        <item x="296"/>
        <item x="354"/>
        <item x="351"/>
        <item x="65"/>
        <item x="237"/>
        <item x="149"/>
        <item x="418"/>
        <item x="309"/>
        <item x="333"/>
        <item x="20"/>
        <item x="331"/>
        <item x="356"/>
        <item x="55"/>
        <item x="233"/>
        <item x="273"/>
        <item x="316"/>
        <item x="259"/>
        <item x="442"/>
        <item x="436"/>
        <item x="340"/>
        <item x="398"/>
        <item x="21"/>
        <item x="95"/>
        <item x="200"/>
        <item x="343"/>
        <item x="246"/>
        <item x="305"/>
        <item x="420"/>
        <item x="196"/>
        <item x="32"/>
        <item x="406"/>
        <item x="321"/>
        <item x="346"/>
        <item x="421"/>
        <item x="450"/>
        <item x="294"/>
        <item x="107"/>
        <item x="251"/>
        <item x="306"/>
        <item x="380"/>
        <item x="371"/>
        <item x="155"/>
        <item x="211"/>
        <item x="188"/>
        <item x="362"/>
        <item x="447"/>
        <item x="198"/>
        <item x="235"/>
        <item x="261"/>
        <item x="234"/>
        <item x="45"/>
        <item x="302"/>
        <item x="412"/>
        <item x="206"/>
        <item x="279"/>
        <item x="328"/>
        <item x="5"/>
        <item x="263"/>
        <item x="18"/>
        <item x="168"/>
        <item x="225"/>
        <item x="274"/>
        <item x="131"/>
        <item x="405"/>
        <item t="default"/>
      </items>
    </pivotField>
  </pivotFields>
  <rowFields count="1">
    <field x="3"/>
  </rowFields>
  <rowItems count="9">
    <i>
      <x v="2"/>
    </i>
    <i>
      <x v="5"/>
    </i>
    <i>
      <x v="3"/>
    </i>
    <i>
      <x v="4"/>
    </i>
    <i>
      <x v="6"/>
    </i>
    <i>
      <x v="1"/>
    </i>
    <i>
      <x v="7"/>
    </i>
    <i>
      <x v="8"/>
    </i>
    <i t="grand">
      <x/>
    </i>
  </rowItems>
  <colItems count="1">
    <i/>
  </colItems>
  <dataFields count="1">
    <dataField name="Sum of Total Revenue"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0000000}" name="Table6" displayName="Table6" ref="A1:T501" totalsRowShown="0">
  <autoFilter ref="A1:T501" xr:uid="{00000000-0009-0000-0100-000006000000}"/>
  <tableColumns count="20">
    <tableColumn id="1" xr3:uid="{00000000-0010-0000-0000-000001000000}" name="Flight Id"/>
    <tableColumn id="2" xr3:uid="{00000000-0010-0000-0000-000002000000}" name="Flight Date"/>
    <tableColumn id="3" xr3:uid="{00000000-0010-0000-0000-000003000000}" name="Airline" dataDxfId="130"/>
    <tableColumn id="4" xr3:uid="{00000000-0010-0000-0000-000004000000}" name="Origin City"/>
    <tableColumn id="5" xr3:uid="{00000000-0010-0000-0000-000005000000}" name="Origin Code"/>
    <tableColumn id="6" xr3:uid="{00000000-0010-0000-0000-000006000000}" name="Destination City"/>
    <tableColumn id="7" xr3:uid="{00000000-0010-0000-0000-000007000000}" name="Routes" dataDxfId="129">
      <calculatedColumnFormula>D2&amp;" → "&amp;F2</calculatedColumnFormula>
    </tableColumn>
    <tableColumn id="8" xr3:uid="{00000000-0010-0000-0000-000008000000}" name="Destination Code"/>
    <tableColumn id="9" xr3:uid="{00000000-0010-0000-0000-000009000000}" name="Departure Time"/>
    <tableColumn id="10" xr3:uid="{00000000-0010-0000-0000-00000A000000}" name="Arrival Time"/>
    <tableColumn id="11" xr3:uid="{00000000-0010-0000-0000-00000B000000}" name="Flight Duration Min"/>
    <tableColumn id="12" xr3:uid="{00000000-0010-0000-0000-00000C000000}" name="Distance Miles"/>
    <tableColumn id="13" xr3:uid="{00000000-0010-0000-0000-00000D000000}" name="Ticket Price"/>
    <tableColumn id="14" xr3:uid="{00000000-0010-0000-0000-00000E000000}" name="Class"/>
    <tableColumn id="15" xr3:uid="{00000000-0010-0000-0000-00000F000000}" name="Seats Available"/>
    <tableColumn id="16" xr3:uid="{00000000-0010-0000-0000-000010000000}" name="Passengers Boarded"/>
    <tableColumn id="17" xr3:uid="{00000000-0010-0000-0000-000011000000}" name="Occupancy Rate." dataDxfId="128">
      <calculatedColumnFormula>P2/O2*100</calculatedColumnFormula>
    </tableColumn>
    <tableColumn id="18" xr3:uid="{00000000-0010-0000-0000-000012000000}" name="Status"/>
    <tableColumn id="21" xr3:uid="{00000000-0010-0000-0000-000015000000}" name="Year-MONTH" dataDxfId="127">
      <calculatedColumnFormula>TEXT(B2,"YYYY-MM")</calculatedColumnFormula>
    </tableColumn>
    <tableColumn id="19" xr3:uid="{00000000-0010-0000-0000-000013000000}" name="Delay Minutes"/>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1000000}" name="Table8" displayName="Table8" ref="A1:O501" totalsRowShown="0">
  <autoFilter ref="A1:O501" xr:uid="{00000000-0009-0000-0100-000008000000}"/>
  <tableColumns count="15">
    <tableColumn id="1" xr3:uid="{00000000-0010-0000-0100-000001000000}" name="Revenue Id"/>
    <tableColumn id="2" xr3:uid="{00000000-0010-0000-0100-000002000000}" name="Flight Id"/>
    <tableColumn id="3" xr3:uid="{00000000-0010-0000-0100-000003000000}" name="Airport Code"/>
    <tableColumn id="4" xr3:uid="{00000000-0010-0000-0100-000004000000}" name="Airline" dataDxfId="126">
      <calculatedColumnFormula>VLOOKUP(B2,'✈ Flights (2)'!$A$2:$P$502,3,FALSE)</calculatedColumnFormula>
    </tableColumn>
    <tableColumn id="5" xr3:uid="{00000000-0010-0000-0100-000005000000}" name="Total Revenue"/>
    <tableColumn id="6" xr3:uid="{00000000-0010-0000-0100-000006000000}" name="Revenue Per Mile" dataDxfId="125">
      <calculatedColumnFormula>E2/O2</calculatedColumnFormula>
    </tableColumn>
    <tableColumn id="7" xr3:uid="{00000000-0010-0000-0100-000007000000}" name="Ancillary Revenue"/>
    <tableColumn id="9" xr3:uid="{00000000-0010-0000-0100-000009000000}" name="Crew Cost"/>
    <tableColumn id="16" xr3:uid="{00000000-0010-0000-0100-000010000000}" name="Fuel Cost2"/>
    <tableColumn id="10" xr3:uid="{00000000-0010-0000-0100-00000A000000}" name="Profit"/>
    <tableColumn id="11" xr3:uid="{00000000-0010-0000-0100-00000B000000}" name="Payment Method"/>
    <tableColumn id="12" xr3:uid="{00000000-0010-0000-0100-00000C000000}" name="Ticket price" dataDxfId="124">
      <calculatedColumnFormula>VLOOKUP(B2,'✈ Flights (2)'!$A$2:$R$501,13,FALSE)</calculatedColumnFormula>
    </tableColumn>
    <tableColumn id="13" xr3:uid="{00000000-0010-0000-0100-00000D000000}" name="Passenger Boarded">
      <calculatedColumnFormula>VLOOKUP(B2,'✈ Flights (2)'!$A$2:$R$501,16,FALSE)</calculatedColumnFormula>
    </tableColumn>
    <tableColumn id="14" xr3:uid="{00000000-0010-0000-0100-00000E000000}" name="Class">
      <calculatedColumnFormula>VLOOKUP(B2,'✈ Flights (2)'!$A$2:$R$501,14,FALSE)</calculatedColumnFormula>
    </tableColumn>
    <tableColumn id="15" xr3:uid="{00000000-0010-0000-0100-00000F000000}" name="Distance Mile">
      <calculatedColumnFormula>VLOOKUP(B2,'✈ Flights (2)'!$A$2:$P$502,12,FALSE)</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Table1" displayName="Table1" ref="B8:C13" totalsRowShown="0">
  <tableColumns count="2">
    <tableColumn id="1" xr3:uid="{00000000-0010-0000-0200-000001000000}" name="Statistics" dataDxfId="123"/>
    <tableColumn id="2" xr3:uid="{00000000-0010-0000-0200-000002000000}" name="Ticket Price" dataDxfId="122"/>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3000000}" name="Table2" displayName="Table2" ref="F8:G11" totalsRowShown="0">
  <autoFilter ref="F8:G11" xr:uid="{00000000-0009-0000-0100-000002000000}"/>
  <tableColumns count="2">
    <tableColumn id="1" xr3:uid="{00000000-0010-0000-0300-000001000000}" name="Status"/>
    <tableColumn id="2" xr3:uid="{00000000-0010-0000-0300-000002000000}" name="Count">
      <calculatedColumnFormula>COUNTIF('✈ Flights (2)'!$R$2:$R$501,"Cancelled")</calculatedColumnFormula>
    </tableColumn>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4000000}" name="Table4" displayName="Table4" ref="I8:J16" totalsRowShown="0">
  <autoFilter ref="I8:J16" xr:uid="{00000000-0009-0000-0100-000004000000}"/>
  <tableColumns count="2">
    <tableColumn id="1" xr3:uid="{00000000-0010-0000-0400-000001000000}" name="Airline"/>
    <tableColumn id="2" xr3:uid="{00000000-0010-0000-0400-000002000000}" name="Average Delay" dataDxfId="121"/>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5000000}" name="Table5" displayName="Table5" ref="B24:D32" totalsRowShown="0">
  <tableColumns count="3">
    <tableColumn id="1" xr3:uid="{00000000-0010-0000-0500-000001000000}" name="Airline"/>
    <tableColumn id="2" xr3:uid="{00000000-0010-0000-0500-000002000000}" name="Total Profit" dataDxfId="120">
      <calculatedColumnFormula>SUMIF('💰 Revenue (2)'!$D$2:$D$502,B25,'💰 Revenue (2)'!$J$2:$J$502)</calculatedColumnFormula>
    </tableColumn>
    <tableColumn id="3" xr3:uid="{00000000-0010-0000-0500-000003000000}" name="Average Profit" dataDxfId="119">
      <calculatedColumnFormula>AVERAGEIF('💰 Revenue (2)'!$D$2:$D$502,B25,'💰 Revenue (2)'!$J$2:$J$502)</calculatedColumnFormula>
    </tableColumn>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6000000}" name="Table9" displayName="Table9" ref="B37:C40" totalsRowShown="0">
  <tableColumns count="2">
    <tableColumn id="1" xr3:uid="{00000000-0010-0000-0600-000001000000}" name="Class"/>
    <tableColumn id="2" xr3:uid="{00000000-0010-0000-0600-000002000000}" name="Average Price">
      <calculatedColumnFormula>AVERAGEIF('✈ Flights (2)'!$N$2:$N$501,"First Class",'✈ Flights (2)'!$M$2:$M$501)</calculatedColumnFormula>
    </tableColumn>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7000000}" name="Table3" displayName="Table3" ref="B45:C50" totalsRowShown="0">
  <autoFilter ref="B45:C50" xr:uid="{00000000-0009-0000-0100-000003000000}"/>
  <sortState xmlns:xlrd2="http://schemas.microsoft.com/office/spreadsheetml/2017/richdata2" ref="B45:C50">
    <sortCondition ref="C45"/>
  </sortState>
  <tableColumns count="2">
    <tableColumn id="1" xr3:uid="{00000000-0010-0000-0700-000001000000}" name="Airline"/>
    <tableColumn id="2" xr3:uid="{00000000-0010-0000-0700-000002000000}" name="Sum of Total Revenue"/>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8000000}" name="Table7" displayName="Table7" ref="B55:C62" totalsRowShown="0">
  <autoFilter ref="B55:C62" xr:uid="{00000000-0009-0000-0100-000007000000}"/>
  <tableColumns count="2">
    <tableColumn id="1" xr3:uid="{00000000-0010-0000-0800-000001000000}" name="Delay Range"/>
    <tableColumn id="2" xr3:uid="{00000000-0010-0000-0800-000002000000}" name="Count">
      <calculatedColumnFormula>COUNTIFS('✈ Flights (2)'!$T$2:$T$501,"&gt;150",'✈ Flights (2)'!$T$2:$T$501,"&lt;=180")</calculatedColumnFormula>
    </tableColumn>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10" displayName="Table10" ref="B66:C74" totalsRowShown="0">
  <autoFilter ref="B66:C74" xr:uid="{00000000-0009-0000-0100-00000A000000}"/>
  <sortState xmlns:xlrd2="http://schemas.microsoft.com/office/spreadsheetml/2017/richdata2" ref="B67:C74">
    <sortCondition descending="1" ref="C66"/>
  </sortState>
  <tableColumns count="2">
    <tableColumn id="1" xr3:uid="{00000000-0010-0000-0900-000001000000}" name="Airline"/>
    <tableColumn id="2" xr3:uid="{00000000-0010-0000-0900-000002000000}" name="Avg Occupancy Rate %">
      <calculatedColumnFormula>AVERAGEIF('✈ Flights (2)'!$C$2:$C$501,"JetBlue",'✈ Flights (2)'!$Q$2:$Q$501)</calculatedColumnFormula>
    </tableColumn>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11" displayName="Table11" ref="B79:E99" totalsRowShown="0">
  <autoFilter ref="B79:E99" xr:uid="{00000000-0009-0000-0100-00000B000000}"/>
  <sortState xmlns:xlrd2="http://schemas.microsoft.com/office/spreadsheetml/2017/richdata2" ref="B80:E99">
    <sortCondition descending="1" ref="D79"/>
  </sortState>
  <tableColumns count="4">
    <tableColumn id="1" xr3:uid="{00000000-0010-0000-0A00-000001000000}" name="Airport Code"/>
    <tableColumn id="2" xr3:uid="{00000000-0010-0000-0A00-000002000000}" name="Airport Name"/>
    <tableColumn id="3" xr3:uid="{00000000-0010-0000-0A00-000003000000}" name="Total Revenue">
      <calculatedColumnFormula>SUMIF('💰 Revenue (2)'!$C$2:$C$501,B80,'💰 Revenue (2)'!$E$2:$E$501)</calculatedColumnFormula>
    </tableColumn>
    <tableColumn id="4" xr3:uid="{00000000-0010-0000-0A00-000004000000}" name="Ancillary Revenue">
      <calculatedColumnFormula>SUMIF('💰 Revenue (2)'!$C$2:$C$501,B80,'💰 Revenue (2)'!$G$2:$G$501)</calculatedColumnFormula>
    </tableColumn>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B000000}" name="Table13" displayName="Table13" ref="G79:I87" totalsRowShown="0">
  <autoFilter ref="G79:I87" xr:uid="{00000000-0009-0000-0100-00000D000000}"/>
  <tableColumns count="3">
    <tableColumn id="1" xr3:uid="{00000000-0010-0000-0B00-000001000000}" name="Airport Name"/>
    <tableColumn id="2" xr3:uid="{00000000-0010-0000-0B00-000002000000}" name="Total Revenue"/>
    <tableColumn id="3" xr3:uid="{00000000-0010-0000-0B00-000003000000}" name="Ancillary Revenu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drawing" Target="../drawings/drawing1.xml"/><Relationship Id="rId1" Type="http://schemas.openxmlformats.org/officeDocument/2006/relationships/pivotTable" Target="../pivotTables/pivotTable2.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_rels/sheet9.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5.xml"/><Relationship Id="rId7" Type="http://schemas.openxmlformats.org/officeDocument/2006/relationships/pivotTable" Target="../pivotTables/pivotTable9.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12"/>
  <sheetViews>
    <sheetView workbookViewId="0">
      <pane ySplit="2" topLeftCell="A3" activePane="bottomLeft" state="frozen"/>
      <selection pane="bottomLeft" sqref="A1:Q1"/>
    </sheetView>
  </sheetViews>
  <sheetFormatPr defaultColWidth="9" defaultRowHeight="15"/>
  <cols>
    <col min="1" max="1" width="13" customWidth="1"/>
    <col min="2" max="2" width="15" customWidth="1"/>
    <col min="3" max="3" width="13" customWidth="1"/>
    <col min="4" max="4" width="17" customWidth="1"/>
    <col min="5" max="5" width="15" customWidth="1"/>
    <col min="6" max="7" width="20" customWidth="1"/>
    <col min="8" max="8" width="18" customWidth="1"/>
    <col min="9" max="9" width="16" customWidth="1"/>
    <col min="10" max="10" width="23" customWidth="1"/>
    <col min="11" max="11" width="18" customWidth="1"/>
    <col min="12" max="12" width="16" customWidth="1"/>
    <col min="13" max="13" width="15" customWidth="1"/>
    <col min="14" max="14" width="19" customWidth="1"/>
    <col min="15" max="15" width="22" customWidth="1"/>
    <col min="16" max="16" width="13" customWidth="1"/>
    <col min="17" max="17" width="17" customWidth="1"/>
  </cols>
  <sheetData>
    <row r="1" spans="1:17" ht="30" customHeight="1">
      <c r="A1" s="55" t="s">
        <v>0</v>
      </c>
      <c r="B1" s="56"/>
      <c r="C1" s="56"/>
      <c r="D1" s="56"/>
      <c r="E1" s="56"/>
      <c r="F1" s="56"/>
      <c r="G1" s="56"/>
      <c r="H1" s="56"/>
      <c r="I1" s="56"/>
      <c r="J1" s="56"/>
      <c r="K1" s="56"/>
      <c r="L1" s="56"/>
      <c r="M1" s="56"/>
      <c r="N1" s="56"/>
      <c r="O1" s="56"/>
      <c r="P1" s="56"/>
      <c r="Q1" s="56"/>
    </row>
    <row r="2" spans="1:17" ht="21.95" customHeight="1">
      <c r="A2" s="36" t="s">
        <v>1</v>
      </c>
      <c r="B2" s="36" t="s">
        <v>2</v>
      </c>
      <c r="C2" s="36" t="s">
        <v>3</v>
      </c>
      <c r="D2" s="36" t="s">
        <v>4</v>
      </c>
      <c r="E2" s="36" t="s">
        <v>5</v>
      </c>
      <c r="F2" s="36" t="s">
        <v>6</v>
      </c>
      <c r="G2" s="36" t="s">
        <v>7</v>
      </c>
      <c r="H2" s="36" t="s">
        <v>8</v>
      </c>
      <c r="I2" s="36" t="s">
        <v>9</v>
      </c>
      <c r="J2" s="36" t="s">
        <v>10</v>
      </c>
      <c r="K2" s="36" t="s">
        <v>11</v>
      </c>
      <c r="L2" s="36" t="s">
        <v>12</v>
      </c>
      <c r="M2" s="36" t="s">
        <v>13</v>
      </c>
      <c r="N2" s="36" t="s">
        <v>14</v>
      </c>
      <c r="O2" s="36" t="s">
        <v>15</v>
      </c>
      <c r="P2" s="36" t="s">
        <v>16</v>
      </c>
      <c r="Q2" s="36" t="s">
        <v>17</v>
      </c>
    </row>
    <row r="3" spans="1:17">
      <c r="A3" s="33" t="s">
        <v>18</v>
      </c>
      <c r="B3" s="33" t="s">
        <v>19</v>
      </c>
      <c r="C3" s="33" t="s">
        <v>20</v>
      </c>
      <c r="D3" s="33" t="s">
        <v>21</v>
      </c>
      <c r="E3" s="33" t="s">
        <v>22</v>
      </c>
      <c r="F3" s="33" t="s">
        <v>23</v>
      </c>
      <c r="G3" s="33" t="s">
        <v>24</v>
      </c>
      <c r="H3" s="33" t="s">
        <v>25</v>
      </c>
      <c r="I3" s="33" t="s">
        <v>26</v>
      </c>
      <c r="J3" s="33">
        <v>467</v>
      </c>
      <c r="K3" s="33">
        <v>719</v>
      </c>
      <c r="L3" s="33">
        <v>837.9</v>
      </c>
      <c r="M3" s="33" t="s">
        <v>27</v>
      </c>
      <c r="N3" s="33">
        <v>122</v>
      </c>
      <c r="O3" s="33">
        <v>104</v>
      </c>
      <c r="P3" s="33" t="s">
        <v>28</v>
      </c>
      <c r="Q3" s="33">
        <v>0</v>
      </c>
    </row>
    <row r="4" spans="1:17">
      <c r="A4" s="37" t="s">
        <v>29</v>
      </c>
      <c r="B4" s="37" t="s">
        <v>30</v>
      </c>
      <c r="C4" s="37" t="s">
        <v>31</v>
      </c>
      <c r="D4" s="37" t="s">
        <v>23</v>
      </c>
      <c r="E4" s="37" t="s">
        <v>24</v>
      </c>
      <c r="F4" s="37" t="s">
        <v>32</v>
      </c>
      <c r="G4" s="37" t="s">
        <v>33</v>
      </c>
      <c r="H4" s="37" t="s">
        <v>34</v>
      </c>
      <c r="I4" s="37" t="s">
        <v>35</v>
      </c>
      <c r="J4" s="37">
        <v>377</v>
      </c>
      <c r="K4" s="37">
        <v>1114</v>
      </c>
      <c r="L4" s="37">
        <v>881.94</v>
      </c>
      <c r="M4" s="37" t="s">
        <v>27</v>
      </c>
      <c r="N4" s="37">
        <v>239</v>
      </c>
      <c r="O4" s="37">
        <v>157</v>
      </c>
      <c r="P4" s="37" t="s">
        <v>28</v>
      </c>
      <c r="Q4" s="37">
        <v>0</v>
      </c>
    </row>
    <row r="5" spans="1:17">
      <c r="A5" s="33" t="s">
        <v>36</v>
      </c>
      <c r="B5" s="33" t="s">
        <v>37</v>
      </c>
      <c r="C5" s="33" t="s">
        <v>20</v>
      </c>
      <c r="D5" s="33" t="s">
        <v>38</v>
      </c>
      <c r="E5" s="33" t="s">
        <v>39</v>
      </c>
      <c r="F5" s="33" t="s">
        <v>40</v>
      </c>
      <c r="G5" s="33" t="s">
        <v>41</v>
      </c>
      <c r="H5" s="33" t="s">
        <v>42</v>
      </c>
      <c r="I5" s="33" t="s">
        <v>43</v>
      </c>
      <c r="J5" s="33">
        <v>169</v>
      </c>
      <c r="K5" s="33">
        <v>1181</v>
      </c>
      <c r="L5" s="33">
        <v>1152.08</v>
      </c>
      <c r="M5" s="33" t="s">
        <v>44</v>
      </c>
      <c r="N5" s="33">
        <v>126</v>
      </c>
      <c r="O5" s="33">
        <v>61</v>
      </c>
      <c r="P5" s="33" t="s">
        <v>28</v>
      </c>
      <c r="Q5" s="33">
        <v>0</v>
      </c>
    </row>
    <row r="6" spans="1:17">
      <c r="A6" s="37" t="s">
        <v>45</v>
      </c>
      <c r="B6" s="37" t="s">
        <v>46</v>
      </c>
      <c r="C6" s="37" t="s">
        <v>47</v>
      </c>
      <c r="D6" s="37" t="s">
        <v>48</v>
      </c>
      <c r="E6" s="37" t="s">
        <v>49</v>
      </c>
      <c r="F6" s="37" t="s">
        <v>21</v>
      </c>
      <c r="G6" s="37" t="s">
        <v>22</v>
      </c>
      <c r="H6" s="37" t="s">
        <v>50</v>
      </c>
      <c r="I6" s="37" t="s">
        <v>51</v>
      </c>
      <c r="J6" s="37">
        <v>364</v>
      </c>
      <c r="K6" s="37">
        <v>811</v>
      </c>
      <c r="L6" s="37">
        <v>1169.8900000000001</v>
      </c>
      <c r="M6" s="37" t="s">
        <v>44</v>
      </c>
      <c r="N6" s="37">
        <v>120</v>
      </c>
      <c r="O6" s="37">
        <v>120</v>
      </c>
      <c r="P6" s="37" t="s">
        <v>28</v>
      </c>
      <c r="Q6" s="37">
        <v>0</v>
      </c>
    </row>
    <row r="7" spans="1:17">
      <c r="A7" s="33" t="s">
        <v>52</v>
      </c>
      <c r="B7" s="33" t="s">
        <v>53</v>
      </c>
      <c r="C7" s="33" t="s">
        <v>31</v>
      </c>
      <c r="D7" s="33" t="s">
        <v>54</v>
      </c>
      <c r="E7" s="33" t="s">
        <v>55</v>
      </c>
      <c r="F7" s="33" t="s">
        <v>56</v>
      </c>
      <c r="G7" s="33" t="s">
        <v>57</v>
      </c>
      <c r="H7" s="33" t="s">
        <v>58</v>
      </c>
      <c r="I7" s="33" t="s">
        <v>59</v>
      </c>
      <c r="J7" s="33">
        <v>238</v>
      </c>
      <c r="K7" s="33">
        <v>626</v>
      </c>
      <c r="L7" s="33">
        <v>1037.96</v>
      </c>
      <c r="M7" s="33" t="s">
        <v>60</v>
      </c>
      <c r="N7" s="33">
        <v>197</v>
      </c>
      <c r="O7" s="33">
        <v>121</v>
      </c>
      <c r="P7" s="33" t="s">
        <v>28</v>
      </c>
      <c r="Q7" s="33">
        <v>0</v>
      </c>
    </row>
    <row r="8" spans="1:17">
      <c r="A8" s="37" t="s">
        <v>61</v>
      </c>
      <c r="B8" s="37" t="s">
        <v>62</v>
      </c>
      <c r="C8" s="37" t="s">
        <v>63</v>
      </c>
      <c r="D8" s="37" t="s">
        <v>64</v>
      </c>
      <c r="E8" s="37" t="s">
        <v>65</v>
      </c>
      <c r="F8" s="37" t="s">
        <v>66</v>
      </c>
      <c r="G8" s="37" t="s">
        <v>67</v>
      </c>
      <c r="H8" s="37" t="s">
        <v>68</v>
      </c>
      <c r="I8" s="37" t="s">
        <v>69</v>
      </c>
      <c r="J8" s="37">
        <v>449</v>
      </c>
      <c r="K8" s="37">
        <v>2954</v>
      </c>
      <c r="L8" s="37">
        <v>159.97</v>
      </c>
      <c r="M8" s="37" t="s">
        <v>27</v>
      </c>
      <c r="N8" s="37">
        <v>143</v>
      </c>
      <c r="O8" s="37">
        <v>118</v>
      </c>
      <c r="P8" s="37" t="s">
        <v>70</v>
      </c>
      <c r="Q8" s="37">
        <v>56</v>
      </c>
    </row>
    <row r="9" spans="1:17">
      <c r="A9" s="33" t="s">
        <v>71</v>
      </c>
      <c r="B9" s="33" t="s">
        <v>72</v>
      </c>
      <c r="C9" s="33" t="s">
        <v>73</v>
      </c>
      <c r="D9" s="33" t="s">
        <v>21</v>
      </c>
      <c r="E9" s="33" t="s">
        <v>22</v>
      </c>
      <c r="F9" s="33" t="s">
        <v>54</v>
      </c>
      <c r="G9" s="33" t="s">
        <v>74</v>
      </c>
      <c r="H9" s="33" t="s">
        <v>75</v>
      </c>
      <c r="I9" s="33" t="s">
        <v>76</v>
      </c>
      <c r="J9" s="33">
        <v>118</v>
      </c>
      <c r="K9" s="33">
        <v>1238</v>
      </c>
      <c r="L9" s="33">
        <v>1000.42</v>
      </c>
      <c r="M9" s="33" t="s">
        <v>44</v>
      </c>
      <c r="N9" s="33">
        <v>202</v>
      </c>
      <c r="O9" s="33">
        <v>118</v>
      </c>
      <c r="P9" s="33" t="s">
        <v>28</v>
      </c>
      <c r="Q9" s="33">
        <v>0</v>
      </c>
    </row>
    <row r="10" spans="1:17">
      <c r="A10" s="37" t="s">
        <v>77</v>
      </c>
      <c r="B10" s="37" t="s">
        <v>78</v>
      </c>
      <c r="C10" s="37" t="s">
        <v>31</v>
      </c>
      <c r="D10" s="37" t="s">
        <v>79</v>
      </c>
      <c r="E10" s="37" t="s">
        <v>80</v>
      </c>
      <c r="F10" s="37" t="s">
        <v>66</v>
      </c>
      <c r="G10" s="37" t="s">
        <v>67</v>
      </c>
      <c r="H10" s="37" t="s">
        <v>81</v>
      </c>
      <c r="I10" s="37" t="s">
        <v>82</v>
      </c>
      <c r="J10" s="37">
        <v>163</v>
      </c>
      <c r="K10" s="37">
        <v>1384</v>
      </c>
      <c r="L10" s="37">
        <v>236.39</v>
      </c>
      <c r="M10" s="37" t="s">
        <v>27</v>
      </c>
      <c r="N10" s="37">
        <v>243</v>
      </c>
      <c r="O10" s="37">
        <v>187</v>
      </c>
      <c r="P10" s="37" t="s">
        <v>28</v>
      </c>
      <c r="Q10" s="37">
        <v>0</v>
      </c>
    </row>
    <row r="11" spans="1:17">
      <c r="A11" s="33" t="s">
        <v>83</v>
      </c>
      <c r="B11" s="33" t="s">
        <v>84</v>
      </c>
      <c r="C11" s="33" t="s">
        <v>85</v>
      </c>
      <c r="D11" s="33" t="s">
        <v>64</v>
      </c>
      <c r="E11" s="33" t="s">
        <v>65</v>
      </c>
      <c r="F11" s="33" t="s">
        <v>23</v>
      </c>
      <c r="G11" s="33" t="s">
        <v>24</v>
      </c>
      <c r="H11" s="33" t="s">
        <v>86</v>
      </c>
      <c r="I11" s="33" t="s">
        <v>87</v>
      </c>
      <c r="J11" s="33">
        <v>136</v>
      </c>
      <c r="K11" s="33">
        <v>492</v>
      </c>
      <c r="L11" s="33">
        <v>1044.44</v>
      </c>
      <c r="M11" s="33" t="s">
        <v>60</v>
      </c>
      <c r="N11" s="33">
        <v>260</v>
      </c>
      <c r="O11" s="33">
        <v>90</v>
      </c>
      <c r="P11" s="33" t="s">
        <v>70</v>
      </c>
      <c r="Q11" s="33">
        <v>123</v>
      </c>
    </row>
    <row r="12" spans="1:17">
      <c r="A12" s="37" t="s">
        <v>88</v>
      </c>
      <c r="B12" s="37" t="s">
        <v>89</v>
      </c>
      <c r="C12" s="37" t="s">
        <v>73</v>
      </c>
      <c r="D12" s="37" t="s">
        <v>66</v>
      </c>
      <c r="E12" s="37" t="s">
        <v>67</v>
      </c>
      <c r="F12" s="37" t="s">
        <v>79</v>
      </c>
      <c r="G12" s="37" t="s">
        <v>80</v>
      </c>
      <c r="H12" s="37" t="s">
        <v>90</v>
      </c>
      <c r="I12" s="37" t="s">
        <v>91</v>
      </c>
      <c r="J12" s="37">
        <v>373</v>
      </c>
      <c r="K12" s="37">
        <v>347</v>
      </c>
      <c r="L12" s="37"/>
      <c r="M12" s="37" t="s">
        <v>60</v>
      </c>
      <c r="N12" s="37">
        <v>274</v>
      </c>
      <c r="O12" s="37">
        <v>187</v>
      </c>
      <c r="P12" s="37" t="s">
        <v>70</v>
      </c>
      <c r="Q12" s="37">
        <v>179</v>
      </c>
    </row>
    <row r="13" spans="1:17">
      <c r="A13" s="33" t="s">
        <v>92</v>
      </c>
      <c r="B13" s="33" t="s">
        <v>93</v>
      </c>
      <c r="C13" s="33" t="s">
        <v>94</v>
      </c>
      <c r="D13" s="33" t="s">
        <v>95</v>
      </c>
      <c r="E13" s="33" t="s">
        <v>96</v>
      </c>
      <c r="F13" s="33" t="s">
        <v>40</v>
      </c>
      <c r="G13" s="33" t="s">
        <v>41</v>
      </c>
      <c r="H13" s="33" t="s">
        <v>97</v>
      </c>
      <c r="I13" s="33" t="s">
        <v>98</v>
      </c>
      <c r="J13" s="33">
        <v>91</v>
      </c>
      <c r="K13" s="33">
        <v>1378</v>
      </c>
      <c r="L13" s="33">
        <v>1168.51</v>
      </c>
      <c r="M13" s="33" t="s">
        <v>60</v>
      </c>
      <c r="N13" s="33">
        <v>229</v>
      </c>
      <c r="O13" s="33">
        <v>77</v>
      </c>
      <c r="P13" s="33" t="s">
        <v>70</v>
      </c>
      <c r="Q13" s="33">
        <v>91</v>
      </c>
    </row>
    <row r="14" spans="1:17">
      <c r="A14" s="37" t="s">
        <v>99</v>
      </c>
      <c r="B14" s="37" t="s">
        <v>100</v>
      </c>
      <c r="C14" s="37" t="s">
        <v>31</v>
      </c>
      <c r="D14" s="37" t="s">
        <v>101</v>
      </c>
      <c r="E14" s="37" t="s">
        <v>102</v>
      </c>
      <c r="F14" s="37" t="s">
        <v>66</v>
      </c>
      <c r="G14" s="37" t="s">
        <v>67</v>
      </c>
      <c r="H14" s="37" t="s">
        <v>103</v>
      </c>
      <c r="I14" s="37" t="s">
        <v>104</v>
      </c>
      <c r="J14" s="37">
        <v>396</v>
      </c>
      <c r="K14" s="37">
        <v>1627</v>
      </c>
      <c r="L14" s="37">
        <v>627.24</v>
      </c>
      <c r="M14" s="37" t="s">
        <v>60</v>
      </c>
      <c r="N14" s="37">
        <v>337</v>
      </c>
      <c r="O14" s="37">
        <v>235</v>
      </c>
      <c r="P14" s="37" t="s">
        <v>70</v>
      </c>
      <c r="Q14" s="37">
        <v>93</v>
      </c>
    </row>
    <row r="15" spans="1:17">
      <c r="A15" s="33" t="s">
        <v>105</v>
      </c>
      <c r="B15" s="33" t="s">
        <v>106</v>
      </c>
      <c r="C15" s="33" t="s">
        <v>20</v>
      </c>
      <c r="D15" s="33" t="s">
        <v>23</v>
      </c>
      <c r="E15" s="33" t="s">
        <v>24</v>
      </c>
      <c r="F15" s="33" t="s">
        <v>48</v>
      </c>
      <c r="G15" s="33" t="s">
        <v>49</v>
      </c>
      <c r="H15" s="33" t="s">
        <v>107</v>
      </c>
      <c r="I15" s="33" t="s">
        <v>108</v>
      </c>
      <c r="J15" s="33">
        <v>464</v>
      </c>
      <c r="K15" s="33">
        <v>2290</v>
      </c>
      <c r="L15" s="33">
        <v>993.95</v>
      </c>
      <c r="M15" s="33" t="s">
        <v>27</v>
      </c>
      <c r="N15" s="33">
        <v>296</v>
      </c>
      <c r="O15" s="33">
        <v>82</v>
      </c>
      <c r="P15" s="33" t="s">
        <v>28</v>
      </c>
      <c r="Q15" s="33">
        <v>0</v>
      </c>
    </row>
    <row r="16" spans="1:17">
      <c r="A16" s="37" t="s">
        <v>109</v>
      </c>
      <c r="B16" s="37" t="s">
        <v>110</v>
      </c>
      <c r="C16" s="37" t="s">
        <v>63</v>
      </c>
      <c r="D16" s="37" t="s">
        <v>21</v>
      </c>
      <c r="E16" s="37" t="s">
        <v>22</v>
      </c>
      <c r="F16" s="37" t="s">
        <v>32</v>
      </c>
      <c r="G16" s="37" t="s">
        <v>33</v>
      </c>
      <c r="H16" s="37" t="s">
        <v>111</v>
      </c>
      <c r="I16" s="37" t="s">
        <v>112</v>
      </c>
      <c r="J16" s="37">
        <v>198</v>
      </c>
      <c r="K16" s="37">
        <v>2508</v>
      </c>
      <c r="L16" s="37">
        <v>925.9</v>
      </c>
      <c r="M16" s="37" t="s">
        <v>27</v>
      </c>
      <c r="N16" s="37">
        <v>151</v>
      </c>
      <c r="O16" s="37">
        <v>141</v>
      </c>
      <c r="P16" s="37" t="s">
        <v>28</v>
      </c>
      <c r="Q16" s="37">
        <v>0</v>
      </c>
    </row>
    <row r="17" spans="1:17">
      <c r="A17" s="33" t="s">
        <v>113</v>
      </c>
      <c r="B17" s="33" t="s">
        <v>114</v>
      </c>
      <c r="C17" s="33" t="s">
        <v>115</v>
      </c>
      <c r="D17" s="33" t="s">
        <v>116</v>
      </c>
      <c r="E17" s="33" t="s">
        <v>117</v>
      </c>
      <c r="F17" s="33" t="s">
        <v>40</v>
      </c>
      <c r="G17" s="33" t="s">
        <v>41</v>
      </c>
      <c r="H17" s="33" t="s">
        <v>118</v>
      </c>
      <c r="I17" s="33" t="s">
        <v>119</v>
      </c>
      <c r="J17" s="33">
        <v>205</v>
      </c>
      <c r="K17" s="33">
        <v>562</v>
      </c>
      <c r="L17" s="33">
        <v>458.66</v>
      </c>
      <c r="M17" s="33" t="s">
        <v>27</v>
      </c>
      <c r="N17" s="33">
        <v>241</v>
      </c>
      <c r="O17" s="33">
        <v>108</v>
      </c>
      <c r="P17" s="33" t="s">
        <v>28</v>
      </c>
      <c r="Q17" s="33">
        <v>0</v>
      </c>
    </row>
    <row r="18" spans="1:17">
      <c r="A18" s="37" t="s">
        <v>120</v>
      </c>
      <c r="B18" s="37" t="s">
        <v>121</v>
      </c>
      <c r="C18" s="37" t="s">
        <v>94</v>
      </c>
      <c r="D18" s="37" t="s">
        <v>56</v>
      </c>
      <c r="E18" s="37" t="s">
        <v>57</v>
      </c>
      <c r="F18" s="37" t="s">
        <v>21</v>
      </c>
      <c r="G18" s="37" t="s">
        <v>22</v>
      </c>
      <c r="H18" s="37" t="s">
        <v>107</v>
      </c>
      <c r="I18" s="37" t="s">
        <v>122</v>
      </c>
      <c r="J18" s="37">
        <v>259</v>
      </c>
      <c r="K18" s="37">
        <v>590</v>
      </c>
      <c r="L18" s="37">
        <v>655.85</v>
      </c>
      <c r="M18" s="37" t="s">
        <v>44</v>
      </c>
      <c r="N18" s="37">
        <v>271</v>
      </c>
      <c r="O18" s="37">
        <v>174</v>
      </c>
      <c r="P18" s="37" t="s">
        <v>28</v>
      </c>
      <c r="Q18" s="37">
        <v>0</v>
      </c>
    </row>
    <row r="19" spans="1:17">
      <c r="A19" s="33" t="s">
        <v>123</v>
      </c>
      <c r="B19" s="33" t="s">
        <v>124</v>
      </c>
      <c r="C19" s="33" t="s">
        <v>115</v>
      </c>
      <c r="D19" s="33" t="s">
        <v>23</v>
      </c>
      <c r="E19" s="33" t="s">
        <v>24</v>
      </c>
      <c r="F19" s="33" t="s">
        <v>116</v>
      </c>
      <c r="G19" s="33" t="s">
        <v>117</v>
      </c>
      <c r="H19" s="33" t="s">
        <v>125</v>
      </c>
      <c r="I19" s="33" t="s">
        <v>126</v>
      </c>
      <c r="J19" s="33">
        <v>138</v>
      </c>
      <c r="K19" s="33">
        <v>697</v>
      </c>
      <c r="L19" s="33">
        <v>818.06</v>
      </c>
      <c r="M19" s="33" t="s">
        <v>44</v>
      </c>
      <c r="N19" s="33">
        <v>208</v>
      </c>
      <c r="O19" s="33">
        <v>155</v>
      </c>
      <c r="P19" s="33" t="s">
        <v>28</v>
      </c>
      <c r="Q19" s="33">
        <v>0</v>
      </c>
    </row>
    <row r="20" spans="1:17">
      <c r="A20" s="37" t="s">
        <v>127</v>
      </c>
      <c r="B20" s="37" t="s">
        <v>128</v>
      </c>
      <c r="C20" s="37" t="s">
        <v>94</v>
      </c>
      <c r="D20" s="37" t="s">
        <v>56</v>
      </c>
      <c r="E20" s="37" t="s">
        <v>57</v>
      </c>
      <c r="F20" s="37" t="s">
        <v>129</v>
      </c>
      <c r="G20" s="37" t="s">
        <v>130</v>
      </c>
      <c r="H20" s="37" t="s">
        <v>131</v>
      </c>
      <c r="I20" s="37" t="s">
        <v>132</v>
      </c>
      <c r="J20" s="37">
        <v>145</v>
      </c>
      <c r="K20" s="37">
        <v>1318</v>
      </c>
      <c r="L20" s="37">
        <v>294.58</v>
      </c>
      <c r="M20" s="37" t="s">
        <v>27</v>
      </c>
      <c r="N20" s="37">
        <v>214</v>
      </c>
      <c r="O20" s="37">
        <v>85</v>
      </c>
      <c r="P20" s="37" t="s">
        <v>28</v>
      </c>
      <c r="Q20" s="37">
        <v>0</v>
      </c>
    </row>
    <row r="21" spans="1:17">
      <c r="A21" s="33" t="s">
        <v>133</v>
      </c>
      <c r="B21" s="33" t="s">
        <v>134</v>
      </c>
      <c r="C21" s="33" t="s">
        <v>115</v>
      </c>
      <c r="D21" s="33" t="s">
        <v>23</v>
      </c>
      <c r="E21" s="33" t="s">
        <v>24</v>
      </c>
      <c r="F21" s="33" t="s">
        <v>54</v>
      </c>
      <c r="G21" s="33" t="s">
        <v>55</v>
      </c>
      <c r="H21" s="33" t="s">
        <v>135</v>
      </c>
      <c r="I21" s="33" t="s">
        <v>136</v>
      </c>
      <c r="J21" s="33">
        <v>115</v>
      </c>
      <c r="K21" s="33">
        <v>2971</v>
      </c>
      <c r="L21" s="33">
        <v>1199.2</v>
      </c>
      <c r="M21" s="33" t="s">
        <v>60</v>
      </c>
      <c r="N21" s="33">
        <v>348</v>
      </c>
      <c r="O21" s="33">
        <v>97</v>
      </c>
      <c r="P21" s="33" t="s">
        <v>70</v>
      </c>
      <c r="Q21" s="33">
        <v>75</v>
      </c>
    </row>
    <row r="22" spans="1:17">
      <c r="A22" s="37" t="s">
        <v>137</v>
      </c>
      <c r="B22" s="37" t="s">
        <v>138</v>
      </c>
      <c r="C22" s="37" t="s">
        <v>73</v>
      </c>
      <c r="D22" s="37" t="s">
        <v>79</v>
      </c>
      <c r="E22" s="37" t="s">
        <v>80</v>
      </c>
      <c r="F22" s="37" t="s">
        <v>116</v>
      </c>
      <c r="G22" s="37" t="s">
        <v>117</v>
      </c>
      <c r="H22" s="37" t="s">
        <v>139</v>
      </c>
      <c r="I22" s="37" t="s">
        <v>140</v>
      </c>
      <c r="J22" s="37">
        <v>120</v>
      </c>
      <c r="K22" s="37">
        <v>974</v>
      </c>
      <c r="L22" s="37">
        <v>504.45</v>
      </c>
      <c r="M22" s="37" t="s">
        <v>44</v>
      </c>
      <c r="N22" s="37">
        <v>167</v>
      </c>
      <c r="O22" s="37">
        <v>150</v>
      </c>
      <c r="P22" s="37" t="s">
        <v>70</v>
      </c>
      <c r="Q22" s="37">
        <v>88</v>
      </c>
    </row>
    <row r="23" spans="1:17">
      <c r="A23" s="33" t="s">
        <v>141</v>
      </c>
      <c r="B23" s="33" t="s">
        <v>142</v>
      </c>
      <c r="C23" s="33" t="s">
        <v>115</v>
      </c>
      <c r="D23" s="33" t="s">
        <v>101</v>
      </c>
      <c r="E23" s="33" t="s">
        <v>102</v>
      </c>
      <c r="F23" s="33" t="s">
        <v>23</v>
      </c>
      <c r="G23" s="33" t="s">
        <v>24</v>
      </c>
      <c r="H23" s="33" t="s">
        <v>143</v>
      </c>
      <c r="I23" s="33" t="s">
        <v>144</v>
      </c>
      <c r="J23" s="33">
        <v>119</v>
      </c>
      <c r="K23" s="33">
        <v>2672</v>
      </c>
      <c r="L23" s="33">
        <v>904.03</v>
      </c>
      <c r="M23" s="33" t="s">
        <v>60</v>
      </c>
      <c r="N23" s="33">
        <v>291</v>
      </c>
      <c r="O23" s="33">
        <v>130</v>
      </c>
      <c r="P23" s="33" t="s">
        <v>28</v>
      </c>
      <c r="Q23" s="33">
        <v>0</v>
      </c>
    </row>
    <row r="24" spans="1:17">
      <c r="A24" s="37" t="s">
        <v>145</v>
      </c>
      <c r="B24" s="37" t="s">
        <v>146</v>
      </c>
      <c r="C24" s="37" t="s">
        <v>63</v>
      </c>
      <c r="D24" s="37" t="s">
        <v>56</v>
      </c>
      <c r="E24" s="37" t="s">
        <v>57</v>
      </c>
      <c r="F24" s="37" t="s">
        <v>32</v>
      </c>
      <c r="G24" s="37" t="s">
        <v>33</v>
      </c>
      <c r="H24" s="37" t="s">
        <v>147</v>
      </c>
      <c r="I24" s="37" t="s">
        <v>148</v>
      </c>
      <c r="J24" s="37">
        <v>125</v>
      </c>
      <c r="K24" s="37">
        <v>2737</v>
      </c>
      <c r="L24" s="37">
        <v>156.12</v>
      </c>
      <c r="M24" s="37" t="s">
        <v>60</v>
      </c>
      <c r="N24" s="37">
        <v>203</v>
      </c>
      <c r="O24" s="37">
        <v>80</v>
      </c>
      <c r="P24" s="37" t="s">
        <v>149</v>
      </c>
      <c r="Q24" s="37">
        <v>0</v>
      </c>
    </row>
    <row r="25" spans="1:17">
      <c r="A25" s="33" t="s">
        <v>150</v>
      </c>
      <c r="B25" s="33" t="s">
        <v>151</v>
      </c>
      <c r="C25" s="33" t="s">
        <v>20</v>
      </c>
      <c r="D25" s="33" t="s">
        <v>48</v>
      </c>
      <c r="E25" s="33" t="s">
        <v>49</v>
      </c>
      <c r="F25" s="33" t="s">
        <v>54</v>
      </c>
      <c r="G25" s="33" t="s">
        <v>55</v>
      </c>
      <c r="H25" s="33" t="s">
        <v>152</v>
      </c>
      <c r="I25" s="33" t="s">
        <v>153</v>
      </c>
      <c r="J25" s="33">
        <v>223</v>
      </c>
      <c r="K25" s="33">
        <v>1136</v>
      </c>
      <c r="L25" s="33">
        <v>830.09</v>
      </c>
      <c r="M25" s="33" t="s">
        <v>44</v>
      </c>
      <c r="N25" s="33">
        <v>161</v>
      </c>
      <c r="O25" s="33">
        <v>83</v>
      </c>
      <c r="P25" s="33" t="s">
        <v>28</v>
      </c>
      <c r="Q25" s="33">
        <v>0</v>
      </c>
    </row>
    <row r="26" spans="1:17">
      <c r="A26" s="37" t="s">
        <v>154</v>
      </c>
      <c r="B26" s="37" t="s">
        <v>155</v>
      </c>
      <c r="C26" s="37" t="s">
        <v>115</v>
      </c>
      <c r="D26" s="37" t="s">
        <v>156</v>
      </c>
      <c r="E26" s="37" t="s">
        <v>157</v>
      </c>
      <c r="F26" s="37" t="s">
        <v>54</v>
      </c>
      <c r="G26" s="37" t="s">
        <v>55</v>
      </c>
      <c r="H26" s="37" t="s">
        <v>158</v>
      </c>
      <c r="I26" s="37" t="s">
        <v>159</v>
      </c>
      <c r="J26" s="37">
        <v>408</v>
      </c>
      <c r="K26" s="37">
        <v>2606</v>
      </c>
      <c r="L26" s="37">
        <v>1195.6300000000001</v>
      </c>
      <c r="M26" s="37" t="s">
        <v>60</v>
      </c>
      <c r="N26" s="37">
        <v>237</v>
      </c>
      <c r="O26" s="37">
        <v>104</v>
      </c>
      <c r="P26" s="37" t="s">
        <v>28</v>
      </c>
      <c r="Q26" s="37">
        <v>0</v>
      </c>
    </row>
    <row r="27" spans="1:17">
      <c r="A27" s="33" t="s">
        <v>160</v>
      </c>
      <c r="B27" s="33" t="s">
        <v>161</v>
      </c>
      <c r="C27" s="33" t="s">
        <v>47</v>
      </c>
      <c r="D27" s="33" t="s">
        <v>54</v>
      </c>
      <c r="E27" s="33" t="s">
        <v>55</v>
      </c>
      <c r="F27" s="33" t="s">
        <v>21</v>
      </c>
      <c r="G27" s="33" t="s">
        <v>22</v>
      </c>
      <c r="H27" s="33" t="s">
        <v>162</v>
      </c>
      <c r="I27" s="33" t="s">
        <v>163</v>
      </c>
      <c r="J27" s="33">
        <v>170</v>
      </c>
      <c r="K27" s="33">
        <v>2094</v>
      </c>
      <c r="L27" s="33">
        <v>1013.79</v>
      </c>
      <c r="M27" s="33" t="s">
        <v>27</v>
      </c>
      <c r="N27" s="33">
        <v>177</v>
      </c>
      <c r="O27" s="33">
        <v>52</v>
      </c>
      <c r="P27" s="33" t="s">
        <v>70</v>
      </c>
      <c r="Q27" s="33">
        <v>156</v>
      </c>
    </row>
    <row r="28" spans="1:17">
      <c r="A28" s="37" t="s">
        <v>164</v>
      </c>
      <c r="B28" s="37" t="s">
        <v>165</v>
      </c>
      <c r="C28" s="37" t="s">
        <v>94</v>
      </c>
      <c r="D28" s="37" t="s">
        <v>101</v>
      </c>
      <c r="E28" s="37" t="s">
        <v>102</v>
      </c>
      <c r="F28" s="37" t="s">
        <v>95</v>
      </c>
      <c r="G28" s="37" t="s">
        <v>96</v>
      </c>
      <c r="H28" s="37" t="s">
        <v>166</v>
      </c>
      <c r="I28" s="37" t="s">
        <v>167</v>
      </c>
      <c r="J28" s="37">
        <v>470</v>
      </c>
      <c r="K28" s="37">
        <v>2566</v>
      </c>
      <c r="L28" s="37">
        <v>254.1</v>
      </c>
      <c r="M28" s="37" t="s">
        <v>44</v>
      </c>
      <c r="N28" s="37">
        <v>254</v>
      </c>
      <c r="O28" s="37">
        <v>103</v>
      </c>
      <c r="P28" s="37" t="s">
        <v>70</v>
      </c>
      <c r="Q28" s="37">
        <v>67</v>
      </c>
    </row>
    <row r="29" spans="1:17">
      <c r="A29" s="33" t="s">
        <v>168</v>
      </c>
      <c r="B29" s="33" t="s">
        <v>169</v>
      </c>
      <c r="C29" s="33" t="s">
        <v>115</v>
      </c>
      <c r="D29" s="33" t="s">
        <v>21</v>
      </c>
      <c r="E29" s="33" t="s">
        <v>22</v>
      </c>
      <c r="F29" s="33" t="s">
        <v>56</v>
      </c>
      <c r="G29" s="33" t="s">
        <v>57</v>
      </c>
      <c r="H29" s="33" t="s">
        <v>170</v>
      </c>
      <c r="I29" s="33" t="s">
        <v>171</v>
      </c>
      <c r="J29" s="33">
        <v>231</v>
      </c>
      <c r="K29" s="33">
        <v>480</v>
      </c>
      <c r="L29" s="33">
        <v>83.97</v>
      </c>
      <c r="M29" s="33" t="s">
        <v>60</v>
      </c>
      <c r="N29" s="33">
        <v>263</v>
      </c>
      <c r="O29" s="33">
        <v>117</v>
      </c>
      <c r="P29" s="33" t="s">
        <v>28</v>
      </c>
      <c r="Q29" s="33">
        <v>0</v>
      </c>
    </row>
    <row r="30" spans="1:17">
      <c r="A30" s="37" t="s">
        <v>172</v>
      </c>
      <c r="B30" s="37" t="s">
        <v>173</v>
      </c>
      <c r="C30" s="37" t="s">
        <v>73</v>
      </c>
      <c r="D30" s="37" t="s">
        <v>32</v>
      </c>
      <c r="E30" s="37" t="s">
        <v>33</v>
      </c>
      <c r="F30" s="37" t="s">
        <v>174</v>
      </c>
      <c r="G30" s="37" t="s">
        <v>175</v>
      </c>
      <c r="H30" s="37" t="s">
        <v>166</v>
      </c>
      <c r="I30" s="37" t="s">
        <v>176</v>
      </c>
      <c r="J30" s="37">
        <v>443</v>
      </c>
      <c r="K30" s="37">
        <v>910</v>
      </c>
      <c r="L30" s="37">
        <v>691.06</v>
      </c>
      <c r="M30" s="37" t="s">
        <v>44</v>
      </c>
      <c r="N30" s="37">
        <v>249</v>
      </c>
      <c r="O30" s="37"/>
      <c r="P30" s="37" t="s">
        <v>28</v>
      </c>
      <c r="Q30" s="37">
        <v>0</v>
      </c>
    </row>
    <row r="31" spans="1:17">
      <c r="A31" s="33" t="s">
        <v>177</v>
      </c>
      <c r="B31" s="33" t="s">
        <v>178</v>
      </c>
      <c r="C31" s="33" t="s">
        <v>20</v>
      </c>
      <c r="D31" s="33" t="s">
        <v>95</v>
      </c>
      <c r="E31" s="33" t="s">
        <v>96</v>
      </c>
      <c r="F31" s="33" t="s">
        <v>66</v>
      </c>
      <c r="G31" s="33" t="s">
        <v>67</v>
      </c>
      <c r="H31" s="33" t="s">
        <v>179</v>
      </c>
      <c r="I31" s="33" t="s">
        <v>180</v>
      </c>
      <c r="J31" s="33">
        <v>197</v>
      </c>
      <c r="K31" s="33">
        <v>1322</v>
      </c>
      <c r="L31" s="33">
        <v>826.97</v>
      </c>
      <c r="M31" s="33" t="s">
        <v>44</v>
      </c>
      <c r="N31" s="33">
        <v>299</v>
      </c>
      <c r="O31" s="33">
        <v>193</v>
      </c>
      <c r="P31" s="33" t="s">
        <v>70</v>
      </c>
      <c r="Q31" s="33">
        <v>119</v>
      </c>
    </row>
    <row r="32" spans="1:17">
      <c r="A32" s="37" t="s">
        <v>181</v>
      </c>
      <c r="B32" s="37" t="s">
        <v>182</v>
      </c>
      <c r="C32" s="37" t="s">
        <v>31</v>
      </c>
      <c r="D32" s="37" t="s">
        <v>38</v>
      </c>
      <c r="E32" s="37" t="s">
        <v>39</v>
      </c>
      <c r="F32" s="37" t="s">
        <v>183</v>
      </c>
      <c r="G32" s="37" t="s">
        <v>184</v>
      </c>
      <c r="H32" s="37" t="s">
        <v>185</v>
      </c>
      <c r="I32" s="37" t="s">
        <v>186</v>
      </c>
      <c r="J32" s="37">
        <v>181</v>
      </c>
      <c r="K32" s="37">
        <v>1660</v>
      </c>
      <c r="L32" s="37">
        <v>956.27</v>
      </c>
      <c r="M32" s="37" t="s">
        <v>44</v>
      </c>
      <c r="N32" s="37">
        <v>305</v>
      </c>
      <c r="O32" s="37">
        <v>177</v>
      </c>
      <c r="P32" s="37" t="s">
        <v>28</v>
      </c>
      <c r="Q32" s="37">
        <v>0</v>
      </c>
    </row>
    <row r="33" spans="1:17">
      <c r="A33" s="33" t="s">
        <v>187</v>
      </c>
      <c r="B33" s="33" t="s">
        <v>188</v>
      </c>
      <c r="C33" s="33" t="s">
        <v>73</v>
      </c>
      <c r="D33" s="33" t="s">
        <v>56</v>
      </c>
      <c r="E33" s="33" t="s">
        <v>57</v>
      </c>
      <c r="F33" s="33" t="s">
        <v>116</v>
      </c>
      <c r="G33" s="33" t="s">
        <v>117</v>
      </c>
      <c r="H33" s="33" t="s">
        <v>25</v>
      </c>
      <c r="I33" s="33" t="s">
        <v>189</v>
      </c>
      <c r="J33" s="33">
        <v>325</v>
      </c>
      <c r="K33" s="33">
        <v>1732</v>
      </c>
      <c r="L33" s="33"/>
      <c r="M33" s="33" t="s">
        <v>60</v>
      </c>
      <c r="N33" s="33">
        <v>157</v>
      </c>
      <c r="O33" s="33">
        <v>53</v>
      </c>
      <c r="P33" s="33" t="s">
        <v>70</v>
      </c>
      <c r="Q33" s="33">
        <v>117</v>
      </c>
    </row>
    <row r="34" spans="1:17">
      <c r="A34" s="37" t="s">
        <v>190</v>
      </c>
      <c r="B34" s="37" t="s">
        <v>191</v>
      </c>
      <c r="C34" s="37" t="s">
        <v>192</v>
      </c>
      <c r="D34" s="37" t="s">
        <v>54</v>
      </c>
      <c r="E34" s="37" t="s">
        <v>55</v>
      </c>
      <c r="F34" s="37" t="s">
        <v>95</v>
      </c>
      <c r="G34" s="37" t="s">
        <v>96</v>
      </c>
      <c r="H34" s="37" t="s">
        <v>193</v>
      </c>
      <c r="I34" s="37" t="s">
        <v>194</v>
      </c>
      <c r="J34" s="37">
        <v>437</v>
      </c>
      <c r="K34" s="37">
        <v>2496</v>
      </c>
      <c r="L34" s="37">
        <v>450.89</v>
      </c>
      <c r="M34" s="37" t="s">
        <v>60</v>
      </c>
      <c r="N34" s="37">
        <v>129</v>
      </c>
      <c r="O34" s="37">
        <v>83</v>
      </c>
      <c r="P34" s="37" t="s">
        <v>28</v>
      </c>
      <c r="Q34" s="37">
        <v>0</v>
      </c>
    </row>
    <row r="35" spans="1:17">
      <c r="A35" s="33" t="s">
        <v>195</v>
      </c>
      <c r="B35" s="33" t="s">
        <v>196</v>
      </c>
      <c r="C35" s="33" t="s">
        <v>20</v>
      </c>
      <c r="D35" s="33" t="s">
        <v>197</v>
      </c>
      <c r="E35" s="33" t="s">
        <v>198</v>
      </c>
      <c r="F35" s="33" t="s">
        <v>40</v>
      </c>
      <c r="G35" s="33" t="s">
        <v>41</v>
      </c>
      <c r="H35" s="33" t="s">
        <v>162</v>
      </c>
      <c r="I35" s="33" t="s">
        <v>199</v>
      </c>
      <c r="J35" s="33">
        <v>313</v>
      </c>
      <c r="K35" s="33">
        <v>2783</v>
      </c>
      <c r="L35" s="33">
        <v>1182.3399999999999</v>
      </c>
      <c r="M35" s="33" t="s">
        <v>60</v>
      </c>
      <c r="N35" s="33">
        <v>198</v>
      </c>
      <c r="O35" s="33">
        <v>197</v>
      </c>
      <c r="P35" s="33" t="s">
        <v>28</v>
      </c>
      <c r="Q35" s="33">
        <v>0</v>
      </c>
    </row>
    <row r="36" spans="1:17">
      <c r="A36" s="37" t="s">
        <v>200</v>
      </c>
      <c r="B36" s="37" t="s">
        <v>201</v>
      </c>
      <c r="C36" s="37" t="s">
        <v>73</v>
      </c>
      <c r="D36" s="37" t="s">
        <v>174</v>
      </c>
      <c r="E36" s="37" t="s">
        <v>175</v>
      </c>
      <c r="F36" s="37" t="s">
        <v>32</v>
      </c>
      <c r="G36" s="37" t="s">
        <v>33</v>
      </c>
      <c r="H36" s="37" t="s">
        <v>202</v>
      </c>
      <c r="I36" s="37" t="s">
        <v>203</v>
      </c>
      <c r="J36" s="37">
        <v>276</v>
      </c>
      <c r="K36" s="37">
        <v>2066</v>
      </c>
      <c r="L36" s="37">
        <v>158.37</v>
      </c>
      <c r="M36" s="37" t="s">
        <v>27</v>
      </c>
      <c r="N36" s="37">
        <v>335</v>
      </c>
      <c r="O36" s="37">
        <v>219</v>
      </c>
      <c r="P36" s="37" t="s">
        <v>28</v>
      </c>
      <c r="Q36" s="37">
        <v>-10</v>
      </c>
    </row>
    <row r="37" spans="1:17">
      <c r="A37" s="33" t="s">
        <v>204</v>
      </c>
      <c r="B37" s="33" t="s">
        <v>205</v>
      </c>
      <c r="C37" s="33" t="s">
        <v>192</v>
      </c>
      <c r="D37" s="33" t="s">
        <v>116</v>
      </c>
      <c r="E37" s="33" t="s">
        <v>117</v>
      </c>
      <c r="F37" s="33" t="s">
        <v>95</v>
      </c>
      <c r="G37" s="33" t="s">
        <v>96</v>
      </c>
      <c r="H37" s="33" t="s">
        <v>206</v>
      </c>
      <c r="I37" s="33" t="s">
        <v>207</v>
      </c>
      <c r="J37" s="33">
        <v>257</v>
      </c>
      <c r="K37" s="33">
        <v>1948</v>
      </c>
      <c r="L37" s="33">
        <v>860.87</v>
      </c>
      <c r="M37" s="33" t="s">
        <v>27</v>
      </c>
      <c r="N37" s="33">
        <v>132</v>
      </c>
      <c r="O37" s="33">
        <v>74</v>
      </c>
      <c r="P37" s="33" t="s">
        <v>28</v>
      </c>
      <c r="Q37" s="33">
        <v>0</v>
      </c>
    </row>
    <row r="38" spans="1:17">
      <c r="A38" s="37" t="s">
        <v>208</v>
      </c>
      <c r="B38" s="37" t="s">
        <v>209</v>
      </c>
      <c r="C38" s="37" t="s">
        <v>63</v>
      </c>
      <c r="D38" s="37" t="s">
        <v>48</v>
      </c>
      <c r="E38" s="37" t="s">
        <v>49</v>
      </c>
      <c r="F38" s="37" t="s">
        <v>54</v>
      </c>
      <c r="G38" s="37" t="s">
        <v>74</v>
      </c>
      <c r="H38" s="37" t="s">
        <v>210</v>
      </c>
      <c r="I38" s="37" t="s">
        <v>136</v>
      </c>
      <c r="J38" s="37">
        <v>370</v>
      </c>
      <c r="K38" s="37">
        <v>301</v>
      </c>
      <c r="L38" s="37">
        <v>420.34</v>
      </c>
      <c r="M38" s="37" t="s">
        <v>60</v>
      </c>
      <c r="N38" s="37">
        <v>210</v>
      </c>
      <c r="O38" s="37">
        <v>198</v>
      </c>
      <c r="P38" s="37" t="s">
        <v>28</v>
      </c>
      <c r="Q38" s="37">
        <v>0</v>
      </c>
    </row>
    <row r="39" spans="1:17">
      <c r="A39" s="33" t="s">
        <v>211</v>
      </c>
      <c r="B39" s="33" t="s">
        <v>212</v>
      </c>
      <c r="C39" s="33" t="s">
        <v>115</v>
      </c>
      <c r="D39" s="33" t="s">
        <v>40</v>
      </c>
      <c r="E39" s="33" t="s">
        <v>41</v>
      </c>
      <c r="F39" s="33" t="s">
        <v>79</v>
      </c>
      <c r="G39" s="33" t="s">
        <v>80</v>
      </c>
      <c r="H39" s="33" t="s">
        <v>58</v>
      </c>
      <c r="I39" s="33" t="s">
        <v>213</v>
      </c>
      <c r="J39" s="33">
        <v>351</v>
      </c>
      <c r="K39" s="33">
        <v>2238</v>
      </c>
      <c r="L39" s="33">
        <v>968.98</v>
      </c>
      <c r="M39" s="33" t="s">
        <v>27</v>
      </c>
      <c r="N39" s="33">
        <v>143</v>
      </c>
      <c r="O39" s="33">
        <v>134</v>
      </c>
      <c r="P39" s="33" t="s">
        <v>28</v>
      </c>
      <c r="Q39" s="33">
        <v>0</v>
      </c>
    </row>
    <row r="40" spans="1:17">
      <c r="A40" s="37" t="s">
        <v>214</v>
      </c>
      <c r="B40" s="37" t="s">
        <v>215</v>
      </c>
      <c r="C40" s="37" t="s">
        <v>47</v>
      </c>
      <c r="D40" s="37" t="s">
        <v>54</v>
      </c>
      <c r="E40" s="37" t="s">
        <v>55</v>
      </c>
      <c r="F40" s="37" t="s">
        <v>21</v>
      </c>
      <c r="G40" s="37" t="s">
        <v>22</v>
      </c>
      <c r="H40" s="37" t="s">
        <v>216</v>
      </c>
      <c r="I40" s="37" t="s">
        <v>217</v>
      </c>
      <c r="J40" s="37">
        <v>205</v>
      </c>
      <c r="K40" s="37">
        <v>1115</v>
      </c>
      <c r="L40" s="37">
        <v>245.04</v>
      </c>
      <c r="M40" s="37" t="s">
        <v>60</v>
      </c>
      <c r="N40" s="37">
        <v>162</v>
      </c>
      <c r="O40" s="37">
        <v>110</v>
      </c>
      <c r="P40" s="37" t="s">
        <v>28</v>
      </c>
      <c r="Q40" s="37">
        <v>0</v>
      </c>
    </row>
    <row r="41" spans="1:17">
      <c r="A41" s="33" t="s">
        <v>218</v>
      </c>
      <c r="B41" s="33" t="s">
        <v>219</v>
      </c>
      <c r="C41" s="33" t="s">
        <v>115</v>
      </c>
      <c r="D41" s="33" t="s">
        <v>129</v>
      </c>
      <c r="E41" s="33" t="s">
        <v>130</v>
      </c>
      <c r="F41" s="33" t="s">
        <v>48</v>
      </c>
      <c r="G41" s="33" t="s">
        <v>49</v>
      </c>
      <c r="H41" s="33" t="s">
        <v>139</v>
      </c>
      <c r="I41" s="33" t="s">
        <v>220</v>
      </c>
      <c r="J41" s="33">
        <v>343</v>
      </c>
      <c r="K41" s="33">
        <v>1936</v>
      </c>
      <c r="L41" s="33">
        <v>353.26</v>
      </c>
      <c r="M41" s="33" t="s">
        <v>27</v>
      </c>
      <c r="N41" s="33">
        <v>276</v>
      </c>
      <c r="O41" s="33">
        <v>51</v>
      </c>
      <c r="P41" s="33" t="s">
        <v>70</v>
      </c>
      <c r="Q41" s="33">
        <v>42</v>
      </c>
    </row>
    <row r="42" spans="1:17">
      <c r="A42" s="37" t="s">
        <v>221</v>
      </c>
      <c r="B42" s="37" t="s">
        <v>222</v>
      </c>
      <c r="C42" s="37" t="s">
        <v>31</v>
      </c>
      <c r="D42" s="37" t="s">
        <v>38</v>
      </c>
      <c r="E42" s="37" t="s">
        <v>39</v>
      </c>
      <c r="F42" s="37" t="s">
        <v>32</v>
      </c>
      <c r="G42" s="37" t="s">
        <v>33</v>
      </c>
      <c r="H42" s="37" t="s">
        <v>135</v>
      </c>
      <c r="I42" s="37" t="s">
        <v>223</v>
      </c>
      <c r="J42" s="37">
        <v>375</v>
      </c>
      <c r="K42" s="37">
        <v>1320</v>
      </c>
      <c r="L42" s="37">
        <v>1107.57</v>
      </c>
      <c r="M42" s="37" t="s">
        <v>60</v>
      </c>
      <c r="N42" s="37">
        <v>216</v>
      </c>
      <c r="O42" s="37">
        <v>84</v>
      </c>
      <c r="P42" s="37" t="s">
        <v>70</v>
      </c>
      <c r="Q42" s="37">
        <v>150</v>
      </c>
    </row>
    <row r="43" spans="1:17">
      <c r="A43" s="33" t="s">
        <v>224</v>
      </c>
      <c r="B43" s="33" t="s">
        <v>225</v>
      </c>
      <c r="C43" s="33" t="s">
        <v>115</v>
      </c>
      <c r="D43" s="33" t="s">
        <v>48</v>
      </c>
      <c r="E43" s="33" t="s">
        <v>49</v>
      </c>
      <c r="F43" s="33" t="s">
        <v>116</v>
      </c>
      <c r="G43" s="33" t="s">
        <v>117</v>
      </c>
      <c r="H43" s="33" t="s">
        <v>226</v>
      </c>
      <c r="I43" s="33" t="s">
        <v>227</v>
      </c>
      <c r="J43" s="33">
        <v>171</v>
      </c>
      <c r="K43" s="33">
        <v>2244</v>
      </c>
      <c r="L43" s="33">
        <v>584.08000000000004</v>
      </c>
      <c r="M43" s="33" t="s">
        <v>60</v>
      </c>
      <c r="N43" s="33">
        <v>315</v>
      </c>
      <c r="O43" s="33">
        <v>191</v>
      </c>
      <c r="P43" s="33" t="s">
        <v>70</v>
      </c>
      <c r="Q43" s="33">
        <v>148</v>
      </c>
    </row>
    <row r="44" spans="1:17">
      <c r="A44" s="37" t="s">
        <v>228</v>
      </c>
      <c r="B44" s="37" t="s">
        <v>229</v>
      </c>
      <c r="C44" s="37" t="s">
        <v>31</v>
      </c>
      <c r="D44" s="37" t="s">
        <v>21</v>
      </c>
      <c r="E44" s="37" t="s">
        <v>22</v>
      </c>
      <c r="F44" s="37" t="s">
        <v>79</v>
      </c>
      <c r="G44" s="37" t="s">
        <v>80</v>
      </c>
      <c r="H44" s="37" t="s">
        <v>230</v>
      </c>
      <c r="I44" s="37" t="s">
        <v>231</v>
      </c>
      <c r="J44" s="37">
        <v>210</v>
      </c>
      <c r="K44" s="37">
        <v>1412</v>
      </c>
      <c r="L44" s="37">
        <v>456.15</v>
      </c>
      <c r="M44" s="37" t="s">
        <v>27</v>
      </c>
      <c r="N44" s="37">
        <v>120</v>
      </c>
      <c r="O44" s="37">
        <v>67</v>
      </c>
      <c r="P44" s="37" t="s">
        <v>28</v>
      </c>
      <c r="Q44" s="37">
        <v>0</v>
      </c>
    </row>
    <row r="45" spans="1:17">
      <c r="A45" s="33" t="s">
        <v>232</v>
      </c>
      <c r="B45" s="33" t="s">
        <v>233</v>
      </c>
      <c r="C45" s="33" t="s">
        <v>63</v>
      </c>
      <c r="D45" s="33" t="s">
        <v>183</v>
      </c>
      <c r="E45" s="33" t="s">
        <v>184</v>
      </c>
      <c r="F45" s="33" t="s">
        <v>54</v>
      </c>
      <c r="G45" s="33" t="s">
        <v>55</v>
      </c>
      <c r="H45" s="33" t="s">
        <v>226</v>
      </c>
      <c r="I45" s="33" t="s">
        <v>234</v>
      </c>
      <c r="J45" s="33">
        <v>259</v>
      </c>
      <c r="K45" s="33">
        <v>2522</v>
      </c>
      <c r="L45" s="33">
        <v>601.84</v>
      </c>
      <c r="M45" s="33"/>
      <c r="N45" s="33">
        <v>152</v>
      </c>
      <c r="O45" s="33">
        <v>103</v>
      </c>
      <c r="P45" s="33" t="s">
        <v>28</v>
      </c>
      <c r="Q45" s="33">
        <v>0</v>
      </c>
    </row>
    <row r="46" spans="1:17">
      <c r="A46" s="37" t="s">
        <v>235</v>
      </c>
      <c r="B46" s="37" t="s">
        <v>236</v>
      </c>
      <c r="C46" s="37" t="s">
        <v>73</v>
      </c>
      <c r="D46" s="37" t="s">
        <v>79</v>
      </c>
      <c r="E46" s="37" t="s">
        <v>80</v>
      </c>
      <c r="F46" s="37" t="s">
        <v>174</v>
      </c>
      <c r="G46" s="37" t="s">
        <v>175</v>
      </c>
      <c r="H46" s="37" t="s">
        <v>162</v>
      </c>
      <c r="I46" s="37" t="s">
        <v>237</v>
      </c>
      <c r="J46" s="37">
        <v>475</v>
      </c>
      <c r="K46" s="37">
        <v>1897</v>
      </c>
      <c r="L46" s="37">
        <v>1035.8599999999999</v>
      </c>
      <c r="M46" s="37" t="s">
        <v>44</v>
      </c>
      <c r="N46" s="37">
        <v>237</v>
      </c>
      <c r="O46" s="37">
        <v>189</v>
      </c>
      <c r="P46" s="37" t="s">
        <v>70</v>
      </c>
      <c r="Q46" s="37">
        <v>71</v>
      </c>
    </row>
    <row r="47" spans="1:17">
      <c r="A47" s="33" t="s">
        <v>238</v>
      </c>
      <c r="B47" s="33" t="s">
        <v>239</v>
      </c>
      <c r="C47" s="33" t="s">
        <v>31</v>
      </c>
      <c r="D47" s="33" t="s">
        <v>21</v>
      </c>
      <c r="E47" s="33" t="s">
        <v>22</v>
      </c>
      <c r="F47" s="33" t="s">
        <v>40</v>
      </c>
      <c r="G47" s="33" t="s">
        <v>41</v>
      </c>
      <c r="H47" s="33" t="s">
        <v>240</v>
      </c>
      <c r="I47" s="33" t="s">
        <v>241</v>
      </c>
      <c r="J47" s="33">
        <v>289</v>
      </c>
      <c r="K47" s="33">
        <v>1676</v>
      </c>
      <c r="L47" s="33">
        <v>829.14</v>
      </c>
      <c r="M47" s="33" t="s">
        <v>44</v>
      </c>
      <c r="N47" s="33">
        <v>285</v>
      </c>
      <c r="O47" s="33">
        <v>92</v>
      </c>
      <c r="P47" s="33" t="s">
        <v>70</v>
      </c>
      <c r="Q47" s="33">
        <v>47</v>
      </c>
    </row>
    <row r="48" spans="1:17">
      <c r="A48" s="37" t="s">
        <v>242</v>
      </c>
      <c r="B48" s="37" t="s">
        <v>243</v>
      </c>
      <c r="C48" s="37" t="s">
        <v>20</v>
      </c>
      <c r="D48" s="37" t="s">
        <v>66</v>
      </c>
      <c r="E48" s="37" t="s">
        <v>67</v>
      </c>
      <c r="F48" s="37" t="s">
        <v>48</v>
      </c>
      <c r="G48" s="37" t="s">
        <v>49</v>
      </c>
      <c r="H48" s="37" t="s">
        <v>244</v>
      </c>
      <c r="I48" s="37" t="s">
        <v>245</v>
      </c>
      <c r="J48" s="37">
        <v>132</v>
      </c>
      <c r="K48" s="37">
        <v>2932</v>
      </c>
      <c r="L48" s="37">
        <v>560.04999999999995</v>
      </c>
      <c r="M48" s="37" t="s">
        <v>44</v>
      </c>
      <c r="N48" s="37">
        <v>146</v>
      </c>
      <c r="O48" s="37">
        <v>56</v>
      </c>
      <c r="P48" s="37" t="s">
        <v>28</v>
      </c>
      <c r="Q48" s="37">
        <v>0</v>
      </c>
    </row>
    <row r="49" spans="1:17">
      <c r="A49" s="33" t="s">
        <v>246</v>
      </c>
      <c r="B49" s="33" t="s">
        <v>247</v>
      </c>
      <c r="C49" s="33" t="s">
        <v>31</v>
      </c>
      <c r="D49" s="33" t="s">
        <v>40</v>
      </c>
      <c r="E49" s="33" t="s">
        <v>41</v>
      </c>
      <c r="F49" s="33" t="s">
        <v>156</v>
      </c>
      <c r="G49" s="33" t="s">
        <v>157</v>
      </c>
      <c r="H49" s="33" t="s">
        <v>248</v>
      </c>
      <c r="I49" s="33" t="s">
        <v>249</v>
      </c>
      <c r="J49" s="33">
        <v>232</v>
      </c>
      <c r="K49" s="33">
        <v>2026</v>
      </c>
      <c r="L49" s="33">
        <v>362.54</v>
      </c>
      <c r="M49" s="33" t="s">
        <v>60</v>
      </c>
      <c r="N49" s="33">
        <v>220</v>
      </c>
      <c r="O49" s="33">
        <v>54</v>
      </c>
      <c r="P49" s="33" t="s">
        <v>70</v>
      </c>
      <c r="Q49" s="33">
        <v>28</v>
      </c>
    </row>
    <row r="50" spans="1:17">
      <c r="A50" s="37" t="s">
        <v>250</v>
      </c>
      <c r="B50" s="37" t="s">
        <v>251</v>
      </c>
      <c r="C50" s="37" t="s">
        <v>31</v>
      </c>
      <c r="D50" s="37" t="s">
        <v>54</v>
      </c>
      <c r="E50" s="37" t="s">
        <v>55</v>
      </c>
      <c r="F50" s="37" t="s">
        <v>56</v>
      </c>
      <c r="G50" s="37" t="s">
        <v>57</v>
      </c>
      <c r="H50" s="37" t="s">
        <v>252</v>
      </c>
      <c r="I50" s="37" t="s">
        <v>253</v>
      </c>
      <c r="J50" s="37">
        <v>192</v>
      </c>
      <c r="K50" s="37">
        <v>383</v>
      </c>
      <c r="L50" s="37">
        <v>775.9</v>
      </c>
      <c r="M50" s="37"/>
      <c r="N50" s="37">
        <v>132</v>
      </c>
      <c r="O50" s="37"/>
      <c r="P50" s="37" t="s">
        <v>70</v>
      </c>
      <c r="Q50" s="37">
        <v>159</v>
      </c>
    </row>
    <row r="51" spans="1:17">
      <c r="A51" s="33" t="s">
        <v>254</v>
      </c>
      <c r="B51" s="33" t="s">
        <v>255</v>
      </c>
      <c r="C51" s="33" t="s">
        <v>115</v>
      </c>
      <c r="D51" s="33" t="s">
        <v>21</v>
      </c>
      <c r="E51" s="33" t="s">
        <v>22</v>
      </c>
      <c r="F51" s="33" t="s">
        <v>66</v>
      </c>
      <c r="G51" s="33" t="s">
        <v>67</v>
      </c>
      <c r="H51" s="33" t="s">
        <v>103</v>
      </c>
      <c r="I51" s="33" t="s">
        <v>256</v>
      </c>
      <c r="J51" s="33">
        <v>173</v>
      </c>
      <c r="K51" s="33">
        <v>1574</v>
      </c>
      <c r="L51" s="33">
        <v>201.07</v>
      </c>
      <c r="M51" s="33" t="s">
        <v>60</v>
      </c>
      <c r="N51" s="33">
        <v>337</v>
      </c>
      <c r="O51" s="33">
        <v>209</v>
      </c>
      <c r="P51" s="33" t="s">
        <v>28</v>
      </c>
      <c r="Q51" s="33">
        <v>0</v>
      </c>
    </row>
    <row r="52" spans="1:17">
      <c r="A52" s="37" t="s">
        <v>257</v>
      </c>
      <c r="B52" s="37" t="s">
        <v>258</v>
      </c>
      <c r="C52" s="37" t="s">
        <v>73</v>
      </c>
      <c r="D52" s="37" t="s">
        <v>183</v>
      </c>
      <c r="E52" s="37" t="s">
        <v>184</v>
      </c>
      <c r="F52" s="37" t="s">
        <v>54</v>
      </c>
      <c r="G52" s="37" t="s">
        <v>55</v>
      </c>
      <c r="H52" s="37" t="s">
        <v>259</v>
      </c>
      <c r="I52" s="37" t="s">
        <v>260</v>
      </c>
      <c r="J52" s="37">
        <v>142</v>
      </c>
      <c r="K52" s="37">
        <v>1535</v>
      </c>
      <c r="L52" s="37">
        <v>1032.33</v>
      </c>
      <c r="M52" s="37" t="s">
        <v>27</v>
      </c>
      <c r="N52" s="37">
        <v>306</v>
      </c>
      <c r="O52" s="37">
        <v>111</v>
      </c>
      <c r="P52" s="37" t="s">
        <v>70</v>
      </c>
      <c r="Q52" s="37">
        <v>159</v>
      </c>
    </row>
    <row r="53" spans="1:17">
      <c r="A53" s="33" t="s">
        <v>261</v>
      </c>
      <c r="B53" s="33" t="s">
        <v>262</v>
      </c>
      <c r="C53" s="33" t="s">
        <v>47</v>
      </c>
      <c r="D53" s="33" t="s">
        <v>32</v>
      </c>
      <c r="E53" s="33" t="s">
        <v>33</v>
      </c>
      <c r="F53" s="33" t="s">
        <v>129</v>
      </c>
      <c r="G53" s="33" t="s">
        <v>130</v>
      </c>
      <c r="H53" s="33" t="s">
        <v>216</v>
      </c>
      <c r="I53" s="33" t="s">
        <v>263</v>
      </c>
      <c r="J53" s="33">
        <v>125</v>
      </c>
      <c r="K53" s="33">
        <v>2372</v>
      </c>
      <c r="L53" s="33">
        <v>805.25</v>
      </c>
      <c r="M53" s="33" t="s">
        <v>60</v>
      </c>
      <c r="N53" s="33">
        <v>317</v>
      </c>
      <c r="O53" s="33">
        <v>265</v>
      </c>
      <c r="P53" s="33" t="s">
        <v>70</v>
      </c>
      <c r="Q53" s="33">
        <v>42</v>
      </c>
    </row>
    <row r="54" spans="1:17">
      <c r="A54" s="37" t="s">
        <v>264</v>
      </c>
      <c r="B54" s="37" t="s">
        <v>265</v>
      </c>
      <c r="C54" s="37" t="s">
        <v>47</v>
      </c>
      <c r="D54" s="37" t="s">
        <v>40</v>
      </c>
      <c r="E54" s="37" t="s">
        <v>41</v>
      </c>
      <c r="F54" s="37" t="s">
        <v>101</v>
      </c>
      <c r="G54" s="37" t="s">
        <v>102</v>
      </c>
      <c r="H54" s="37" t="s">
        <v>125</v>
      </c>
      <c r="I54" s="37" t="s">
        <v>266</v>
      </c>
      <c r="J54" s="37">
        <v>465</v>
      </c>
      <c r="K54" s="37">
        <v>2437</v>
      </c>
      <c r="L54" s="37">
        <v>1161.33</v>
      </c>
      <c r="M54" s="37" t="s">
        <v>44</v>
      </c>
      <c r="N54" s="37">
        <v>257</v>
      </c>
      <c r="O54" s="37">
        <v>256</v>
      </c>
      <c r="P54" s="37" t="s">
        <v>70</v>
      </c>
      <c r="Q54" s="37">
        <v>138</v>
      </c>
    </row>
    <row r="55" spans="1:17">
      <c r="A55" s="33" t="s">
        <v>267</v>
      </c>
      <c r="B55" s="33" t="s">
        <v>268</v>
      </c>
      <c r="C55" s="33" t="s">
        <v>73</v>
      </c>
      <c r="D55" s="33" t="s">
        <v>54</v>
      </c>
      <c r="E55" s="33" t="s">
        <v>74</v>
      </c>
      <c r="F55" s="33" t="s">
        <v>21</v>
      </c>
      <c r="G55" s="33" t="s">
        <v>22</v>
      </c>
      <c r="H55" s="33" t="s">
        <v>269</v>
      </c>
      <c r="I55" s="33" t="s">
        <v>270</v>
      </c>
      <c r="J55" s="33">
        <v>134</v>
      </c>
      <c r="K55" s="33">
        <v>1442</v>
      </c>
      <c r="L55" s="33">
        <v>1067.43</v>
      </c>
      <c r="M55" s="33" t="s">
        <v>60</v>
      </c>
      <c r="N55" s="33">
        <v>292</v>
      </c>
      <c r="O55" s="33">
        <v>168</v>
      </c>
      <c r="P55" s="33" t="s">
        <v>28</v>
      </c>
      <c r="Q55" s="33">
        <v>0</v>
      </c>
    </row>
    <row r="56" spans="1:17">
      <c r="A56" s="37" t="s">
        <v>271</v>
      </c>
      <c r="B56" s="37" t="s">
        <v>209</v>
      </c>
      <c r="C56" s="37" t="s">
        <v>47</v>
      </c>
      <c r="D56" s="37" t="s">
        <v>174</v>
      </c>
      <c r="E56" s="37" t="s">
        <v>175</v>
      </c>
      <c r="F56" s="37" t="s">
        <v>116</v>
      </c>
      <c r="G56" s="37" t="s">
        <v>117</v>
      </c>
      <c r="H56" s="37" t="s">
        <v>269</v>
      </c>
      <c r="I56" s="37" t="s">
        <v>272</v>
      </c>
      <c r="J56" s="37">
        <v>339</v>
      </c>
      <c r="K56" s="37">
        <v>1168</v>
      </c>
      <c r="L56" s="37">
        <v>477.4</v>
      </c>
      <c r="M56" s="37" t="s">
        <v>44</v>
      </c>
      <c r="N56" s="37">
        <v>187</v>
      </c>
      <c r="O56" s="37">
        <v>121</v>
      </c>
      <c r="P56" s="37" t="s">
        <v>70</v>
      </c>
      <c r="Q56" s="37">
        <v>85</v>
      </c>
    </row>
    <row r="57" spans="1:17">
      <c r="A57" s="33" t="s">
        <v>273</v>
      </c>
      <c r="B57" s="33" t="s">
        <v>274</v>
      </c>
      <c r="C57" s="33" t="s">
        <v>31</v>
      </c>
      <c r="D57" s="33" t="s">
        <v>54</v>
      </c>
      <c r="E57" s="33" t="s">
        <v>55</v>
      </c>
      <c r="F57" s="33" t="s">
        <v>21</v>
      </c>
      <c r="G57" s="33" t="s">
        <v>22</v>
      </c>
      <c r="H57" s="33" t="s">
        <v>275</v>
      </c>
      <c r="I57" s="33" t="s">
        <v>276</v>
      </c>
      <c r="J57" s="33">
        <v>340</v>
      </c>
      <c r="K57" s="33">
        <v>2574</v>
      </c>
      <c r="L57" s="33">
        <v>929.14</v>
      </c>
      <c r="M57" s="33" t="s">
        <v>27</v>
      </c>
      <c r="N57" s="33">
        <v>221</v>
      </c>
      <c r="O57" s="33">
        <v>215</v>
      </c>
      <c r="P57" s="33" t="s">
        <v>70</v>
      </c>
      <c r="Q57" s="33">
        <v>129</v>
      </c>
    </row>
    <row r="58" spans="1:17">
      <c r="A58" s="37" t="s">
        <v>277</v>
      </c>
      <c r="B58" s="37" t="s">
        <v>278</v>
      </c>
      <c r="C58" s="37" t="s">
        <v>94</v>
      </c>
      <c r="D58" s="37" t="s">
        <v>95</v>
      </c>
      <c r="E58" s="37" t="s">
        <v>96</v>
      </c>
      <c r="F58" s="37" t="s">
        <v>23</v>
      </c>
      <c r="G58" s="37" t="s">
        <v>24</v>
      </c>
      <c r="H58" s="37" t="s">
        <v>279</v>
      </c>
      <c r="I58" s="37" t="s">
        <v>280</v>
      </c>
      <c r="J58" s="37">
        <v>246</v>
      </c>
      <c r="K58" s="37">
        <v>2682</v>
      </c>
      <c r="L58" s="37">
        <v>493.3</v>
      </c>
      <c r="M58" s="37" t="s">
        <v>27</v>
      </c>
      <c r="N58" s="37">
        <v>235</v>
      </c>
      <c r="O58" s="37">
        <v>138</v>
      </c>
      <c r="P58" s="37" t="s">
        <v>28</v>
      </c>
      <c r="Q58" s="37">
        <v>0</v>
      </c>
    </row>
    <row r="59" spans="1:17">
      <c r="A59" s="33" t="s">
        <v>281</v>
      </c>
      <c r="B59" s="33" t="s">
        <v>282</v>
      </c>
      <c r="C59" s="33" t="s">
        <v>47</v>
      </c>
      <c r="D59" s="33" t="s">
        <v>40</v>
      </c>
      <c r="E59" s="33" t="s">
        <v>41</v>
      </c>
      <c r="F59" s="33" t="s">
        <v>21</v>
      </c>
      <c r="G59" s="33" t="s">
        <v>22</v>
      </c>
      <c r="H59" s="33" t="s">
        <v>283</v>
      </c>
      <c r="I59" s="33" t="s">
        <v>284</v>
      </c>
      <c r="J59" s="33">
        <v>208</v>
      </c>
      <c r="K59" s="33">
        <v>794</v>
      </c>
      <c r="L59" s="33">
        <v>887.84</v>
      </c>
      <c r="M59" s="33"/>
      <c r="N59" s="33">
        <v>130</v>
      </c>
      <c r="O59" s="33">
        <v>118</v>
      </c>
      <c r="P59" s="33" t="s">
        <v>149</v>
      </c>
      <c r="Q59" s="33">
        <v>0</v>
      </c>
    </row>
    <row r="60" spans="1:17">
      <c r="A60" s="37" t="s">
        <v>285</v>
      </c>
      <c r="B60" s="37" t="s">
        <v>286</v>
      </c>
      <c r="C60" s="37" t="s">
        <v>31</v>
      </c>
      <c r="D60" s="37" t="s">
        <v>183</v>
      </c>
      <c r="E60" s="37" t="s">
        <v>184</v>
      </c>
      <c r="F60" s="37" t="s">
        <v>116</v>
      </c>
      <c r="G60" s="37" t="s">
        <v>117</v>
      </c>
      <c r="H60" s="37" t="s">
        <v>287</v>
      </c>
      <c r="I60" s="37" t="s">
        <v>288</v>
      </c>
      <c r="J60" s="37">
        <v>141</v>
      </c>
      <c r="K60" s="37">
        <v>1095</v>
      </c>
      <c r="L60" s="37">
        <v>411.8</v>
      </c>
      <c r="M60" s="37" t="s">
        <v>44</v>
      </c>
      <c r="N60" s="37">
        <v>145</v>
      </c>
      <c r="O60" s="37">
        <v>88</v>
      </c>
      <c r="P60" s="37" t="s">
        <v>28</v>
      </c>
      <c r="Q60" s="37">
        <v>0</v>
      </c>
    </row>
    <row r="61" spans="1:17">
      <c r="A61" s="33" t="s">
        <v>289</v>
      </c>
      <c r="B61" s="33" t="s">
        <v>243</v>
      </c>
      <c r="C61" s="33" t="s">
        <v>63</v>
      </c>
      <c r="D61" s="33" t="s">
        <v>21</v>
      </c>
      <c r="E61" s="33" t="s">
        <v>22</v>
      </c>
      <c r="F61" s="33" t="s">
        <v>56</v>
      </c>
      <c r="G61" s="33" t="s">
        <v>57</v>
      </c>
      <c r="H61" s="33" t="s">
        <v>179</v>
      </c>
      <c r="I61" s="33" t="s">
        <v>290</v>
      </c>
      <c r="J61" s="33">
        <v>447</v>
      </c>
      <c r="K61" s="33">
        <v>817</v>
      </c>
      <c r="L61" s="33">
        <v>794.41</v>
      </c>
      <c r="M61" s="33" t="s">
        <v>44</v>
      </c>
      <c r="N61" s="33">
        <v>126</v>
      </c>
      <c r="O61" s="33">
        <v>51</v>
      </c>
      <c r="P61" s="33" t="s">
        <v>28</v>
      </c>
      <c r="Q61" s="33">
        <v>0</v>
      </c>
    </row>
    <row r="62" spans="1:17">
      <c r="A62" s="37" t="s">
        <v>291</v>
      </c>
      <c r="B62" s="37" t="s">
        <v>292</v>
      </c>
      <c r="C62" s="37" t="s">
        <v>115</v>
      </c>
      <c r="D62" s="37" t="s">
        <v>40</v>
      </c>
      <c r="E62" s="37" t="s">
        <v>41</v>
      </c>
      <c r="F62" s="37" t="s">
        <v>156</v>
      </c>
      <c r="G62" s="37" t="s">
        <v>157</v>
      </c>
      <c r="H62" s="37" t="s">
        <v>103</v>
      </c>
      <c r="I62" s="37" t="s">
        <v>293</v>
      </c>
      <c r="J62" s="37">
        <v>219</v>
      </c>
      <c r="K62" s="37">
        <v>2256</v>
      </c>
      <c r="L62" s="37">
        <v>207.78</v>
      </c>
      <c r="M62" s="37" t="s">
        <v>60</v>
      </c>
      <c r="N62" s="37">
        <v>202</v>
      </c>
      <c r="O62" s="37">
        <v>175</v>
      </c>
      <c r="P62" s="37" t="s">
        <v>28</v>
      </c>
      <c r="Q62" s="37">
        <v>0</v>
      </c>
    </row>
    <row r="63" spans="1:17">
      <c r="A63" s="33" t="s">
        <v>294</v>
      </c>
      <c r="B63" s="33" t="s">
        <v>295</v>
      </c>
      <c r="C63" s="33" t="s">
        <v>63</v>
      </c>
      <c r="D63" s="33" t="s">
        <v>101</v>
      </c>
      <c r="E63" s="33" t="s">
        <v>102</v>
      </c>
      <c r="F63" s="33" t="s">
        <v>48</v>
      </c>
      <c r="G63" s="33" t="s">
        <v>49</v>
      </c>
      <c r="H63" s="33" t="s">
        <v>296</v>
      </c>
      <c r="I63" s="33" t="s">
        <v>297</v>
      </c>
      <c r="J63" s="33">
        <v>217</v>
      </c>
      <c r="K63" s="33">
        <v>785</v>
      </c>
      <c r="L63" s="33">
        <v>705.04</v>
      </c>
      <c r="M63" s="33" t="s">
        <v>44</v>
      </c>
      <c r="N63" s="33">
        <v>255</v>
      </c>
      <c r="O63" s="33">
        <v>202</v>
      </c>
      <c r="P63" s="33" t="s">
        <v>70</v>
      </c>
      <c r="Q63" s="33">
        <v>72</v>
      </c>
    </row>
    <row r="64" spans="1:17">
      <c r="A64" s="37" t="s">
        <v>298</v>
      </c>
      <c r="B64" s="37" t="s">
        <v>299</v>
      </c>
      <c r="C64" s="37" t="s">
        <v>73</v>
      </c>
      <c r="D64" s="37" t="s">
        <v>40</v>
      </c>
      <c r="E64" s="37" t="s">
        <v>41</v>
      </c>
      <c r="F64" s="37" t="s">
        <v>79</v>
      </c>
      <c r="G64" s="37" t="s">
        <v>80</v>
      </c>
      <c r="H64" s="37" t="s">
        <v>210</v>
      </c>
      <c r="I64" s="37" t="s">
        <v>300</v>
      </c>
      <c r="J64" s="37">
        <v>246</v>
      </c>
      <c r="K64" s="37">
        <v>2629</v>
      </c>
      <c r="L64" s="37">
        <v>775.55</v>
      </c>
      <c r="M64" s="37" t="s">
        <v>27</v>
      </c>
      <c r="N64" s="37">
        <v>345</v>
      </c>
      <c r="O64" s="37">
        <v>100</v>
      </c>
      <c r="P64" s="37" t="s">
        <v>149</v>
      </c>
      <c r="Q64" s="37">
        <v>0</v>
      </c>
    </row>
    <row r="65" spans="1:17">
      <c r="A65" s="33" t="s">
        <v>301</v>
      </c>
      <c r="B65" s="33" t="s">
        <v>302</v>
      </c>
      <c r="C65" s="33" t="s">
        <v>31</v>
      </c>
      <c r="D65" s="33" t="s">
        <v>21</v>
      </c>
      <c r="E65" s="33" t="s">
        <v>22</v>
      </c>
      <c r="F65" s="33" t="s">
        <v>54</v>
      </c>
      <c r="G65" s="33" t="s">
        <v>55</v>
      </c>
      <c r="H65" s="33" t="s">
        <v>303</v>
      </c>
      <c r="I65" s="33" t="s">
        <v>304</v>
      </c>
      <c r="J65" s="33">
        <v>178</v>
      </c>
      <c r="K65" s="33">
        <v>2560</v>
      </c>
      <c r="L65" s="33">
        <v>164.07</v>
      </c>
      <c r="M65" s="33" t="s">
        <v>60</v>
      </c>
      <c r="N65" s="33">
        <v>204</v>
      </c>
      <c r="O65" s="33">
        <v>165</v>
      </c>
      <c r="P65" s="33" t="s">
        <v>70</v>
      </c>
      <c r="Q65" s="33">
        <v>135</v>
      </c>
    </row>
    <row r="66" spans="1:17">
      <c r="A66" s="37" t="s">
        <v>305</v>
      </c>
      <c r="B66" s="37" t="s">
        <v>306</v>
      </c>
      <c r="C66" s="37" t="s">
        <v>20</v>
      </c>
      <c r="D66" s="37" t="s">
        <v>23</v>
      </c>
      <c r="E66" s="37" t="s">
        <v>24</v>
      </c>
      <c r="F66" s="37" t="s">
        <v>156</v>
      </c>
      <c r="G66" s="37" t="s">
        <v>157</v>
      </c>
      <c r="H66" s="37" t="s">
        <v>307</v>
      </c>
      <c r="I66" s="37" t="s">
        <v>308</v>
      </c>
      <c r="J66" s="37">
        <v>449</v>
      </c>
      <c r="K66" s="37">
        <v>2159</v>
      </c>
      <c r="L66" s="37">
        <v>159.72</v>
      </c>
      <c r="M66" s="37" t="s">
        <v>60</v>
      </c>
      <c r="N66" s="37">
        <v>336</v>
      </c>
      <c r="O66" s="37">
        <v>185</v>
      </c>
      <c r="P66" s="37" t="s">
        <v>70</v>
      </c>
      <c r="Q66" s="37">
        <v>175</v>
      </c>
    </row>
    <row r="67" spans="1:17">
      <c r="A67" s="33" t="s">
        <v>309</v>
      </c>
      <c r="B67" s="33" t="s">
        <v>310</v>
      </c>
      <c r="C67" s="33" t="s">
        <v>73</v>
      </c>
      <c r="D67" s="33" t="s">
        <v>197</v>
      </c>
      <c r="E67" s="33" t="s">
        <v>198</v>
      </c>
      <c r="F67" s="33" t="s">
        <v>54</v>
      </c>
      <c r="G67" s="33" t="s">
        <v>74</v>
      </c>
      <c r="H67" s="33" t="s">
        <v>25</v>
      </c>
      <c r="I67" s="33" t="s">
        <v>311</v>
      </c>
      <c r="J67" s="33">
        <v>226</v>
      </c>
      <c r="K67" s="33">
        <v>882</v>
      </c>
      <c r="L67" s="33">
        <v>159.97999999999999</v>
      </c>
      <c r="M67" s="33" t="s">
        <v>60</v>
      </c>
      <c r="N67" s="33">
        <v>302</v>
      </c>
      <c r="O67" s="33">
        <v>128</v>
      </c>
      <c r="P67" s="33" t="s">
        <v>28</v>
      </c>
      <c r="Q67" s="33">
        <v>0</v>
      </c>
    </row>
    <row r="68" spans="1:17">
      <c r="A68" s="37" t="s">
        <v>312</v>
      </c>
      <c r="B68" s="37" t="s">
        <v>313</v>
      </c>
      <c r="C68" s="37" t="s">
        <v>115</v>
      </c>
      <c r="D68" s="37" t="s">
        <v>197</v>
      </c>
      <c r="E68" s="37" t="s">
        <v>198</v>
      </c>
      <c r="F68" s="37" t="s">
        <v>79</v>
      </c>
      <c r="G68" s="37" t="s">
        <v>80</v>
      </c>
      <c r="H68" s="37" t="s">
        <v>307</v>
      </c>
      <c r="I68" s="37" t="s">
        <v>314</v>
      </c>
      <c r="J68" s="37">
        <v>448</v>
      </c>
      <c r="K68" s="37">
        <v>1948</v>
      </c>
      <c r="L68" s="37">
        <v>1135.8</v>
      </c>
      <c r="M68" s="37" t="s">
        <v>27</v>
      </c>
      <c r="N68" s="37">
        <v>238</v>
      </c>
      <c r="O68" s="37">
        <v>176</v>
      </c>
      <c r="P68" s="37" t="s">
        <v>28</v>
      </c>
      <c r="Q68" s="37">
        <v>0</v>
      </c>
    </row>
    <row r="69" spans="1:17">
      <c r="A69" s="33" t="s">
        <v>315</v>
      </c>
      <c r="B69" s="33" t="s">
        <v>316</v>
      </c>
      <c r="C69" s="33" t="s">
        <v>73</v>
      </c>
      <c r="D69" s="33" t="s">
        <v>156</v>
      </c>
      <c r="E69" s="33" t="s">
        <v>157</v>
      </c>
      <c r="F69" s="33" t="s">
        <v>21</v>
      </c>
      <c r="G69" s="33" t="s">
        <v>22</v>
      </c>
      <c r="H69" s="33" t="s">
        <v>317</v>
      </c>
      <c r="I69" s="33" t="s">
        <v>253</v>
      </c>
      <c r="J69" s="33">
        <v>207</v>
      </c>
      <c r="K69" s="33">
        <v>2656</v>
      </c>
      <c r="L69" s="33">
        <v>737.58</v>
      </c>
      <c r="M69" s="33" t="s">
        <v>60</v>
      </c>
      <c r="N69" s="33">
        <v>295</v>
      </c>
      <c r="O69" s="33">
        <v>222</v>
      </c>
      <c r="P69" s="33" t="s">
        <v>70</v>
      </c>
      <c r="Q69" s="33"/>
    </row>
    <row r="70" spans="1:17">
      <c r="A70" s="37" t="s">
        <v>318</v>
      </c>
      <c r="B70" s="37" t="s">
        <v>319</v>
      </c>
      <c r="C70" s="37" t="s">
        <v>63</v>
      </c>
      <c r="D70" s="37" t="s">
        <v>79</v>
      </c>
      <c r="E70" s="37" t="s">
        <v>80</v>
      </c>
      <c r="F70" s="37" t="s">
        <v>32</v>
      </c>
      <c r="G70" s="37" t="s">
        <v>33</v>
      </c>
      <c r="H70" s="37" t="s">
        <v>81</v>
      </c>
      <c r="I70" s="37" t="s">
        <v>320</v>
      </c>
      <c r="J70" s="37">
        <v>232</v>
      </c>
      <c r="K70" s="37">
        <v>1043</v>
      </c>
      <c r="L70" s="37">
        <v>1196.58</v>
      </c>
      <c r="M70" s="37" t="s">
        <v>44</v>
      </c>
      <c r="N70" s="37">
        <v>262</v>
      </c>
      <c r="O70" s="37">
        <v>258</v>
      </c>
      <c r="P70" s="37" t="s">
        <v>28</v>
      </c>
      <c r="Q70" s="37">
        <v>-10</v>
      </c>
    </row>
    <row r="71" spans="1:17">
      <c r="A71" s="33" t="s">
        <v>321</v>
      </c>
      <c r="B71" s="33" t="s">
        <v>322</v>
      </c>
      <c r="C71" s="33" t="s">
        <v>115</v>
      </c>
      <c r="D71" s="33" t="s">
        <v>64</v>
      </c>
      <c r="E71" s="33" t="s">
        <v>65</v>
      </c>
      <c r="F71" s="33" t="s">
        <v>40</v>
      </c>
      <c r="G71" s="33" t="s">
        <v>41</v>
      </c>
      <c r="H71" s="33" t="s">
        <v>42</v>
      </c>
      <c r="I71" s="33" t="s">
        <v>323</v>
      </c>
      <c r="J71" s="33">
        <v>433</v>
      </c>
      <c r="K71" s="33">
        <v>728</v>
      </c>
      <c r="L71" s="33"/>
      <c r="M71" s="33" t="s">
        <v>44</v>
      </c>
      <c r="N71" s="33">
        <v>205</v>
      </c>
      <c r="O71" s="33">
        <v>176</v>
      </c>
      <c r="P71" s="33" t="s">
        <v>28</v>
      </c>
      <c r="Q71" s="33">
        <v>0</v>
      </c>
    </row>
    <row r="72" spans="1:17">
      <c r="A72" s="37" t="s">
        <v>324</v>
      </c>
      <c r="B72" s="37" t="s">
        <v>325</v>
      </c>
      <c r="C72" s="37" t="s">
        <v>20</v>
      </c>
      <c r="D72" s="37" t="s">
        <v>40</v>
      </c>
      <c r="E72" s="37" t="s">
        <v>41</v>
      </c>
      <c r="F72" s="37" t="s">
        <v>54</v>
      </c>
      <c r="G72" s="37" t="s">
        <v>55</v>
      </c>
      <c r="H72" s="37" t="s">
        <v>42</v>
      </c>
      <c r="I72" s="37" t="s">
        <v>326</v>
      </c>
      <c r="J72" s="37">
        <v>255</v>
      </c>
      <c r="K72" s="37">
        <v>774</v>
      </c>
      <c r="L72" s="37">
        <v>1166.6099999999999</v>
      </c>
      <c r="M72" s="37" t="s">
        <v>44</v>
      </c>
      <c r="N72" s="37">
        <v>321</v>
      </c>
      <c r="O72" s="37">
        <v>313</v>
      </c>
      <c r="P72" s="37" t="s">
        <v>70</v>
      </c>
      <c r="Q72" s="37">
        <v>15</v>
      </c>
    </row>
    <row r="73" spans="1:17">
      <c r="A73" s="33" t="s">
        <v>327</v>
      </c>
      <c r="B73" s="33" t="s">
        <v>72</v>
      </c>
      <c r="C73" s="33" t="s">
        <v>73</v>
      </c>
      <c r="D73" s="33" t="s">
        <v>56</v>
      </c>
      <c r="E73" s="33" t="s">
        <v>57</v>
      </c>
      <c r="F73" s="33" t="s">
        <v>23</v>
      </c>
      <c r="G73" s="33" t="s">
        <v>24</v>
      </c>
      <c r="H73" s="33" t="s">
        <v>90</v>
      </c>
      <c r="I73" s="33" t="s">
        <v>328</v>
      </c>
      <c r="J73" s="33">
        <v>408</v>
      </c>
      <c r="K73" s="33">
        <v>2341</v>
      </c>
      <c r="L73" s="33">
        <v>780.46</v>
      </c>
      <c r="M73" s="33" t="s">
        <v>60</v>
      </c>
      <c r="N73" s="33">
        <v>152</v>
      </c>
      <c r="O73" s="33">
        <v>84</v>
      </c>
      <c r="P73" s="33" t="s">
        <v>28</v>
      </c>
      <c r="Q73" s="33">
        <v>0</v>
      </c>
    </row>
    <row r="74" spans="1:17">
      <c r="A74" s="37" t="s">
        <v>329</v>
      </c>
      <c r="B74" s="37" t="s">
        <v>330</v>
      </c>
      <c r="C74" s="37" t="s">
        <v>115</v>
      </c>
      <c r="D74" s="37" t="s">
        <v>79</v>
      </c>
      <c r="E74" s="37" t="s">
        <v>80</v>
      </c>
      <c r="F74" s="37" t="s">
        <v>197</v>
      </c>
      <c r="G74" s="37" t="s">
        <v>198</v>
      </c>
      <c r="H74" s="37" t="s">
        <v>252</v>
      </c>
      <c r="I74" s="37" t="s">
        <v>331</v>
      </c>
      <c r="J74" s="37">
        <v>453</v>
      </c>
      <c r="K74" s="37">
        <v>948</v>
      </c>
      <c r="L74" s="37">
        <v>428.04</v>
      </c>
      <c r="M74" s="37" t="s">
        <v>60</v>
      </c>
      <c r="N74" s="37">
        <v>241</v>
      </c>
      <c r="O74" s="37">
        <v>154</v>
      </c>
      <c r="P74" s="37" t="s">
        <v>28</v>
      </c>
      <c r="Q74" s="37">
        <v>0</v>
      </c>
    </row>
    <row r="75" spans="1:17">
      <c r="A75" s="33" t="s">
        <v>332</v>
      </c>
      <c r="B75" s="33" t="s">
        <v>333</v>
      </c>
      <c r="C75" s="33" t="s">
        <v>115</v>
      </c>
      <c r="D75" s="33" t="s">
        <v>197</v>
      </c>
      <c r="E75" s="33" t="s">
        <v>198</v>
      </c>
      <c r="F75" s="33" t="s">
        <v>38</v>
      </c>
      <c r="G75" s="33" t="s">
        <v>39</v>
      </c>
      <c r="H75" s="33" t="s">
        <v>334</v>
      </c>
      <c r="I75" s="33" t="s">
        <v>335</v>
      </c>
      <c r="J75" s="33">
        <v>350</v>
      </c>
      <c r="K75" s="33">
        <v>1419</v>
      </c>
      <c r="L75" s="33">
        <v>545.35</v>
      </c>
      <c r="M75" s="33" t="s">
        <v>44</v>
      </c>
      <c r="N75" s="33">
        <v>350</v>
      </c>
      <c r="O75" s="33">
        <v>291</v>
      </c>
      <c r="P75" s="33" t="s">
        <v>28</v>
      </c>
      <c r="Q75" s="33">
        <v>0</v>
      </c>
    </row>
    <row r="76" spans="1:17">
      <c r="A76" s="37" t="s">
        <v>336</v>
      </c>
      <c r="B76" s="37" t="s">
        <v>337</v>
      </c>
      <c r="C76" s="37" t="s">
        <v>73</v>
      </c>
      <c r="D76" s="37" t="s">
        <v>183</v>
      </c>
      <c r="E76" s="37" t="s">
        <v>184</v>
      </c>
      <c r="F76" s="37" t="s">
        <v>32</v>
      </c>
      <c r="G76" s="37" t="s">
        <v>33</v>
      </c>
      <c r="H76" s="37" t="s">
        <v>338</v>
      </c>
      <c r="I76" s="37" t="s">
        <v>339</v>
      </c>
      <c r="J76" s="37">
        <v>125</v>
      </c>
      <c r="K76" s="37">
        <v>1431</v>
      </c>
      <c r="L76" s="37"/>
      <c r="M76" s="37" t="s">
        <v>44</v>
      </c>
      <c r="N76" s="37">
        <v>187</v>
      </c>
      <c r="O76" s="37">
        <v>179</v>
      </c>
      <c r="P76" s="37" t="s">
        <v>28</v>
      </c>
      <c r="Q76" s="37">
        <v>0</v>
      </c>
    </row>
    <row r="77" spans="1:17">
      <c r="A77" s="33" t="s">
        <v>340</v>
      </c>
      <c r="B77" s="33" t="s">
        <v>341</v>
      </c>
      <c r="C77" s="33" t="s">
        <v>192</v>
      </c>
      <c r="D77" s="33" t="s">
        <v>95</v>
      </c>
      <c r="E77" s="33" t="s">
        <v>96</v>
      </c>
      <c r="F77" s="33" t="s">
        <v>48</v>
      </c>
      <c r="G77" s="33" t="s">
        <v>49</v>
      </c>
      <c r="H77" s="33" t="s">
        <v>342</v>
      </c>
      <c r="I77" s="33" t="s">
        <v>343</v>
      </c>
      <c r="J77" s="33">
        <v>166</v>
      </c>
      <c r="K77" s="33">
        <v>2129</v>
      </c>
      <c r="L77" s="33">
        <v>683.21</v>
      </c>
      <c r="M77" s="33" t="s">
        <v>44</v>
      </c>
      <c r="N77" s="33">
        <v>185</v>
      </c>
      <c r="O77" s="33">
        <v>146</v>
      </c>
      <c r="P77" s="33" t="s">
        <v>28</v>
      </c>
      <c r="Q77" s="33">
        <v>0</v>
      </c>
    </row>
    <row r="78" spans="1:17">
      <c r="A78" s="37" t="s">
        <v>344</v>
      </c>
      <c r="B78" s="37" t="s">
        <v>212</v>
      </c>
      <c r="C78" s="37" t="s">
        <v>31</v>
      </c>
      <c r="D78" s="37" t="s">
        <v>23</v>
      </c>
      <c r="E78" s="37" t="s">
        <v>24</v>
      </c>
      <c r="F78" s="37" t="s">
        <v>48</v>
      </c>
      <c r="G78" s="37" t="s">
        <v>49</v>
      </c>
      <c r="H78" s="37" t="s">
        <v>279</v>
      </c>
      <c r="I78" s="37" t="s">
        <v>202</v>
      </c>
      <c r="J78" s="37">
        <v>300</v>
      </c>
      <c r="K78" s="37">
        <v>478</v>
      </c>
      <c r="L78" s="37">
        <v>436.36</v>
      </c>
      <c r="M78" s="37" t="s">
        <v>44</v>
      </c>
      <c r="N78" s="37">
        <v>280</v>
      </c>
      <c r="O78" s="37">
        <v>257</v>
      </c>
      <c r="P78" s="37" t="s">
        <v>28</v>
      </c>
      <c r="Q78" s="37">
        <v>0</v>
      </c>
    </row>
    <row r="79" spans="1:17">
      <c r="A79" s="33" t="s">
        <v>345</v>
      </c>
      <c r="B79" s="33" t="s">
        <v>346</v>
      </c>
      <c r="C79" s="33" t="s">
        <v>115</v>
      </c>
      <c r="D79" s="33" t="s">
        <v>56</v>
      </c>
      <c r="E79" s="33" t="s">
        <v>57</v>
      </c>
      <c r="F79" s="33" t="s">
        <v>38</v>
      </c>
      <c r="G79" s="33" t="s">
        <v>39</v>
      </c>
      <c r="H79" s="33" t="s">
        <v>90</v>
      </c>
      <c r="I79" s="33" t="s">
        <v>347</v>
      </c>
      <c r="J79" s="33">
        <v>141</v>
      </c>
      <c r="K79" s="33">
        <v>2103</v>
      </c>
      <c r="L79" s="33">
        <v>191.68</v>
      </c>
      <c r="M79" s="33" t="s">
        <v>44</v>
      </c>
      <c r="N79" s="33">
        <v>103</v>
      </c>
      <c r="O79" s="33"/>
      <c r="P79" s="33" t="s">
        <v>28</v>
      </c>
      <c r="Q79" s="33"/>
    </row>
    <row r="80" spans="1:17">
      <c r="A80" s="37" t="s">
        <v>348</v>
      </c>
      <c r="B80" s="37" t="s">
        <v>182</v>
      </c>
      <c r="C80" s="37" t="s">
        <v>94</v>
      </c>
      <c r="D80" s="37" t="s">
        <v>79</v>
      </c>
      <c r="E80" s="37" t="s">
        <v>80</v>
      </c>
      <c r="F80" s="37" t="s">
        <v>21</v>
      </c>
      <c r="G80" s="37" t="s">
        <v>22</v>
      </c>
      <c r="H80" s="37" t="s">
        <v>248</v>
      </c>
      <c r="I80" s="37" t="s">
        <v>349</v>
      </c>
      <c r="J80" s="37">
        <v>422</v>
      </c>
      <c r="K80" s="37">
        <v>628</v>
      </c>
      <c r="L80" s="37">
        <v>1033.98</v>
      </c>
      <c r="M80" s="37" t="s">
        <v>27</v>
      </c>
      <c r="N80" s="37">
        <v>319</v>
      </c>
      <c r="O80" s="37">
        <v>244</v>
      </c>
      <c r="P80" s="37" t="s">
        <v>350</v>
      </c>
      <c r="Q80" s="37">
        <v>0</v>
      </c>
    </row>
    <row r="81" spans="1:17">
      <c r="A81" s="33" t="s">
        <v>351</v>
      </c>
      <c r="B81" s="33" t="s">
        <v>239</v>
      </c>
      <c r="C81" s="33" t="s">
        <v>20</v>
      </c>
      <c r="D81" s="33" t="s">
        <v>48</v>
      </c>
      <c r="E81" s="33" t="s">
        <v>49</v>
      </c>
      <c r="F81" s="33" t="s">
        <v>54</v>
      </c>
      <c r="G81" s="33" t="s">
        <v>55</v>
      </c>
      <c r="H81" s="33" t="s">
        <v>75</v>
      </c>
      <c r="I81" s="33" t="s">
        <v>352</v>
      </c>
      <c r="J81" s="33">
        <v>206</v>
      </c>
      <c r="K81" s="33">
        <v>670</v>
      </c>
      <c r="L81" s="33">
        <v>566.04999999999995</v>
      </c>
      <c r="M81" s="33" t="s">
        <v>60</v>
      </c>
      <c r="N81" s="33">
        <v>294</v>
      </c>
      <c r="O81" s="33"/>
      <c r="P81" s="33" t="s">
        <v>70</v>
      </c>
      <c r="Q81" s="33">
        <v>40</v>
      </c>
    </row>
    <row r="82" spans="1:17">
      <c r="A82" s="37" t="s">
        <v>353</v>
      </c>
      <c r="B82" s="37" t="s">
        <v>354</v>
      </c>
      <c r="C82" s="37" t="s">
        <v>63</v>
      </c>
      <c r="D82" s="37" t="s">
        <v>95</v>
      </c>
      <c r="E82" s="37" t="s">
        <v>96</v>
      </c>
      <c r="F82" s="37" t="s">
        <v>174</v>
      </c>
      <c r="G82" s="37" t="s">
        <v>175</v>
      </c>
      <c r="H82" s="37" t="s">
        <v>179</v>
      </c>
      <c r="I82" s="37" t="s">
        <v>355</v>
      </c>
      <c r="J82" s="37">
        <v>118</v>
      </c>
      <c r="K82" s="37">
        <v>1501</v>
      </c>
      <c r="L82" s="37">
        <v>481.48</v>
      </c>
      <c r="M82" s="37" t="s">
        <v>44</v>
      </c>
      <c r="N82" s="37">
        <v>137</v>
      </c>
      <c r="O82" s="37">
        <v>81</v>
      </c>
      <c r="P82" s="37" t="s">
        <v>28</v>
      </c>
      <c r="Q82" s="37">
        <v>0</v>
      </c>
    </row>
    <row r="83" spans="1:17">
      <c r="A83" s="33" t="s">
        <v>356</v>
      </c>
      <c r="B83" s="33" t="s">
        <v>357</v>
      </c>
      <c r="C83" s="33" t="s">
        <v>63</v>
      </c>
      <c r="D83" s="33" t="s">
        <v>38</v>
      </c>
      <c r="E83" s="33" t="s">
        <v>39</v>
      </c>
      <c r="F83" s="33" t="s">
        <v>54</v>
      </c>
      <c r="G83" s="33" t="s">
        <v>55</v>
      </c>
      <c r="H83" s="33" t="s">
        <v>111</v>
      </c>
      <c r="I83" s="33" t="s">
        <v>358</v>
      </c>
      <c r="J83" s="33">
        <v>407</v>
      </c>
      <c r="K83" s="33">
        <v>1286</v>
      </c>
      <c r="L83" s="33">
        <v>637.39</v>
      </c>
      <c r="M83" s="33" t="s">
        <v>27</v>
      </c>
      <c r="N83" s="33">
        <v>136</v>
      </c>
      <c r="O83" s="33">
        <v>79</v>
      </c>
      <c r="P83" s="33" t="s">
        <v>28</v>
      </c>
      <c r="Q83" s="33">
        <v>0</v>
      </c>
    </row>
    <row r="84" spans="1:17">
      <c r="A84" s="37" t="s">
        <v>359</v>
      </c>
      <c r="B84" s="37" t="s">
        <v>360</v>
      </c>
      <c r="C84" s="37" t="s">
        <v>115</v>
      </c>
      <c r="D84" s="37" t="s">
        <v>21</v>
      </c>
      <c r="E84" s="37" t="s">
        <v>22</v>
      </c>
      <c r="F84" s="37" t="s">
        <v>174</v>
      </c>
      <c r="G84" s="37" t="s">
        <v>175</v>
      </c>
      <c r="H84" s="37" t="s">
        <v>361</v>
      </c>
      <c r="I84" s="37" t="s">
        <v>362</v>
      </c>
      <c r="J84" s="37">
        <v>436</v>
      </c>
      <c r="K84" s="37">
        <v>2538</v>
      </c>
      <c r="L84" s="37">
        <v>256.93</v>
      </c>
      <c r="M84" s="37" t="s">
        <v>44</v>
      </c>
      <c r="N84" s="37">
        <v>341</v>
      </c>
      <c r="O84" s="37">
        <v>226</v>
      </c>
      <c r="P84" s="37" t="s">
        <v>149</v>
      </c>
      <c r="Q84" s="37">
        <v>0</v>
      </c>
    </row>
    <row r="85" spans="1:17">
      <c r="A85" s="33" t="s">
        <v>363</v>
      </c>
      <c r="B85" s="33" t="s">
        <v>364</v>
      </c>
      <c r="C85" s="33" t="s">
        <v>85</v>
      </c>
      <c r="D85" s="33" t="s">
        <v>21</v>
      </c>
      <c r="E85" s="33" t="s">
        <v>22</v>
      </c>
      <c r="F85" s="33" t="s">
        <v>79</v>
      </c>
      <c r="G85" s="33" t="s">
        <v>80</v>
      </c>
      <c r="H85" s="33" t="s">
        <v>143</v>
      </c>
      <c r="I85" s="33" t="s">
        <v>365</v>
      </c>
      <c r="J85" s="33">
        <v>286</v>
      </c>
      <c r="K85" s="33">
        <v>2279</v>
      </c>
      <c r="L85" s="33">
        <v>199.45</v>
      </c>
      <c r="M85" s="33"/>
      <c r="N85" s="33">
        <v>246</v>
      </c>
      <c r="O85" s="33">
        <v>141</v>
      </c>
      <c r="P85" s="33" t="s">
        <v>28</v>
      </c>
      <c r="Q85" s="33">
        <v>0</v>
      </c>
    </row>
    <row r="86" spans="1:17">
      <c r="A86" s="37" t="s">
        <v>366</v>
      </c>
      <c r="B86" s="37" t="s">
        <v>367</v>
      </c>
      <c r="C86" s="37" t="s">
        <v>20</v>
      </c>
      <c r="D86" s="37" t="s">
        <v>66</v>
      </c>
      <c r="E86" s="37" t="s">
        <v>67</v>
      </c>
      <c r="F86" s="37" t="s">
        <v>21</v>
      </c>
      <c r="G86" s="37" t="s">
        <v>22</v>
      </c>
      <c r="H86" s="37" t="s">
        <v>317</v>
      </c>
      <c r="I86" s="37" t="s">
        <v>119</v>
      </c>
      <c r="J86" s="37">
        <v>400</v>
      </c>
      <c r="K86" s="37">
        <v>2334</v>
      </c>
      <c r="L86" s="37">
        <v>1012.78</v>
      </c>
      <c r="M86" s="37" t="s">
        <v>44</v>
      </c>
      <c r="N86" s="37">
        <v>298</v>
      </c>
      <c r="O86" s="37">
        <v>254</v>
      </c>
      <c r="P86" s="37" t="s">
        <v>28</v>
      </c>
      <c r="Q86" s="37">
        <v>0</v>
      </c>
    </row>
    <row r="87" spans="1:17">
      <c r="A87" s="33" t="s">
        <v>368</v>
      </c>
      <c r="B87" s="33" t="s">
        <v>369</v>
      </c>
      <c r="C87" s="33" t="s">
        <v>31</v>
      </c>
      <c r="D87" s="33" t="s">
        <v>183</v>
      </c>
      <c r="E87" s="33" t="s">
        <v>184</v>
      </c>
      <c r="F87" s="33" t="s">
        <v>95</v>
      </c>
      <c r="G87" s="33" t="s">
        <v>96</v>
      </c>
      <c r="H87" s="33" t="s">
        <v>58</v>
      </c>
      <c r="I87" s="33" t="s">
        <v>370</v>
      </c>
      <c r="J87" s="33">
        <v>411</v>
      </c>
      <c r="K87" s="33">
        <v>697</v>
      </c>
      <c r="L87" s="33"/>
      <c r="M87" s="33" t="s">
        <v>27</v>
      </c>
      <c r="N87" s="33">
        <v>110</v>
      </c>
      <c r="O87" s="33">
        <v>69</v>
      </c>
      <c r="P87" s="33" t="s">
        <v>70</v>
      </c>
      <c r="Q87" s="33">
        <v>23</v>
      </c>
    </row>
    <row r="88" spans="1:17">
      <c r="A88" s="37" t="s">
        <v>371</v>
      </c>
      <c r="B88" s="37" t="s">
        <v>62</v>
      </c>
      <c r="C88" s="37" t="s">
        <v>63</v>
      </c>
      <c r="D88" s="37" t="s">
        <v>54</v>
      </c>
      <c r="E88" s="37" t="s">
        <v>55</v>
      </c>
      <c r="F88" s="37" t="s">
        <v>156</v>
      </c>
      <c r="G88" s="37" t="s">
        <v>157</v>
      </c>
      <c r="H88" s="37" t="s">
        <v>248</v>
      </c>
      <c r="I88" s="37" t="s">
        <v>372</v>
      </c>
      <c r="J88" s="37">
        <v>179</v>
      </c>
      <c r="K88" s="37">
        <v>1122</v>
      </c>
      <c r="L88" s="37">
        <v>228.02</v>
      </c>
      <c r="M88" s="37" t="s">
        <v>27</v>
      </c>
      <c r="N88" s="37">
        <v>324</v>
      </c>
      <c r="O88" s="37">
        <v>237</v>
      </c>
      <c r="P88" s="37" t="s">
        <v>28</v>
      </c>
      <c r="Q88" s="37">
        <v>0</v>
      </c>
    </row>
    <row r="89" spans="1:17">
      <c r="A89" s="33" t="s">
        <v>373</v>
      </c>
      <c r="B89" s="33" t="s">
        <v>374</v>
      </c>
      <c r="C89" s="33" t="s">
        <v>63</v>
      </c>
      <c r="D89" s="33" t="s">
        <v>21</v>
      </c>
      <c r="E89" s="33" t="s">
        <v>22</v>
      </c>
      <c r="F89" s="33" t="s">
        <v>116</v>
      </c>
      <c r="G89" s="33" t="s">
        <v>117</v>
      </c>
      <c r="H89" s="33" t="s">
        <v>283</v>
      </c>
      <c r="I89" s="33" t="s">
        <v>375</v>
      </c>
      <c r="J89" s="33">
        <v>148</v>
      </c>
      <c r="K89" s="33">
        <v>2218</v>
      </c>
      <c r="L89" s="33">
        <v>1158.44</v>
      </c>
      <c r="M89" s="33" t="s">
        <v>60</v>
      </c>
      <c r="N89" s="33">
        <v>293</v>
      </c>
      <c r="O89" s="33">
        <v>107</v>
      </c>
      <c r="P89" s="33" t="s">
        <v>70</v>
      </c>
      <c r="Q89" s="33">
        <v>116</v>
      </c>
    </row>
    <row r="90" spans="1:17">
      <c r="A90" s="37" t="s">
        <v>376</v>
      </c>
      <c r="B90" s="37" t="s">
        <v>377</v>
      </c>
      <c r="C90" s="37" t="s">
        <v>94</v>
      </c>
      <c r="D90" s="37" t="s">
        <v>66</v>
      </c>
      <c r="E90" s="37" t="s">
        <v>67</v>
      </c>
      <c r="F90" s="37" t="s">
        <v>174</v>
      </c>
      <c r="G90" s="37" t="s">
        <v>175</v>
      </c>
      <c r="H90" s="37" t="s">
        <v>378</v>
      </c>
      <c r="I90" s="37" t="s">
        <v>379</v>
      </c>
      <c r="J90" s="37">
        <v>322</v>
      </c>
      <c r="K90" s="37">
        <v>1809</v>
      </c>
      <c r="L90" s="37">
        <v>833.57</v>
      </c>
      <c r="M90" s="37" t="s">
        <v>27</v>
      </c>
      <c r="N90" s="37">
        <v>167</v>
      </c>
      <c r="O90" s="37">
        <v>124</v>
      </c>
      <c r="P90" s="37" t="s">
        <v>28</v>
      </c>
      <c r="Q90" s="37">
        <v>0</v>
      </c>
    </row>
    <row r="91" spans="1:17">
      <c r="A91" s="33" t="s">
        <v>380</v>
      </c>
      <c r="B91" s="33" t="s">
        <v>381</v>
      </c>
      <c r="C91" s="33" t="s">
        <v>94</v>
      </c>
      <c r="D91" s="33" t="s">
        <v>23</v>
      </c>
      <c r="E91" s="33" t="s">
        <v>24</v>
      </c>
      <c r="F91" s="33" t="s">
        <v>116</v>
      </c>
      <c r="G91" s="33" t="s">
        <v>117</v>
      </c>
      <c r="H91" s="33" t="s">
        <v>382</v>
      </c>
      <c r="I91" s="33" t="s">
        <v>383</v>
      </c>
      <c r="J91" s="33">
        <v>402</v>
      </c>
      <c r="K91" s="33">
        <v>1206</v>
      </c>
      <c r="L91" s="33">
        <v>805.37</v>
      </c>
      <c r="M91" s="33" t="s">
        <v>27</v>
      </c>
      <c r="N91" s="33">
        <v>310</v>
      </c>
      <c r="O91" s="33">
        <v>287</v>
      </c>
      <c r="P91" s="33" t="s">
        <v>70</v>
      </c>
      <c r="Q91" s="33">
        <v>92</v>
      </c>
    </row>
    <row r="92" spans="1:17">
      <c r="A92" s="37" t="s">
        <v>384</v>
      </c>
      <c r="B92" s="37" t="s">
        <v>385</v>
      </c>
      <c r="C92" s="37" t="s">
        <v>94</v>
      </c>
      <c r="D92" s="37" t="s">
        <v>101</v>
      </c>
      <c r="E92" s="37" t="s">
        <v>102</v>
      </c>
      <c r="F92" s="37" t="s">
        <v>56</v>
      </c>
      <c r="G92" s="37" t="s">
        <v>57</v>
      </c>
      <c r="H92" s="37" t="s">
        <v>179</v>
      </c>
      <c r="I92" s="37" t="s">
        <v>383</v>
      </c>
      <c r="J92" s="37">
        <v>342</v>
      </c>
      <c r="K92" s="37">
        <v>775</v>
      </c>
      <c r="L92" s="37">
        <v>188.86</v>
      </c>
      <c r="M92" s="37" t="s">
        <v>27</v>
      </c>
      <c r="N92" s="37">
        <v>134</v>
      </c>
      <c r="O92" s="37">
        <v>99</v>
      </c>
      <c r="P92" s="37" t="s">
        <v>28</v>
      </c>
      <c r="Q92" s="37">
        <v>0</v>
      </c>
    </row>
    <row r="93" spans="1:17">
      <c r="A93" s="33" t="s">
        <v>386</v>
      </c>
      <c r="B93" s="33" t="s">
        <v>387</v>
      </c>
      <c r="C93" s="33" t="s">
        <v>388</v>
      </c>
      <c r="D93" s="33" t="s">
        <v>129</v>
      </c>
      <c r="E93" s="33" t="s">
        <v>130</v>
      </c>
      <c r="F93" s="33" t="s">
        <v>197</v>
      </c>
      <c r="G93" s="33" t="s">
        <v>198</v>
      </c>
      <c r="H93" s="33" t="s">
        <v>389</v>
      </c>
      <c r="I93" s="33" t="s">
        <v>390</v>
      </c>
      <c r="J93" s="33">
        <v>233</v>
      </c>
      <c r="K93" s="33">
        <v>434</v>
      </c>
      <c r="L93" s="33">
        <v>853.11</v>
      </c>
      <c r="M93" s="33" t="s">
        <v>60</v>
      </c>
      <c r="N93" s="33">
        <v>213</v>
      </c>
      <c r="O93" s="33"/>
      <c r="P93" s="33" t="s">
        <v>149</v>
      </c>
      <c r="Q93" s="33">
        <v>0</v>
      </c>
    </row>
    <row r="94" spans="1:17">
      <c r="A94" s="37" t="s">
        <v>391</v>
      </c>
      <c r="B94" s="37" t="s">
        <v>392</v>
      </c>
      <c r="C94" s="37" t="s">
        <v>94</v>
      </c>
      <c r="D94" s="37" t="s">
        <v>64</v>
      </c>
      <c r="E94" s="37" t="s">
        <v>65</v>
      </c>
      <c r="F94" s="37" t="s">
        <v>54</v>
      </c>
      <c r="G94" s="37" t="s">
        <v>74</v>
      </c>
      <c r="H94" s="37" t="s">
        <v>393</v>
      </c>
      <c r="I94" s="37" t="s">
        <v>394</v>
      </c>
      <c r="J94" s="37">
        <v>121</v>
      </c>
      <c r="K94" s="37">
        <v>1930</v>
      </c>
      <c r="L94" s="37">
        <v>388.99</v>
      </c>
      <c r="M94" s="37" t="s">
        <v>60</v>
      </c>
      <c r="N94" s="37">
        <v>342</v>
      </c>
      <c r="O94" s="37">
        <v>282</v>
      </c>
      <c r="P94" s="37" t="s">
        <v>28</v>
      </c>
      <c r="Q94" s="37">
        <v>0</v>
      </c>
    </row>
    <row r="95" spans="1:17">
      <c r="A95" s="33" t="s">
        <v>395</v>
      </c>
      <c r="B95" s="33" t="s">
        <v>396</v>
      </c>
      <c r="C95" s="33" t="s">
        <v>20</v>
      </c>
      <c r="D95" s="33" t="s">
        <v>56</v>
      </c>
      <c r="E95" s="33" t="s">
        <v>57</v>
      </c>
      <c r="F95" s="33" t="s">
        <v>64</v>
      </c>
      <c r="G95" s="33" t="s">
        <v>65</v>
      </c>
      <c r="H95" s="33" t="s">
        <v>25</v>
      </c>
      <c r="I95" s="33" t="s">
        <v>397</v>
      </c>
      <c r="J95" s="33">
        <v>379</v>
      </c>
      <c r="K95" s="33">
        <v>1140</v>
      </c>
      <c r="L95" s="33">
        <v>156.84</v>
      </c>
      <c r="M95" s="33" t="s">
        <v>27</v>
      </c>
      <c r="N95" s="33">
        <v>153</v>
      </c>
      <c r="O95" s="33">
        <v>125</v>
      </c>
      <c r="P95" s="33" t="s">
        <v>28</v>
      </c>
      <c r="Q95" s="33">
        <v>0</v>
      </c>
    </row>
    <row r="96" spans="1:17">
      <c r="A96" s="37" t="s">
        <v>398</v>
      </c>
      <c r="B96" s="37" t="s">
        <v>399</v>
      </c>
      <c r="C96" s="37" t="s">
        <v>47</v>
      </c>
      <c r="D96" s="37" t="s">
        <v>101</v>
      </c>
      <c r="E96" s="37" t="s">
        <v>102</v>
      </c>
      <c r="F96" s="37" t="s">
        <v>174</v>
      </c>
      <c r="G96" s="37" t="s">
        <v>175</v>
      </c>
      <c r="H96" s="37" t="s">
        <v>400</v>
      </c>
      <c r="I96" s="37" t="s">
        <v>288</v>
      </c>
      <c r="J96" s="37">
        <v>156</v>
      </c>
      <c r="K96" s="37">
        <v>2512</v>
      </c>
      <c r="L96" s="37">
        <v>360.73</v>
      </c>
      <c r="M96" s="37" t="s">
        <v>60</v>
      </c>
      <c r="N96" s="37">
        <v>128</v>
      </c>
      <c r="O96" s="37">
        <v>53</v>
      </c>
      <c r="P96" s="37" t="s">
        <v>28</v>
      </c>
      <c r="Q96" s="37">
        <v>0</v>
      </c>
    </row>
    <row r="97" spans="1:17">
      <c r="A97" s="33" t="s">
        <v>401</v>
      </c>
      <c r="B97" s="33" t="s">
        <v>402</v>
      </c>
      <c r="C97" s="33" t="s">
        <v>31</v>
      </c>
      <c r="D97" s="33" t="s">
        <v>54</v>
      </c>
      <c r="E97" s="33" t="s">
        <v>74</v>
      </c>
      <c r="F97" s="33" t="s">
        <v>156</v>
      </c>
      <c r="G97" s="33" t="s">
        <v>157</v>
      </c>
      <c r="H97" s="33" t="s">
        <v>252</v>
      </c>
      <c r="I97" s="33" t="s">
        <v>403</v>
      </c>
      <c r="J97" s="33">
        <v>225</v>
      </c>
      <c r="K97" s="33">
        <v>514</v>
      </c>
      <c r="L97" s="33">
        <v>221.97</v>
      </c>
      <c r="M97" s="33" t="s">
        <v>44</v>
      </c>
      <c r="N97" s="33">
        <v>234</v>
      </c>
      <c r="O97" s="33">
        <v>79</v>
      </c>
      <c r="P97" s="33" t="s">
        <v>70</v>
      </c>
      <c r="Q97" s="33">
        <v>136</v>
      </c>
    </row>
    <row r="98" spans="1:17">
      <c r="A98" s="37" t="s">
        <v>404</v>
      </c>
      <c r="B98" s="37" t="s">
        <v>405</v>
      </c>
      <c r="C98" s="37" t="s">
        <v>47</v>
      </c>
      <c r="D98" s="37" t="s">
        <v>116</v>
      </c>
      <c r="E98" s="37" t="s">
        <v>117</v>
      </c>
      <c r="F98" s="37" t="s">
        <v>48</v>
      </c>
      <c r="G98" s="37" t="s">
        <v>49</v>
      </c>
      <c r="H98" s="37" t="s">
        <v>406</v>
      </c>
      <c r="I98" s="37" t="s">
        <v>407</v>
      </c>
      <c r="J98" s="37">
        <v>347</v>
      </c>
      <c r="K98" s="37">
        <v>1207</v>
      </c>
      <c r="L98" s="37">
        <v>1138.8699999999999</v>
      </c>
      <c r="M98" s="37" t="s">
        <v>60</v>
      </c>
      <c r="N98" s="37">
        <v>286</v>
      </c>
      <c r="O98" s="37">
        <v>250</v>
      </c>
      <c r="P98" s="37" t="s">
        <v>408</v>
      </c>
      <c r="Q98" s="37">
        <v>148</v>
      </c>
    </row>
    <row r="99" spans="1:17">
      <c r="A99" s="33" t="s">
        <v>409</v>
      </c>
      <c r="B99" s="33" t="s">
        <v>410</v>
      </c>
      <c r="C99" s="33" t="s">
        <v>115</v>
      </c>
      <c r="D99" s="33" t="s">
        <v>174</v>
      </c>
      <c r="E99" s="33" t="s">
        <v>175</v>
      </c>
      <c r="F99" s="33" t="s">
        <v>54</v>
      </c>
      <c r="G99" s="33" t="s">
        <v>55</v>
      </c>
      <c r="H99" s="33" t="s">
        <v>389</v>
      </c>
      <c r="I99" s="33" t="s">
        <v>411</v>
      </c>
      <c r="J99" s="33">
        <v>308</v>
      </c>
      <c r="K99" s="33">
        <v>742</v>
      </c>
      <c r="L99" s="33">
        <v>629.1</v>
      </c>
      <c r="M99" s="33" t="s">
        <v>44</v>
      </c>
      <c r="N99" s="33">
        <v>118</v>
      </c>
      <c r="O99" s="33">
        <v>60</v>
      </c>
      <c r="P99" s="33" t="s">
        <v>28</v>
      </c>
      <c r="Q99" s="33">
        <v>0</v>
      </c>
    </row>
    <row r="100" spans="1:17">
      <c r="A100" s="37" t="s">
        <v>412</v>
      </c>
      <c r="B100" s="37" t="s">
        <v>413</v>
      </c>
      <c r="C100" s="37" t="s">
        <v>94</v>
      </c>
      <c r="D100" s="37" t="s">
        <v>101</v>
      </c>
      <c r="E100" s="37" t="s">
        <v>102</v>
      </c>
      <c r="F100" s="37" t="s">
        <v>95</v>
      </c>
      <c r="G100" s="37" t="s">
        <v>96</v>
      </c>
      <c r="H100" s="37" t="s">
        <v>414</v>
      </c>
      <c r="I100" s="37" t="s">
        <v>252</v>
      </c>
      <c r="J100" s="37">
        <v>285</v>
      </c>
      <c r="K100" s="37">
        <v>2746</v>
      </c>
      <c r="L100" s="37">
        <v>674.22</v>
      </c>
      <c r="M100" s="37" t="s">
        <v>44</v>
      </c>
      <c r="N100" s="37">
        <v>229</v>
      </c>
      <c r="O100" s="37">
        <v>204</v>
      </c>
      <c r="P100" s="37" t="s">
        <v>28</v>
      </c>
      <c r="Q100" s="37">
        <v>0</v>
      </c>
    </row>
    <row r="101" spans="1:17">
      <c r="A101" s="33" t="s">
        <v>415</v>
      </c>
      <c r="B101" s="33" t="s">
        <v>416</v>
      </c>
      <c r="C101" s="33" t="s">
        <v>31</v>
      </c>
      <c r="D101" s="33" t="s">
        <v>129</v>
      </c>
      <c r="E101" s="33" t="s">
        <v>130</v>
      </c>
      <c r="F101" s="33" t="s">
        <v>79</v>
      </c>
      <c r="G101" s="33" t="s">
        <v>80</v>
      </c>
      <c r="H101" s="33" t="s">
        <v>417</v>
      </c>
      <c r="I101" s="33" t="s">
        <v>418</v>
      </c>
      <c r="J101" s="33">
        <v>263</v>
      </c>
      <c r="K101" s="33">
        <v>2157</v>
      </c>
      <c r="L101" s="33">
        <v>526.58000000000004</v>
      </c>
      <c r="M101" s="33" t="s">
        <v>27</v>
      </c>
      <c r="N101" s="33">
        <v>124</v>
      </c>
      <c r="O101" s="33">
        <v>90</v>
      </c>
      <c r="P101" s="33" t="s">
        <v>28</v>
      </c>
      <c r="Q101" s="33">
        <v>0</v>
      </c>
    </row>
    <row r="102" spans="1:17">
      <c r="A102" s="37" t="s">
        <v>419</v>
      </c>
      <c r="B102" s="37" t="s">
        <v>420</v>
      </c>
      <c r="C102" s="37" t="s">
        <v>47</v>
      </c>
      <c r="D102" s="37" t="s">
        <v>101</v>
      </c>
      <c r="E102" s="37" t="s">
        <v>102</v>
      </c>
      <c r="F102" s="37" t="s">
        <v>116</v>
      </c>
      <c r="G102" s="37" t="s">
        <v>117</v>
      </c>
      <c r="H102" s="37" t="s">
        <v>107</v>
      </c>
      <c r="I102" s="37" t="s">
        <v>421</v>
      </c>
      <c r="J102" s="37">
        <v>133</v>
      </c>
      <c r="K102" s="37">
        <v>681</v>
      </c>
      <c r="L102" s="37">
        <v>563.70000000000005</v>
      </c>
      <c r="M102" s="37" t="s">
        <v>27</v>
      </c>
      <c r="N102" s="37">
        <v>289</v>
      </c>
      <c r="O102" s="37">
        <v>145</v>
      </c>
      <c r="P102" s="37" t="s">
        <v>70</v>
      </c>
      <c r="Q102" s="37">
        <v>157</v>
      </c>
    </row>
    <row r="103" spans="1:17">
      <c r="A103" s="33" t="s">
        <v>422</v>
      </c>
      <c r="B103" s="33" t="s">
        <v>423</v>
      </c>
      <c r="C103" s="33" t="s">
        <v>47</v>
      </c>
      <c r="D103" s="33" t="s">
        <v>197</v>
      </c>
      <c r="E103" s="33" t="s">
        <v>198</v>
      </c>
      <c r="F103" s="33" t="s">
        <v>40</v>
      </c>
      <c r="G103" s="33" t="s">
        <v>41</v>
      </c>
      <c r="H103" s="33" t="s">
        <v>193</v>
      </c>
      <c r="I103" s="33" t="s">
        <v>424</v>
      </c>
      <c r="J103" s="33">
        <v>459</v>
      </c>
      <c r="K103" s="33">
        <v>510</v>
      </c>
      <c r="L103" s="33">
        <v>1164.6099999999999</v>
      </c>
      <c r="M103" s="33" t="s">
        <v>27</v>
      </c>
      <c r="N103" s="33">
        <v>179</v>
      </c>
      <c r="O103" s="33">
        <v>140</v>
      </c>
      <c r="P103" s="33" t="s">
        <v>28</v>
      </c>
      <c r="Q103" s="33">
        <v>0</v>
      </c>
    </row>
    <row r="104" spans="1:17">
      <c r="A104" s="37" t="s">
        <v>425</v>
      </c>
      <c r="B104" s="37" t="s">
        <v>100</v>
      </c>
      <c r="C104" s="37" t="s">
        <v>31</v>
      </c>
      <c r="D104" s="37" t="s">
        <v>101</v>
      </c>
      <c r="E104" s="37" t="s">
        <v>102</v>
      </c>
      <c r="F104" s="37" t="s">
        <v>116</v>
      </c>
      <c r="G104" s="37" t="s">
        <v>117</v>
      </c>
      <c r="H104" s="37" t="s">
        <v>426</v>
      </c>
      <c r="I104" s="37" t="s">
        <v>427</v>
      </c>
      <c r="J104" s="37">
        <v>269</v>
      </c>
      <c r="K104" s="37">
        <v>2578</v>
      </c>
      <c r="L104" s="37">
        <v>491.67</v>
      </c>
      <c r="M104" s="37" t="s">
        <v>44</v>
      </c>
      <c r="N104" s="37">
        <v>246</v>
      </c>
      <c r="O104" s="37"/>
      <c r="P104" s="37" t="s">
        <v>70</v>
      </c>
      <c r="Q104" s="37">
        <v>158</v>
      </c>
    </row>
    <row r="105" spans="1:17">
      <c r="A105" s="33" t="s">
        <v>428</v>
      </c>
      <c r="B105" s="33" t="s">
        <v>429</v>
      </c>
      <c r="C105" s="33" t="s">
        <v>192</v>
      </c>
      <c r="D105" s="33" t="s">
        <v>174</v>
      </c>
      <c r="E105" s="33" t="s">
        <v>175</v>
      </c>
      <c r="F105" s="33" t="s">
        <v>183</v>
      </c>
      <c r="G105" s="33" t="s">
        <v>184</v>
      </c>
      <c r="H105" s="33" t="s">
        <v>287</v>
      </c>
      <c r="I105" s="33" t="s">
        <v>430</v>
      </c>
      <c r="J105" s="33">
        <v>263</v>
      </c>
      <c r="K105" s="33">
        <v>1737</v>
      </c>
      <c r="L105" s="33">
        <v>86.84</v>
      </c>
      <c r="M105" s="33" t="s">
        <v>60</v>
      </c>
      <c r="N105" s="33">
        <v>244</v>
      </c>
      <c r="O105" s="33">
        <v>218</v>
      </c>
      <c r="P105" s="33" t="s">
        <v>28</v>
      </c>
      <c r="Q105" s="33">
        <v>0</v>
      </c>
    </row>
    <row r="106" spans="1:17">
      <c r="A106" s="37" t="s">
        <v>431</v>
      </c>
      <c r="B106" s="37" t="s">
        <v>432</v>
      </c>
      <c r="C106" s="37" t="s">
        <v>20</v>
      </c>
      <c r="D106" s="37" t="s">
        <v>54</v>
      </c>
      <c r="E106" s="37" t="s">
        <v>55</v>
      </c>
      <c r="F106" s="37" t="s">
        <v>32</v>
      </c>
      <c r="G106" s="37" t="s">
        <v>33</v>
      </c>
      <c r="H106" s="37" t="s">
        <v>139</v>
      </c>
      <c r="I106" s="37" t="s">
        <v>433</v>
      </c>
      <c r="J106" s="37">
        <v>304</v>
      </c>
      <c r="K106" s="37">
        <v>2158</v>
      </c>
      <c r="L106" s="37">
        <v>461.8</v>
      </c>
      <c r="M106" s="37" t="s">
        <v>44</v>
      </c>
      <c r="N106" s="37">
        <v>179</v>
      </c>
      <c r="O106" s="37">
        <v>133</v>
      </c>
      <c r="P106" s="37" t="s">
        <v>70</v>
      </c>
      <c r="Q106" s="37">
        <v>160</v>
      </c>
    </row>
    <row r="107" spans="1:17">
      <c r="A107" s="33" t="s">
        <v>434</v>
      </c>
      <c r="B107" s="33" t="s">
        <v>435</v>
      </c>
      <c r="C107" s="33" t="s">
        <v>20</v>
      </c>
      <c r="D107" s="33" t="s">
        <v>101</v>
      </c>
      <c r="E107" s="33" t="s">
        <v>102</v>
      </c>
      <c r="F107" s="33" t="s">
        <v>183</v>
      </c>
      <c r="G107" s="33" t="s">
        <v>184</v>
      </c>
      <c r="H107" s="33" t="s">
        <v>34</v>
      </c>
      <c r="I107" s="33" t="s">
        <v>147</v>
      </c>
      <c r="J107" s="33">
        <v>435</v>
      </c>
      <c r="K107" s="33">
        <v>634</v>
      </c>
      <c r="L107" s="33"/>
      <c r="M107" s="33" t="s">
        <v>27</v>
      </c>
      <c r="N107" s="33">
        <v>208</v>
      </c>
      <c r="O107" s="33">
        <v>174</v>
      </c>
      <c r="P107" s="33" t="s">
        <v>28</v>
      </c>
      <c r="Q107" s="33">
        <v>0</v>
      </c>
    </row>
    <row r="108" spans="1:17">
      <c r="A108" s="37" t="s">
        <v>436</v>
      </c>
      <c r="B108" s="37" t="s">
        <v>437</v>
      </c>
      <c r="C108" s="37" t="s">
        <v>192</v>
      </c>
      <c r="D108" s="37" t="s">
        <v>183</v>
      </c>
      <c r="E108" s="37" t="s">
        <v>184</v>
      </c>
      <c r="F108" s="37" t="s">
        <v>32</v>
      </c>
      <c r="G108" s="37" t="s">
        <v>33</v>
      </c>
      <c r="H108" s="37" t="s">
        <v>438</v>
      </c>
      <c r="I108" s="37" t="s">
        <v>439</v>
      </c>
      <c r="J108" s="37">
        <v>310</v>
      </c>
      <c r="K108" s="37">
        <v>754</v>
      </c>
      <c r="L108" s="37">
        <v>397.24</v>
      </c>
      <c r="M108" s="37" t="s">
        <v>27</v>
      </c>
      <c r="N108" s="37">
        <v>251</v>
      </c>
      <c r="O108" s="37">
        <v>174</v>
      </c>
      <c r="P108" s="37" t="s">
        <v>28</v>
      </c>
      <c r="Q108" s="37">
        <v>0</v>
      </c>
    </row>
    <row r="109" spans="1:17">
      <c r="A109" s="33" t="s">
        <v>440</v>
      </c>
      <c r="B109" s="33" t="s">
        <v>441</v>
      </c>
      <c r="C109" s="33" t="s">
        <v>20</v>
      </c>
      <c r="D109" s="33" t="s">
        <v>23</v>
      </c>
      <c r="E109" s="33" t="s">
        <v>24</v>
      </c>
      <c r="F109" s="33" t="s">
        <v>129</v>
      </c>
      <c r="G109" s="33" t="s">
        <v>130</v>
      </c>
      <c r="H109" s="33" t="s">
        <v>34</v>
      </c>
      <c r="I109" s="33" t="s">
        <v>442</v>
      </c>
      <c r="J109" s="33">
        <v>93</v>
      </c>
      <c r="K109" s="33">
        <v>1137</v>
      </c>
      <c r="L109" s="33">
        <v>417.59</v>
      </c>
      <c r="M109" s="33" t="s">
        <v>60</v>
      </c>
      <c r="N109" s="33">
        <v>296</v>
      </c>
      <c r="O109" s="33">
        <v>85</v>
      </c>
      <c r="P109" s="33" t="s">
        <v>70</v>
      </c>
      <c r="Q109" s="33">
        <v>89</v>
      </c>
    </row>
    <row r="110" spans="1:17">
      <c r="A110" s="37" t="s">
        <v>443</v>
      </c>
      <c r="B110" s="37" t="s">
        <v>444</v>
      </c>
      <c r="C110" s="37" t="s">
        <v>94</v>
      </c>
      <c r="D110" s="37" t="s">
        <v>174</v>
      </c>
      <c r="E110" s="37" t="s">
        <v>175</v>
      </c>
      <c r="F110" s="37" t="s">
        <v>116</v>
      </c>
      <c r="G110" s="37" t="s">
        <v>117</v>
      </c>
      <c r="H110" s="37" t="s">
        <v>275</v>
      </c>
      <c r="I110" s="37" t="s">
        <v>445</v>
      </c>
      <c r="J110" s="37">
        <v>179</v>
      </c>
      <c r="K110" s="37">
        <v>829</v>
      </c>
      <c r="L110" s="37">
        <v>505.83</v>
      </c>
      <c r="M110" s="37" t="s">
        <v>27</v>
      </c>
      <c r="N110" s="37">
        <v>158</v>
      </c>
      <c r="O110" s="37">
        <v>114</v>
      </c>
      <c r="P110" s="37" t="s">
        <v>28</v>
      </c>
      <c r="Q110" s="37">
        <v>0</v>
      </c>
    </row>
    <row r="111" spans="1:17">
      <c r="A111" s="33" t="s">
        <v>446</v>
      </c>
      <c r="B111" s="33" t="s">
        <v>447</v>
      </c>
      <c r="C111" s="33" t="s">
        <v>94</v>
      </c>
      <c r="D111" s="33" t="s">
        <v>66</v>
      </c>
      <c r="E111" s="33" t="s">
        <v>67</v>
      </c>
      <c r="F111" s="33" t="s">
        <v>56</v>
      </c>
      <c r="G111" s="33" t="s">
        <v>57</v>
      </c>
      <c r="H111" s="33" t="s">
        <v>185</v>
      </c>
      <c r="I111" s="33" t="s">
        <v>448</v>
      </c>
      <c r="J111" s="33">
        <v>325</v>
      </c>
      <c r="K111" s="33">
        <v>618</v>
      </c>
      <c r="L111" s="33">
        <v>1045.56</v>
      </c>
      <c r="M111" s="33" t="s">
        <v>27</v>
      </c>
      <c r="N111" s="33">
        <v>209</v>
      </c>
      <c r="O111" s="33">
        <v>196</v>
      </c>
      <c r="P111" s="33" t="s">
        <v>28</v>
      </c>
      <c r="Q111" s="33">
        <v>0</v>
      </c>
    </row>
    <row r="112" spans="1:17">
      <c r="A112" s="37" t="s">
        <v>449</v>
      </c>
      <c r="B112" s="37" t="s">
        <v>450</v>
      </c>
      <c r="C112" s="37" t="s">
        <v>192</v>
      </c>
      <c r="D112" s="37" t="s">
        <v>197</v>
      </c>
      <c r="E112" s="37" t="s">
        <v>198</v>
      </c>
      <c r="F112" s="37" t="s">
        <v>129</v>
      </c>
      <c r="G112" s="37" t="s">
        <v>130</v>
      </c>
      <c r="H112" s="37" t="s">
        <v>382</v>
      </c>
      <c r="I112" s="37" t="s">
        <v>253</v>
      </c>
      <c r="J112" s="37">
        <v>177</v>
      </c>
      <c r="K112" s="37">
        <v>2831</v>
      </c>
      <c r="L112" s="37">
        <v>595.30999999999995</v>
      </c>
      <c r="M112" s="37" t="s">
        <v>27</v>
      </c>
      <c r="N112" s="37">
        <v>335</v>
      </c>
      <c r="O112" s="37">
        <v>235</v>
      </c>
      <c r="P112" s="37" t="s">
        <v>28</v>
      </c>
      <c r="Q112" s="37">
        <v>0</v>
      </c>
    </row>
    <row r="113" spans="1:17">
      <c r="A113" s="33" t="s">
        <v>451</v>
      </c>
      <c r="B113" s="33" t="s">
        <v>452</v>
      </c>
      <c r="C113" s="33" t="s">
        <v>31</v>
      </c>
      <c r="D113" s="33" t="s">
        <v>129</v>
      </c>
      <c r="E113" s="33" t="s">
        <v>130</v>
      </c>
      <c r="F113" s="33" t="s">
        <v>48</v>
      </c>
      <c r="G113" s="33" t="s">
        <v>49</v>
      </c>
      <c r="H113" s="33" t="s">
        <v>453</v>
      </c>
      <c r="I113" s="33" t="s">
        <v>454</v>
      </c>
      <c r="J113" s="33">
        <v>292</v>
      </c>
      <c r="K113" s="33">
        <v>1570</v>
      </c>
      <c r="L113" s="33">
        <v>915.3</v>
      </c>
      <c r="M113" s="33" t="s">
        <v>60</v>
      </c>
      <c r="N113" s="33">
        <v>185</v>
      </c>
      <c r="O113" s="33">
        <v>93</v>
      </c>
      <c r="P113" s="33" t="s">
        <v>28</v>
      </c>
      <c r="Q113" s="33">
        <v>0</v>
      </c>
    </row>
    <row r="114" spans="1:17">
      <c r="A114" s="37" t="s">
        <v>455</v>
      </c>
      <c r="B114" s="37" t="s">
        <v>456</v>
      </c>
      <c r="C114" s="37" t="s">
        <v>31</v>
      </c>
      <c r="D114" s="37" t="s">
        <v>64</v>
      </c>
      <c r="E114" s="37" t="s">
        <v>65</v>
      </c>
      <c r="F114" s="37" t="s">
        <v>66</v>
      </c>
      <c r="G114" s="37" t="s">
        <v>67</v>
      </c>
      <c r="H114" s="37" t="s">
        <v>338</v>
      </c>
      <c r="I114" s="37" t="s">
        <v>170</v>
      </c>
      <c r="J114" s="37">
        <v>210</v>
      </c>
      <c r="K114" s="37">
        <v>721</v>
      </c>
      <c r="L114" s="37">
        <v>244.02</v>
      </c>
      <c r="M114" s="37" t="s">
        <v>60</v>
      </c>
      <c r="N114" s="37">
        <v>144</v>
      </c>
      <c r="O114" s="37">
        <v>127</v>
      </c>
      <c r="P114" s="37" t="s">
        <v>28</v>
      </c>
      <c r="Q114" s="37">
        <v>0</v>
      </c>
    </row>
    <row r="115" spans="1:17">
      <c r="A115" s="33" t="s">
        <v>457</v>
      </c>
      <c r="B115" s="33" t="s">
        <v>458</v>
      </c>
      <c r="C115" s="33" t="s">
        <v>63</v>
      </c>
      <c r="D115" s="33" t="s">
        <v>79</v>
      </c>
      <c r="E115" s="33" t="s">
        <v>80</v>
      </c>
      <c r="F115" s="33" t="s">
        <v>40</v>
      </c>
      <c r="G115" s="33" t="s">
        <v>41</v>
      </c>
      <c r="H115" s="33" t="s">
        <v>342</v>
      </c>
      <c r="I115" s="33" t="s">
        <v>459</v>
      </c>
      <c r="J115" s="33">
        <v>438</v>
      </c>
      <c r="K115" s="33">
        <v>2612</v>
      </c>
      <c r="L115" s="33">
        <v>800.15</v>
      </c>
      <c r="M115" s="33" t="s">
        <v>27</v>
      </c>
      <c r="N115" s="33">
        <v>182</v>
      </c>
      <c r="O115" s="33">
        <v>130</v>
      </c>
      <c r="P115" s="33" t="s">
        <v>28</v>
      </c>
      <c r="Q115" s="33">
        <v>0</v>
      </c>
    </row>
    <row r="116" spans="1:17">
      <c r="A116" s="37" t="s">
        <v>460</v>
      </c>
      <c r="B116" s="37" t="s">
        <v>461</v>
      </c>
      <c r="C116" s="37" t="s">
        <v>115</v>
      </c>
      <c r="D116" s="37" t="s">
        <v>40</v>
      </c>
      <c r="E116" s="37" t="s">
        <v>41</v>
      </c>
      <c r="F116" s="37" t="s">
        <v>95</v>
      </c>
      <c r="G116" s="37" t="s">
        <v>96</v>
      </c>
      <c r="H116" s="37" t="s">
        <v>378</v>
      </c>
      <c r="I116" s="37" t="s">
        <v>462</v>
      </c>
      <c r="J116" s="37">
        <v>270</v>
      </c>
      <c r="K116" s="37">
        <v>2378</v>
      </c>
      <c r="L116" s="37">
        <v>163.09</v>
      </c>
      <c r="M116" s="37" t="s">
        <v>44</v>
      </c>
      <c r="N116" s="37">
        <v>215</v>
      </c>
      <c r="O116" s="37">
        <v>59</v>
      </c>
      <c r="P116" s="37" t="s">
        <v>28</v>
      </c>
      <c r="Q116" s="37">
        <v>0</v>
      </c>
    </row>
    <row r="117" spans="1:17">
      <c r="A117" s="33" t="s">
        <v>463</v>
      </c>
      <c r="B117" s="33" t="s">
        <v>464</v>
      </c>
      <c r="C117" s="33" t="s">
        <v>94</v>
      </c>
      <c r="D117" s="33" t="s">
        <v>54</v>
      </c>
      <c r="E117" s="33" t="s">
        <v>55</v>
      </c>
      <c r="F117" s="33" t="s">
        <v>32</v>
      </c>
      <c r="G117" s="33" t="s">
        <v>33</v>
      </c>
      <c r="H117" s="33" t="s">
        <v>465</v>
      </c>
      <c r="I117" s="33" t="s">
        <v>466</v>
      </c>
      <c r="J117" s="33">
        <v>387</v>
      </c>
      <c r="K117" s="33">
        <v>2570</v>
      </c>
      <c r="L117" s="33">
        <v>1148.74</v>
      </c>
      <c r="M117" s="33" t="s">
        <v>27</v>
      </c>
      <c r="N117" s="33">
        <v>329</v>
      </c>
      <c r="O117" s="33">
        <v>71</v>
      </c>
      <c r="P117" s="33" t="s">
        <v>28</v>
      </c>
      <c r="Q117" s="33">
        <v>0</v>
      </c>
    </row>
    <row r="118" spans="1:17">
      <c r="A118" s="37" t="s">
        <v>467</v>
      </c>
      <c r="B118" s="37" t="s">
        <v>468</v>
      </c>
      <c r="C118" s="37" t="s">
        <v>47</v>
      </c>
      <c r="D118" s="37" t="s">
        <v>48</v>
      </c>
      <c r="E118" s="37" t="s">
        <v>49</v>
      </c>
      <c r="F118" s="37" t="s">
        <v>79</v>
      </c>
      <c r="G118" s="37" t="s">
        <v>80</v>
      </c>
      <c r="H118" s="37" t="s">
        <v>469</v>
      </c>
      <c r="I118" s="37" t="s">
        <v>470</v>
      </c>
      <c r="J118" s="37">
        <v>121</v>
      </c>
      <c r="K118" s="37">
        <v>2145</v>
      </c>
      <c r="L118" s="37">
        <v>195.92</v>
      </c>
      <c r="M118" s="37" t="s">
        <v>44</v>
      </c>
      <c r="N118" s="37">
        <v>282</v>
      </c>
      <c r="O118" s="37"/>
      <c r="P118" s="37" t="s">
        <v>28</v>
      </c>
      <c r="Q118" s="37">
        <v>0</v>
      </c>
    </row>
    <row r="119" spans="1:17">
      <c r="A119" s="33" t="s">
        <v>471</v>
      </c>
      <c r="B119" s="33" t="s">
        <v>472</v>
      </c>
      <c r="C119" s="33" t="s">
        <v>20</v>
      </c>
      <c r="D119" s="33" t="s">
        <v>23</v>
      </c>
      <c r="E119" s="33" t="s">
        <v>24</v>
      </c>
      <c r="F119" s="33" t="s">
        <v>79</v>
      </c>
      <c r="G119" s="33" t="s">
        <v>80</v>
      </c>
      <c r="H119" s="33" t="s">
        <v>473</v>
      </c>
      <c r="I119" s="33" t="s">
        <v>347</v>
      </c>
      <c r="J119" s="33">
        <v>276</v>
      </c>
      <c r="K119" s="33">
        <v>1827</v>
      </c>
      <c r="L119" s="33">
        <v>1108.0899999999999</v>
      </c>
      <c r="M119" s="33" t="s">
        <v>44</v>
      </c>
      <c r="N119" s="33">
        <v>204</v>
      </c>
      <c r="O119" s="33">
        <v>136</v>
      </c>
      <c r="P119" s="33" t="s">
        <v>70</v>
      </c>
      <c r="Q119" s="33">
        <v>28</v>
      </c>
    </row>
    <row r="120" spans="1:17">
      <c r="A120" s="37" t="s">
        <v>474</v>
      </c>
      <c r="B120" s="37" t="s">
        <v>475</v>
      </c>
      <c r="C120" s="37" t="s">
        <v>94</v>
      </c>
      <c r="D120" s="37" t="s">
        <v>156</v>
      </c>
      <c r="E120" s="37" t="s">
        <v>157</v>
      </c>
      <c r="F120" s="37" t="s">
        <v>197</v>
      </c>
      <c r="G120" s="37" t="s">
        <v>198</v>
      </c>
      <c r="H120" s="37" t="s">
        <v>476</v>
      </c>
      <c r="I120" s="37" t="s">
        <v>477</v>
      </c>
      <c r="J120" s="37">
        <v>235</v>
      </c>
      <c r="K120" s="37">
        <v>1332</v>
      </c>
      <c r="L120" s="37">
        <v>890.58</v>
      </c>
      <c r="M120" s="37" t="s">
        <v>27</v>
      </c>
      <c r="N120" s="37">
        <v>346</v>
      </c>
      <c r="O120" s="37">
        <v>126</v>
      </c>
      <c r="P120" s="37" t="s">
        <v>28</v>
      </c>
      <c r="Q120" s="37">
        <v>0</v>
      </c>
    </row>
    <row r="121" spans="1:17">
      <c r="A121" s="33" t="s">
        <v>478</v>
      </c>
      <c r="B121" s="33" t="s">
        <v>479</v>
      </c>
      <c r="C121" s="33" t="s">
        <v>47</v>
      </c>
      <c r="D121" s="33" t="s">
        <v>95</v>
      </c>
      <c r="E121" s="33" t="s">
        <v>96</v>
      </c>
      <c r="F121" s="33" t="s">
        <v>129</v>
      </c>
      <c r="G121" s="33" t="s">
        <v>130</v>
      </c>
      <c r="H121" s="33" t="s">
        <v>403</v>
      </c>
      <c r="I121" s="33" t="s">
        <v>480</v>
      </c>
      <c r="J121" s="33">
        <v>248</v>
      </c>
      <c r="K121" s="33">
        <v>2589</v>
      </c>
      <c r="L121" s="33">
        <v>501.88</v>
      </c>
      <c r="M121" s="33" t="s">
        <v>44</v>
      </c>
      <c r="N121" s="33">
        <v>308</v>
      </c>
      <c r="O121" s="33">
        <v>115</v>
      </c>
      <c r="P121" s="33" t="s">
        <v>70</v>
      </c>
      <c r="Q121" s="33">
        <v>149</v>
      </c>
    </row>
    <row r="122" spans="1:17">
      <c r="A122" s="37" t="s">
        <v>481</v>
      </c>
      <c r="B122" s="37" t="s">
        <v>30</v>
      </c>
      <c r="C122" s="37" t="s">
        <v>73</v>
      </c>
      <c r="D122" s="37" t="s">
        <v>116</v>
      </c>
      <c r="E122" s="37" t="s">
        <v>117</v>
      </c>
      <c r="F122" s="37" t="s">
        <v>64</v>
      </c>
      <c r="G122" s="37" t="s">
        <v>65</v>
      </c>
      <c r="H122" s="37" t="s">
        <v>382</v>
      </c>
      <c r="I122" s="37" t="s">
        <v>482</v>
      </c>
      <c r="J122" s="37">
        <v>248</v>
      </c>
      <c r="K122" s="37">
        <v>1038</v>
      </c>
      <c r="L122" s="37">
        <v>1145.31</v>
      </c>
      <c r="M122" s="37" t="s">
        <v>44</v>
      </c>
      <c r="N122" s="37">
        <v>342</v>
      </c>
      <c r="O122" s="37">
        <v>298</v>
      </c>
      <c r="P122" s="37" t="s">
        <v>28</v>
      </c>
      <c r="Q122" s="37">
        <v>0</v>
      </c>
    </row>
    <row r="123" spans="1:17">
      <c r="A123" s="33" t="s">
        <v>483</v>
      </c>
      <c r="B123" s="33" t="s">
        <v>484</v>
      </c>
      <c r="C123" s="33" t="s">
        <v>63</v>
      </c>
      <c r="D123" s="33" t="s">
        <v>54</v>
      </c>
      <c r="E123" s="33" t="s">
        <v>55</v>
      </c>
      <c r="F123" s="33" t="s">
        <v>156</v>
      </c>
      <c r="G123" s="33" t="s">
        <v>157</v>
      </c>
      <c r="H123" s="33" t="s">
        <v>166</v>
      </c>
      <c r="I123" s="33" t="s">
        <v>485</v>
      </c>
      <c r="J123" s="33">
        <v>428</v>
      </c>
      <c r="K123" s="33">
        <v>1679</v>
      </c>
      <c r="L123" s="33">
        <v>1061.56</v>
      </c>
      <c r="M123" s="33" t="s">
        <v>27</v>
      </c>
      <c r="N123" s="33">
        <v>133</v>
      </c>
      <c r="O123" s="33">
        <v>126</v>
      </c>
      <c r="P123" s="33" t="s">
        <v>28</v>
      </c>
      <c r="Q123" s="33">
        <v>0</v>
      </c>
    </row>
    <row r="124" spans="1:17">
      <c r="A124" s="37" t="s">
        <v>486</v>
      </c>
      <c r="B124" s="37" t="s">
        <v>487</v>
      </c>
      <c r="C124" s="37" t="s">
        <v>63</v>
      </c>
      <c r="D124" s="37" t="s">
        <v>48</v>
      </c>
      <c r="E124" s="37" t="s">
        <v>49</v>
      </c>
      <c r="F124" s="37" t="s">
        <v>38</v>
      </c>
      <c r="G124" s="37" t="s">
        <v>39</v>
      </c>
      <c r="H124" s="37" t="s">
        <v>275</v>
      </c>
      <c r="I124" s="37" t="s">
        <v>488</v>
      </c>
      <c r="J124" s="37">
        <v>112</v>
      </c>
      <c r="K124" s="37">
        <v>1982</v>
      </c>
      <c r="L124" s="37">
        <v>488.02</v>
      </c>
      <c r="M124" s="37" t="s">
        <v>27</v>
      </c>
      <c r="N124" s="37">
        <v>160</v>
      </c>
      <c r="O124" s="37">
        <v>106</v>
      </c>
      <c r="P124" s="37" t="s">
        <v>28</v>
      </c>
      <c r="Q124" s="37">
        <v>0</v>
      </c>
    </row>
    <row r="125" spans="1:17">
      <c r="A125" s="33" t="s">
        <v>489</v>
      </c>
      <c r="B125" s="33" t="s">
        <v>490</v>
      </c>
      <c r="C125" s="33" t="s">
        <v>31</v>
      </c>
      <c r="D125" s="33" t="s">
        <v>32</v>
      </c>
      <c r="E125" s="33" t="s">
        <v>33</v>
      </c>
      <c r="F125" s="33" t="s">
        <v>23</v>
      </c>
      <c r="G125" s="33" t="s">
        <v>24</v>
      </c>
      <c r="H125" s="33" t="s">
        <v>210</v>
      </c>
      <c r="I125" s="33" t="s">
        <v>491</v>
      </c>
      <c r="J125" s="33">
        <v>189</v>
      </c>
      <c r="K125" s="33">
        <v>1806</v>
      </c>
      <c r="L125" s="33">
        <v>839.7</v>
      </c>
      <c r="M125" s="33" t="s">
        <v>27</v>
      </c>
      <c r="N125" s="33">
        <v>212</v>
      </c>
      <c r="O125" s="33">
        <v>168</v>
      </c>
      <c r="P125" s="33" t="s">
        <v>70</v>
      </c>
      <c r="Q125" s="33">
        <v>112</v>
      </c>
    </row>
    <row r="126" spans="1:17">
      <c r="A126" s="37" t="s">
        <v>492</v>
      </c>
      <c r="B126" s="37" t="s">
        <v>493</v>
      </c>
      <c r="C126" s="37" t="s">
        <v>73</v>
      </c>
      <c r="D126" s="37" t="s">
        <v>38</v>
      </c>
      <c r="E126" s="37" t="s">
        <v>39</v>
      </c>
      <c r="F126" s="37" t="s">
        <v>23</v>
      </c>
      <c r="G126" s="37" t="s">
        <v>24</v>
      </c>
      <c r="H126" s="37" t="s">
        <v>494</v>
      </c>
      <c r="I126" s="37" t="s">
        <v>495</v>
      </c>
      <c r="J126" s="37">
        <v>218</v>
      </c>
      <c r="K126" s="37">
        <v>513</v>
      </c>
      <c r="L126" s="37">
        <v>798.12</v>
      </c>
      <c r="M126" s="37" t="s">
        <v>44</v>
      </c>
      <c r="N126" s="37">
        <v>241</v>
      </c>
      <c r="O126" s="37">
        <v>76</v>
      </c>
      <c r="P126" s="37" t="s">
        <v>70</v>
      </c>
      <c r="Q126" s="37"/>
    </row>
    <row r="127" spans="1:17">
      <c r="A127" s="33" t="s">
        <v>496</v>
      </c>
      <c r="B127" s="33" t="s">
        <v>205</v>
      </c>
      <c r="C127" s="33" t="s">
        <v>192</v>
      </c>
      <c r="D127" s="33" t="s">
        <v>54</v>
      </c>
      <c r="E127" s="33" t="s">
        <v>55</v>
      </c>
      <c r="F127" s="33" t="s">
        <v>183</v>
      </c>
      <c r="G127" s="33" t="s">
        <v>184</v>
      </c>
      <c r="H127" s="33" t="s">
        <v>140</v>
      </c>
      <c r="I127" s="33" t="s">
        <v>249</v>
      </c>
      <c r="J127" s="33">
        <v>352</v>
      </c>
      <c r="K127" s="33">
        <v>903</v>
      </c>
      <c r="L127" s="33"/>
      <c r="M127" s="33" t="s">
        <v>60</v>
      </c>
      <c r="N127" s="33">
        <v>342</v>
      </c>
      <c r="O127" s="33">
        <v>163</v>
      </c>
      <c r="P127" s="33" t="s">
        <v>70</v>
      </c>
      <c r="Q127" s="33">
        <v>104</v>
      </c>
    </row>
    <row r="128" spans="1:17">
      <c r="A128" s="37" t="s">
        <v>497</v>
      </c>
      <c r="B128" s="37" t="s">
        <v>498</v>
      </c>
      <c r="C128" s="37" t="s">
        <v>73</v>
      </c>
      <c r="D128" s="37" t="s">
        <v>56</v>
      </c>
      <c r="E128" s="37" t="s">
        <v>57</v>
      </c>
      <c r="F128" s="37" t="s">
        <v>129</v>
      </c>
      <c r="G128" s="37" t="s">
        <v>130</v>
      </c>
      <c r="H128" s="37" t="s">
        <v>90</v>
      </c>
      <c r="I128" s="37" t="s">
        <v>499</v>
      </c>
      <c r="J128" s="37">
        <v>210</v>
      </c>
      <c r="K128" s="37">
        <v>1881</v>
      </c>
      <c r="L128" s="37">
        <v>1193.8699999999999</v>
      </c>
      <c r="M128" s="37" t="s">
        <v>44</v>
      </c>
      <c r="N128" s="37">
        <v>157</v>
      </c>
      <c r="O128" s="37">
        <v>53</v>
      </c>
      <c r="P128" s="37" t="s">
        <v>28</v>
      </c>
      <c r="Q128" s="37">
        <v>0</v>
      </c>
    </row>
    <row r="129" spans="1:17">
      <c r="A129" s="33" t="s">
        <v>500</v>
      </c>
      <c r="B129" s="33" t="s">
        <v>501</v>
      </c>
      <c r="C129" s="33" t="s">
        <v>47</v>
      </c>
      <c r="D129" s="33" t="s">
        <v>101</v>
      </c>
      <c r="E129" s="33" t="s">
        <v>102</v>
      </c>
      <c r="F129" s="33" t="s">
        <v>38</v>
      </c>
      <c r="G129" s="33" t="s">
        <v>39</v>
      </c>
      <c r="H129" s="33" t="s">
        <v>179</v>
      </c>
      <c r="I129" s="33" t="s">
        <v>87</v>
      </c>
      <c r="J129" s="33">
        <v>331</v>
      </c>
      <c r="K129" s="33">
        <v>868</v>
      </c>
      <c r="L129" s="33">
        <v>929.9</v>
      </c>
      <c r="M129" s="33" t="s">
        <v>44</v>
      </c>
      <c r="N129" s="33">
        <v>214</v>
      </c>
      <c r="O129" s="33">
        <v>207</v>
      </c>
      <c r="P129" s="33" t="s">
        <v>28</v>
      </c>
      <c r="Q129" s="33">
        <v>0</v>
      </c>
    </row>
    <row r="130" spans="1:17">
      <c r="A130" s="37" t="s">
        <v>502</v>
      </c>
      <c r="B130" s="37" t="s">
        <v>503</v>
      </c>
      <c r="C130" s="37" t="s">
        <v>20</v>
      </c>
      <c r="D130" s="37" t="s">
        <v>21</v>
      </c>
      <c r="E130" s="37" t="s">
        <v>22</v>
      </c>
      <c r="F130" s="37" t="s">
        <v>183</v>
      </c>
      <c r="G130" s="37" t="s">
        <v>184</v>
      </c>
      <c r="H130" s="37" t="s">
        <v>86</v>
      </c>
      <c r="I130" s="37" t="s">
        <v>504</v>
      </c>
      <c r="J130" s="37">
        <v>146</v>
      </c>
      <c r="K130" s="37">
        <v>1480</v>
      </c>
      <c r="L130" s="37">
        <v>346.16</v>
      </c>
      <c r="M130" s="37" t="s">
        <v>60</v>
      </c>
      <c r="N130" s="37">
        <v>112</v>
      </c>
      <c r="O130" s="37">
        <v>65</v>
      </c>
      <c r="P130" s="37" t="s">
        <v>28</v>
      </c>
      <c r="Q130" s="37">
        <v>0</v>
      </c>
    </row>
    <row r="131" spans="1:17">
      <c r="A131" s="33" t="s">
        <v>505</v>
      </c>
      <c r="B131" s="33" t="s">
        <v>506</v>
      </c>
      <c r="C131" s="33" t="s">
        <v>94</v>
      </c>
      <c r="D131" s="33" t="s">
        <v>197</v>
      </c>
      <c r="E131" s="33" t="s">
        <v>198</v>
      </c>
      <c r="F131" s="33" t="s">
        <v>116</v>
      </c>
      <c r="G131" s="33" t="s">
        <v>117</v>
      </c>
      <c r="H131" s="33" t="s">
        <v>34</v>
      </c>
      <c r="I131" s="33" t="s">
        <v>507</v>
      </c>
      <c r="J131" s="33">
        <v>413</v>
      </c>
      <c r="K131" s="33">
        <v>2410</v>
      </c>
      <c r="L131" s="33">
        <v>724.05</v>
      </c>
      <c r="M131" s="33" t="s">
        <v>27</v>
      </c>
      <c r="N131" s="33">
        <v>136</v>
      </c>
      <c r="O131" s="33">
        <v>87</v>
      </c>
      <c r="P131" s="33" t="s">
        <v>28</v>
      </c>
      <c r="Q131" s="33">
        <v>0</v>
      </c>
    </row>
    <row r="132" spans="1:17">
      <c r="A132" s="37" t="s">
        <v>508</v>
      </c>
      <c r="B132" s="37" t="s">
        <v>509</v>
      </c>
      <c r="C132" s="37" t="s">
        <v>31</v>
      </c>
      <c r="D132" s="37" t="s">
        <v>54</v>
      </c>
      <c r="E132" s="37" t="s">
        <v>74</v>
      </c>
      <c r="F132" s="37" t="s">
        <v>129</v>
      </c>
      <c r="G132" s="37" t="s">
        <v>130</v>
      </c>
      <c r="H132" s="37" t="s">
        <v>103</v>
      </c>
      <c r="I132" s="37" t="s">
        <v>510</v>
      </c>
      <c r="J132" s="37">
        <v>358</v>
      </c>
      <c r="K132" s="37">
        <v>1777</v>
      </c>
      <c r="L132" s="37">
        <v>155.80000000000001</v>
      </c>
      <c r="M132" s="37" t="s">
        <v>27</v>
      </c>
      <c r="N132" s="37">
        <v>239</v>
      </c>
      <c r="O132" s="37">
        <v>179</v>
      </c>
      <c r="P132" s="37" t="s">
        <v>70</v>
      </c>
      <c r="Q132" s="37">
        <v>144</v>
      </c>
    </row>
    <row r="133" spans="1:17">
      <c r="A133" s="33" t="s">
        <v>511</v>
      </c>
      <c r="B133" s="33" t="s">
        <v>512</v>
      </c>
      <c r="C133" s="33" t="s">
        <v>73</v>
      </c>
      <c r="D133" s="33" t="s">
        <v>79</v>
      </c>
      <c r="E133" s="33" t="s">
        <v>80</v>
      </c>
      <c r="F133" s="33" t="s">
        <v>56</v>
      </c>
      <c r="G133" s="33" t="s">
        <v>57</v>
      </c>
      <c r="H133" s="33" t="s">
        <v>81</v>
      </c>
      <c r="I133" s="33" t="s">
        <v>513</v>
      </c>
      <c r="J133" s="33">
        <v>281</v>
      </c>
      <c r="K133" s="33">
        <v>1338</v>
      </c>
      <c r="L133" s="33">
        <v>916.99</v>
      </c>
      <c r="M133" s="33" t="s">
        <v>44</v>
      </c>
      <c r="N133" s="33">
        <v>301</v>
      </c>
      <c r="O133" s="33">
        <v>67</v>
      </c>
      <c r="P133" s="33" t="s">
        <v>28</v>
      </c>
      <c r="Q133" s="33">
        <v>0</v>
      </c>
    </row>
    <row r="134" spans="1:17">
      <c r="A134" s="37" t="s">
        <v>514</v>
      </c>
      <c r="B134" s="37" t="s">
        <v>515</v>
      </c>
      <c r="C134" s="37" t="s">
        <v>47</v>
      </c>
      <c r="D134" s="37" t="s">
        <v>101</v>
      </c>
      <c r="E134" s="37" t="s">
        <v>102</v>
      </c>
      <c r="F134" s="37" t="s">
        <v>56</v>
      </c>
      <c r="G134" s="37" t="s">
        <v>57</v>
      </c>
      <c r="H134" s="37" t="s">
        <v>162</v>
      </c>
      <c r="I134" s="37" t="s">
        <v>516</v>
      </c>
      <c r="J134" s="37">
        <v>419</v>
      </c>
      <c r="K134" s="37">
        <v>1017</v>
      </c>
      <c r="L134" s="37">
        <v>1010.03</v>
      </c>
      <c r="M134" s="37" t="s">
        <v>27</v>
      </c>
      <c r="N134" s="37">
        <v>218</v>
      </c>
      <c r="O134" s="37">
        <v>172</v>
      </c>
      <c r="P134" s="37" t="s">
        <v>28</v>
      </c>
      <c r="Q134" s="37">
        <v>0</v>
      </c>
    </row>
    <row r="135" spans="1:17">
      <c r="A135" s="33" t="s">
        <v>517</v>
      </c>
      <c r="B135" s="33" t="s">
        <v>518</v>
      </c>
      <c r="C135" s="33" t="s">
        <v>94</v>
      </c>
      <c r="D135" s="33" t="s">
        <v>40</v>
      </c>
      <c r="E135" s="33" t="s">
        <v>41</v>
      </c>
      <c r="F135" s="33" t="s">
        <v>56</v>
      </c>
      <c r="G135" s="33" t="s">
        <v>57</v>
      </c>
      <c r="H135" s="33" t="s">
        <v>143</v>
      </c>
      <c r="I135" s="33" t="s">
        <v>519</v>
      </c>
      <c r="J135" s="33">
        <v>112</v>
      </c>
      <c r="K135" s="33">
        <v>1117</v>
      </c>
      <c r="L135" s="33">
        <v>1072.0899999999999</v>
      </c>
      <c r="M135" s="33" t="s">
        <v>44</v>
      </c>
      <c r="N135" s="33">
        <v>338</v>
      </c>
      <c r="O135" s="33">
        <v>208</v>
      </c>
      <c r="P135" s="33" t="s">
        <v>28</v>
      </c>
      <c r="Q135" s="33">
        <v>0</v>
      </c>
    </row>
    <row r="136" spans="1:17">
      <c r="A136" s="37" t="s">
        <v>520</v>
      </c>
      <c r="B136" s="37" t="s">
        <v>521</v>
      </c>
      <c r="C136" s="37" t="s">
        <v>192</v>
      </c>
      <c r="D136" s="37" t="s">
        <v>56</v>
      </c>
      <c r="E136" s="37" t="s">
        <v>57</v>
      </c>
      <c r="F136" s="37" t="s">
        <v>23</v>
      </c>
      <c r="G136" s="37" t="s">
        <v>24</v>
      </c>
      <c r="H136" s="37" t="s">
        <v>283</v>
      </c>
      <c r="I136" s="37" t="s">
        <v>522</v>
      </c>
      <c r="J136" s="37">
        <v>114</v>
      </c>
      <c r="K136" s="37">
        <v>2985</v>
      </c>
      <c r="L136" s="37">
        <v>451.76</v>
      </c>
      <c r="M136" s="37" t="s">
        <v>60</v>
      </c>
      <c r="N136" s="37">
        <v>304</v>
      </c>
      <c r="O136" s="37">
        <v>144</v>
      </c>
      <c r="P136" s="37" t="s">
        <v>28</v>
      </c>
      <c r="Q136" s="37">
        <v>0</v>
      </c>
    </row>
    <row r="137" spans="1:17">
      <c r="A137" s="33" t="s">
        <v>523</v>
      </c>
      <c r="B137" s="33" t="s">
        <v>524</v>
      </c>
      <c r="C137" s="33" t="s">
        <v>115</v>
      </c>
      <c r="D137" s="33" t="s">
        <v>66</v>
      </c>
      <c r="E137" s="33" t="s">
        <v>67</v>
      </c>
      <c r="F137" s="33" t="s">
        <v>156</v>
      </c>
      <c r="G137" s="33" t="s">
        <v>157</v>
      </c>
      <c r="H137" s="33" t="s">
        <v>97</v>
      </c>
      <c r="I137" s="33" t="s">
        <v>525</v>
      </c>
      <c r="J137" s="33">
        <v>444</v>
      </c>
      <c r="K137" s="33">
        <v>2337</v>
      </c>
      <c r="L137" s="33">
        <v>491.43</v>
      </c>
      <c r="M137" s="33" t="s">
        <v>27</v>
      </c>
      <c r="N137" s="33">
        <v>168</v>
      </c>
      <c r="O137" s="33">
        <v>152</v>
      </c>
      <c r="P137" s="33" t="s">
        <v>28</v>
      </c>
      <c r="Q137" s="33">
        <v>0</v>
      </c>
    </row>
    <row r="138" spans="1:17">
      <c r="A138" s="37" t="s">
        <v>526</v>
      </c>
      <c r="B138" s="37" t="s">
        <v>527</v>
      </c>
      <c r="C138" s="37" t="s">
        <v>94</v>
      </c>
      <c r="D138" s="37" t="s">
        <v>129</v>
      </c>
      <c r="E138" s="37" t="s">
        <v>130</v>
      </c>
      <c r="F138" s="37" t="s">
        <v>38</v>
      </c>
      <c r="G138" s="37" t="s">
        <v>39</v>
      </c>
      <c r="H138" s="37" t="s">
        <v>528</v>
      </c>
      <c r="I138" s="37" t="s">
        <v>529</v>
      </c>
      <c r="J138" s="37">
        <v>254</v>
      </c>
      <c r="K138" s="37">
        <v>720</v>
      </c>
      <c r="L138" s="37">
        <v>169.68</v>
      </c>
      <c r="M138" s="37" t="s">
        <v>27</v>
      </c>
      <c r="N138" s="37">
        <v>175</v>
      </c>
      <c r="O138" s="37">
        <v>89</v>
      </c>
      <c r="P138" s="37" t="s">
        <v>28</v>
      </c>
      <c r="Q138" s="37">
        <v>0</v>
      </c>
    </row>
    <row r="139" spans="1:17">
      <c r="A139" s="33" t="s">
        <v>530</v>
      </c>
      <c r="B139" s="33" t="s">
        <v>531</v>
      </c>
      <c r="C139" s="33" t="s">
        <v>63</v>
      </c>
      <c r="D139" s="33" t="s">
        <v>40</v>
      </c>
      <c r="E139" s="33" t="s">
        <v>41</v>
      </c>
      <c r="F139" s="33" t="s">
        <v>64</v>
      </c>
      <c r="G139" s="33" t="s">
        <v>65</v>
      </c>
      <c r="H139" s="33" t="s">
        <v>135</v>
      </c>
      <c r="I139" s="33" t="s">
        <v>532</v>
      </c>
      <c r="J139" s="33">
        <v>462</v>
      </c>
      <c r="K139" s="33">
        <v>1744</v>
      </c>
      <c r="L139" s="33">
        <v>768.63</v>
      </c>
      <c r="M139" s="33" t="s">
        <v>44</v>
      </c>
      <c r="N139" s="33">
        <v>170</v>
      </c>
      <c r="O139" s="33">
        <v>131</v>
      </c>
      <c r="P139" s="33" t="s">
        <v>149</v>
      </c>
      <c r="Q139" s="33">
        <v>0</v>
      </c>
    </row>
    <row r="140" spans="1:17">
      <c r="A140" s="37" t="s">
        <v>533</v>
      </c>
      <c r="B140" s="37" t="s">
        <v>534</v>
      </c>
      <c r="C140" s="37" t="s">
        <v>94</v>
      </c>
      <c r="D140" s="37" t="s">
        <v>66</v>
      </c>
      <c r="E140" s="37" t="s">
        <v>67</v>
      </c>
      <c r="F140" s="37" t="s">
        <v>64</v>
      </c>
      <c r="G140" s="37" t="s">
        <v>65</v>
      </c>
      <c r="H140" s="37" t="s">
        <v>469</v>
      </c>
      <c r="I140" s="37" t="s">
        <v>244</v>
      </c>
      <c r="J140" s="37">
        <v>105</v>
      </c>
      <c r="K140" s="37">
        <v>884</v>
      </c>
      <c r="L140" s="37">
        <v>1030.51</v>
      </c>
      <c r="M140" s="37" t="s">
        <v>27</v>
      </c>
      <c r="N140" s="37">
        <v>300</v>
      </c>
      <c r="O140" s="37">
        <v>162</v>
      </c>
      <c r="P140" s="37" t="s">
        <v>28</v>
      </c>
      <c r="Q140" s="37">
        <v>0</v>
      </c>
    </row>
    <row r="141" spans="1:17">
      <c r="A141" s="33" t="s">
        <v>535</v>
      </c>
      <c r="B141" s="33" t="s">
        <v>536</v>
      </c>
      <c r="C141" s="33" t="s">
        <v>31</v>
      </c>
      <c r="D141" s="33" t="s">
        <v>64</v>
      </c>
      <c r="E141" s="33" t="s">
        <v>65</v>
      </c>
      <c r="F141" s="33" t="s">
        <v>66</v>
      </c>
      <c r="G141" s="33" t="s">
        <v>67</v>
      </c>
      <c r="H141" s="33" t="s">
        <v>453</v>
      </c>
      <c r="I141" s="33" t="s">
        <v>537</v>
      </c>
      <c r="J141" s="33">
        <v>399</v>
      </c>
      <c r="K141" s="33">
        <v>928</v>
      </c>
      <c r="L141" s="33">
        <v>840.55</v>
      </c>
      <c r="M141" s="33" t="s">
        <v>44</v>
      </c>
      <c r="N141" s="33">
        <v>195</v>
      </c>
      <c r="O141" s="33">
        <v>163</v>
      </c>
      <c r="P141" s="33" t="s">
        <v>70</v>
      </c>
      <c r="Q141" s="33">
        <v>161</v>
      </c>
    </row>
    <row r="142" spans="1:17">
      <c r="A142" s="37" t="s">
        <v>538</v>
      </c>
      <c r="B142" s="37" t="s">
        <v>484</v>
      </c>
      <c r="C142" s="37" t="s">
        <v>47</v>
      </c>
      <c r="D142" s="37" t="s">
        <v>66</v>
      </c>
      <c r="E142" s="37" t="s">
        <v>67</v>
      </c>
      <c r="F142" s="37" t="s">
        <v>156</v>
      </c>
      <c r="G142" s="37" t="s">
        <v>157</v>
      </c>
      <c r="H142" s="37" t="s">
        <v>393</v>
      </c>
      <c r="I142" s="37" t="s">
        <v>539</v>
      </c>
      <c r="J142" s="37">
        <v>217</v>
      </c>
      <c r="K142" s="37">
        <v>764</v>
      </c>
      <c r="L142" s="37">
        <v>109.02</v>
      </c>
      <c r="M142" s="37" t="s">
        <v>60</v>
      </c>
      <c r="N142" s="37">
        <v>227</v>
      </c>
      <c r="O142" s="37">
        <v>182</v>
      </c>
      <c r="P142" s="37" t="s">
        <v>28</v>
      </c>
      <c r="Q142" s="37">
        <v>0</v>
      </c>
    </row>
    <row r="143" spans="1:17">
      <c r="A143" s="33" t="s">
        <v>540</v>
      </c>
      <c r="B143" s="33" t="s">
        <v>541</v>
      </c>
      <c r="C143" s="33" t="s">
        <v>192</v>
      </c>
      <c r="D143" s="33" t="s">
        <v>21</v>
      </c>
      <c r="E143" s="33" t="s">
        <v>22</v>
      </c>
      <c r="F143" s="33" t="s">
        <v>79</v>
      </c>
      <c r="G143" s="33" t="s">
        <v>80</v>
      </c>
      <c r="H143" s="33" t="s">
        <v>68</v>
      </c>
      <c r="I143" s="33" t="s">
        <v>542</v>
      </c>
      <c r="J143" s="33">
        <v>445</v>
      </c>
      <c r="K143" s="33">
        <v>2311</v>
      </c>
      <c r="L143" s="33">
        <v>304.2</v>
      </c>
      <c r="M143" s="33" t="s">
        <v>60</v>
      </c>
      <c r="N143" s="33">
        <v>318</v>
      </c>
      <c r="O143" s="33">
        <v>87</v>
      </c>
      <c r="P143" s="33" t="s">
        <v>28</v>
      </c>
      <c r="Q143" s="33">
        <v>0</v>
      </c>
    </row>
    <row r="144" spans="1:17">
      <c r="A144" s="37" t="s">
        <v>543</v>
      </c>
      <c r="B144" s="37" t="s">
        <v>544</v>
      </c>
      <c r="C144" s="37" t="s">
        <v>94</v>
      </c>
      <c r="D144" s="37" t="s">
        <v>156</v>
      </c>
      <c r="E144" s="37" t="s">
        <v>157</v>
      </c>
      <c r="F144" s="37" t="s">
        <v>66</v>
      </c>
      <c r="G144" s="37" t="s">
        <v>67</v>
      </c>
      <c r="H144" s="37" t="s">
        <v>545</v>
      </c>
      <c r="I144" s="37" t="s">
        <v>546</v>
      </c>
      <c r="J144" s="37">
        <v>371</v>
      </c>
      <c r="K144" s="37">
        <v>2520</v>
      </c>
      <c r="L144" s="37">
        <v>0.5</v>
      </c>
      <c r="M144" s="37" t="s">
        <v>44</v>
      </c>
      <c r="N144" s="37">
        <v>317</v>
      </c>
      <c r="O144" s="37">
        <v>130</v>
      </c>
      <c r="P144" s="37" t="s">
        <v>70</v>
      </c>
      <c r="Q144" s="37">
        <v>178</v>
      </c>
    </row>
    <row r="145" spans="1:17">
      <c r="A145" s="33" t="s">
        <v>547</v>
      </c>
      <c r="B145" s="33" t="s">
        <v>548</v>
      </c>
      <c r="C145" s="33" t="s">
        <v>47</v>
      </c>
      <c r="D145" s="33" t="s">
        <v>116</v>
      </c>
      <c r="E145" s="33" t="s">
        <v>117</v>
      </c>
      <c r="F145" s="33" t="s">
        <v>23</v>
      </c>
      <c r="G145" s="33" t="s">
        <v>24</v>
      </c>
      <c r="H145" s="33" t="s">
        <v>118</v>
      </c>
      <c r="I145" s="33" t="s">
        <v>549</v>
      </c>
      <c r="J145" s="33">
        <v>161</v>
      </c>
      <c r="K145" s="33">
        <v>1269</v>
      </c>
      <c r="L145" s="33">
        <v>965.22</v>
      </c>
      <c r="M145" s="33" t="s">
        <v>60</v>
      </c>
      <c r="N145" s="33">
        <v>192</v>
      </c>
      <c r="O145" s="33">
        <v>191</v>
      </c>
      <c r="P145" s="33" t="s">
        <v>28</v>
      </c>
      <c r="Q145" s="33">
        <v>0</v>
      </c>
    </row>
    <row r="146" spans="1:17">
      <c r="A146" s="37" t="s">
        <v>550</v>
      </c>
      <c r="B146" s="37" t="s">
        <v>551</v>
      </c>
      <c r="C146" s="37" t="s">
        <v>63</v>
      </c>
      <c r="D146" s="37" t="s">
        <v>48</v>
      </c>
      <c r="E146" s="37" t="s">
        <v>49</v>
      </c>
      <c r="F146" s="37" t="s">
        <v>54</v>
      </c>
      <c r="G146" s="37" t="s">
        <v>55</v>
      </c>
      <c r="H146" s="37" t="s">
        <v>230</v>
      </c>
      <c r="I146" s="37" t="s">
        <v>552</v>
      </c>
      <c r="J146" s="37">
        <v>293</v>
      </c>
      <c r="K146" s="37">
        <v>2260</v>
      </c>
      <c r="L146" s="37">
        <v>668.78</v>
      </c>
      <c r="M146" s="37" t="s">
        <v>44</v>
      </c>
      <c r="N146" s="37">
        <v>310</v>
      </c>
      <c r="O146" s="37">
        <v>87</v>
      </c>
      <c r="P146" s="37" t="s">
        <v>28</v>
      </c>
      <c r="Q146" s="37">
        <v>0</v>
      </c>
    </row>
    <row r="147" spans="1:17">
      <c r="A147" s="33" t="s">
        <v>553</v>
      </c>
      <c r="B147" s="33" t="s">
        <v>225</v>
      </c>
      <c r="C147" s="33" t="s">
        <v>94</v>
      </c>
      <c r="D147" s="33" t="s">
        <v>40</v>
      </c>
      <c r="E147" s="33" t="s">
        <v>41</v>
      </c>
      <c r="F147" s="33" t="s">
        <v>79</v>
      </c>
      <c r="G147" s="33" t="s">
        <v>80</v>
      </c>
      <c r="H147" s="33" t="s">
        <v>216</v>
      </c>
      <c r="I147" s="33" t="s">
        <v>554</v>
      </c>
      <c r="J147" s="33">
        <v>155</v>
      </c>
      <c r="K147" s="33">
        <v>2558</v>
      </c>
      <c r="L147" s="33">
        <v>796.57</v>
      </c>
      <c r="M147" s="33" t="s">
        <v>60</v>
      </c>
      <c r="N147" s="33">
        <v>296</v>
      </c>
      <c r="O147" s="33">
        <v>83</v>
      </c>
      <c r="P147" s="33" t="s">
        <v>28</v>
      </c>
      <c r="Q147" s="33">
        <v>0</v>
      </c>
    </row>
    <row r="148" spans="1:17">
      <c r="A148" s="37" t="s">
        <v>555</v>
      </c>
      <c r="B148" s="37" t="s">
        <v>556</v>
      </c>
      <c r="C148" s="37" t="s">
        <v>94</v>
      </c>
      <c r="D148" s="37" t="s">
        <v>116</v>
      </c>
      <c r="E148" s="37" t="s">
        <v>117</v>
      </c>
      <c r="F148" s="37" t="s">
        <v>101</v>
      </c>
      <c r="G148" s="37" t="s">
        <v>102</v>
      </c>
      <c r="H148" s="37" t="s">
        <v>143</v>
      </c>
      <c r="I148" s="37" t="s">
        <v>557</v>
      </c>
      <c r="J148" s="37">
        <v>172</v>
      </c>
      <c r="K148" s="37">
        <v>1621</v>
      </c>
      <c r="L148" s="37">
        <v>1126.9100000000001</v>
      </c>
      <c r="M148" s="37" t="s">
        <v>60</v>
      </c>
      <c r="N148" s="37">
        <v>188</v>
      </c>
      <c r="O148" s="37">
        <v>182</v>
      </c>
      <c r="P148" s="37" t="s">
        <v>70</v>
      </c>
      <c r="Q148" s="37">
        <v>35</v>
      </c>
    </row>
    <row r="149" spans="1:17">
      <c r="A149" s="33" t="s">
        <v>558</v>
      </c>
      <c r="B149" s="33" t="s">
        <v>559</v>
      </c>
      <c r="C149" s="33" t="s">
        <v>31</v>
      </c>
      <c r="D149" s="33" t="s">
        <v>32</v>
      </c>
      <c r="E149" s="33" t="s">
        <v>33</v>
      </c>
      <c r="F149" s="33" t="s">
        <v>21</v>
      </c>
      <c r="G149" s="33" t="s">
        <v>22</v>
      </c>
      <c r="H149" s="33" t="s">
        <v>560</v>
      </c>
      <c r="I149" s="33" t="s">
        <v>144</v>
      </c>
      <c r="J149" s="33">
        <v>404</v>
      </c>
      <c r="K149" s="33">
        <v>2485</v>
      </c>
      <c r="L149" s="33">
        <v>184.64</v>
      </c>
      <c r="M149" s="33" t="s">
        <v>27</v>
      </c>
      <c r="N149" s="33">
        <v>143</v>
      </c>
      <c r="O149" s="33">
        <v>125</v>
      </c>
      <c r="P149" s="33" t="s">
        <v>149</v>
      </c>
      <c r="Q149" s="33">
        <v>0</v>
      </c>
    </row>
    <row r="150" spans="1:17">
      <c r="A150" s="37" t="s">
        <v>561</v>
      </c>
      <c r="B150" s="37" t="s">
        <v>562</v>
      </c>
      <c r="C150" s="37" t="s">
        <v>63</v>
      </c>
      <c r="D150" s="37" t="s">
        <v>48</v>
      </c>
      <c r="E150" s="37" t="s">
        <v>49</v>
      </c>
      <c r="F150" s="37" t="s">
        <v>156</v>
      </c>
      <c r="G150" s="37" t="s">
        <v>157</v>
      </c>
      <c r="H150" s="37" t="s">
        <v>244</v>
      </c>
      <c r="I150" s="37" t="s">
        <v>563</v>
      </c>
      <c r="J150" s="37">
        <v>104</v>
      </c>
      <c r="K150" s="37">
        <v>632</v>
      </c>
      <c r="L150" s="37">
        <v>130.91999999999999</v>
      </c>
      <c r="M150" s="37" t="s">
        <v>27</v>
      </c>
      <c r="N150" s="37">
        <v>297</v>
      </c>
      <c r="O150" s="37">
        <v>197</v>
      </c>
      <c r="P150" s="37" t="s">
        <v>28</v>
      </c>
      <c r="Q150" s="37">
        <v>0</v>
      </c>
    </row>
    <row r="151" spans="1:17">
      <c r="A151" s="33" t="s">
        <v>564</v>
      </c>
      <c r="B151" s="33" t="s">
        <v>565</v>
      </c>
      <c r="C151" s="33" t="s">
        <v>73</v>
      </c>
      <c r="D151" s="33" t="s">
        <v>48</v>
      </c>
      <c r="E151" s="33" t="s">
        <v>49</v>
      </c>
      <c r="F151" s="33" t="s">
        <v>174</v>
      </c>
      <c r="G151" s="33" t="s">
        <v>175</v>
      </c>
      <c r="H151" s="33" t="s">
        <v>334</v>
      </c>
      <c r="I151" s="33" t="s">
        <v>566</v>
      </c>
      <c r="J151" s="33">
        <v>418</v>
      </c>
      <c r="K151" s="33">
        <v>1537</v>
      </c>
      <c r="L151" s="33">
        <v>620.9</v>
      </c>
      <c r="M151" s="33"/>
      <c r="N151" s="33">
        <v>203</v>
      </c>
      <c r="O151" s="33">
        <v>126</v>
      </c>
      <c r="P151" s="33" t="s">
        <v>28</v>
      </c>
      <c r="Q151" s="33">
        <v>-10</v>
      </c>
    </row>
    <row r="152" spans="1:17">
      <c r="A152" s="37" t="s">
        <v>567</v>
      </c>
      <c r="B152" s="37" t="s">
        <v>423</v>
      </c>
      <c r="C152" s="37" t="s">
        <v>63</v>
      </c>
      <c r="D152" s="37" t="s">
        <v>40</v>
      </c>
      <c r="E152" s="37" t="s">
        <v>41</v>
      </c>
      <c r="F152" s="37" t="s">
        <v>129</v>
      </c>
      <c r="G152" s="37" t="s">
        <v>130</v>
      </c>
      <c r="H152" s="37" t="s">
        <v>389</v>
      </c>
      <c r="I152" s="37" t="s">
        <v>568</v>
      </c>
      <c r="J152" s="37">
        <v>194</v>
      </c>
      <c r="K152" s="37">
        <v>1693</v>
      </c>
      <c r="L152" s="37">
        <v>759.46</v>
      </c>
      <c r="M152" s="37" t="s">
        <v>44</v>
      </c>
      <c r="N152" s="37">
        <v>320</v>
      </c>
      <c r="O152" s="37">
        <v>213</v>
      </c>
      <c r="P152" s="37" t="s">
        <v>70</v>
      </c>
      <c r="Q152" s="37">
        <v>103</v>
      </c>
    </row>
    <row r="153" spans="1:17">
      <c r="A153" s="33" t="s">
        <v>569</v>
      </c>
      <c r="B153" s="33" t="s">
        <v>570</v>
      </c>
      <c r="C153" s="33" t="s">
        <v>63</v>
      </c>
      <c r="D153" s="33" t="s">
        <v>64</v>
      </c>
      <c r="E153" s="33" t="s">
        <v>65</v>
      </c>
      <c r="F153" s="33" t="s">
        <v>32</v>
      </c>
      <c r="G153" s="33" t="s">
        <v>33</v>
      </c>
      <c r="H153" s="33" t="s">
        <v>571</v>
      </c>
      <c r="I153" s="33" t="s">
        <v>572</v>
      </c>
      <c r="J153" s="33">
        <v>253</v>
      </c>
      <c r="K153" s="33">
        <v>1290</v>
      </c>
      <c r="L153" s="33">
        <v>0.5</v>
      </c>
      <c r="M153" s="33" t="s">
        <v>44</v>
      </c>
      <c r="N153" s="33">
        <v>215</v>
      </c>
      <c r="O153" s="33">
        <v>113</v>
      </c>
      <c r="P153" s="33" t="s">
        <v>573</v>
      </c>
      <c r="Q153" s="33">
        <v>0</v>
      </c>
    </row>
    <row r="154" spans="1:17">
      <c r="A154" s="37" t="s">
        <v>574</v>
      </c>
      <c r="B154" s="37" t="s">
        <v>575</v>
      </c>
      <c r="C154" s="37" t="s">
        <v>192</v>
      </c>
      <c r="D154" s="37" t="s">
        <v>66</v>
      </c>
      <c r="E154" s="37" t="s">
        <v>67</v>
      </c>
      <c r="F154" s="37" t="s">
        <v>40</v>
      </c>
      <c r="G154" s="37" t="s">
        <v>41</v>
      </c>
      <c r="H154" s="37" t="s">
        <v>25</v>
      </c>
      <c r="I154" s="37" t="s">
        <v>576</v>
      </c>
      <c r="J154" s="37">
        <v>257</v>
      </c>
      <c r="K154" s="37">
        <v>2666</v>
      </c>
      <c r="L154" s="37">
        <v>887.66</v>
      </c>
      <c r="M154" s="37" t="s">
        <v>60</v>
      </c>
      <c r="N154" s="37">
        <v>295</v>
      </c>
      <c r="O154" s="37">
        <v>90</v>
      </c>
      <c r="P154" s="37" t="s">
        <v>28</v>
      </c>
      <c r="Q154" s="37">
        <v>0</v>
      </c>
    </row>
    <row r="155" spans="1:17">
      <c r="A155" s="33" t="s">
        <v>577</v>
      </c>
      <c r="B155" s="33" t="s">
        <v>578</v>
      </c>
      <c r="C155" s="33" t="s">
        <v>115</v>
      </c>
      <c r="D155" s="33" t="s">
        <v>79</v>
      </c>
      <c r="E155" s="33" t="s">
        <v>80</v>
      </c>
      <c r="F155" s="33" t="s">
        <v>95</v>
      </c>
      <c r="G155" s="33" t="s">
        <v>96</v>
      </c>
      <c r="H155" s="33" t="s">
        <v>240</v>
      </c>
      <c r="I155" s="33" t="s">
        <v>579</v>
      </c>
      <c r="J155" s="33">
        <v>136</v>
      </c>
      <c r="K155" s="33">
        <v>1910</v>
      </c>
      <c r="L155" s="33">
        <v>646.1</v>
      </c>
      <c r="M155" s="33" t="s">
        <v>60</v>
      </c>
      <c r="N155" s="33">
        <v>155</v>
      </c>
      <c r="O155" s="33">
        <v>124</v>
      </c>
      <c r="P155" s="33" t="s">
        <v>28</v>
      </c>
      <c r="Q155" s="33">
        <v>0</v>
      </c>
    </row>
    <row r="156" spans="1:17">
      <c r="A156" s="37" t="s">
        <v>580</v>
      </c>
      <c r="B156" s="37" t="s">
        <v>575</v>
      </c>
      <c r="C156" s="37" t="s">
        <v>192</v>
      </c>
      <c r="D156" s="37" t="s">
        <v>79</v>
      </c>
      <c r="E156" s="37" t="s">
        <v>80</v>
      </c>
      <c r="F156" s="37" t="s">
        <v>116</v>
      </c>
      <c r="G156" s="37" t="s">
        <v>117</v>
      </c>
      <c r="H156" s="37" t="s">
        <v>296</v>
      </c>
      <c r="I156" s="37" t="s">
        <v>581</v>
      </c>
      <c r="J156" s="37">
        <v>145</v>
      </c>
      <c r="K156" s="37">
        <v>2065</v>
      </c>
      <c r="L156" s="37">
        <v>230.01</v>
      </c>
      <c r="M156" s="37" t="s">
        <v>44</v>
      </c>
      <c r="N156" s="37">
        <v>286</v>
      </c>
      <c r="O156" s="37">
        <v>143</v>
      </c>
      <c r="P156" s="37" t="s">
        <v>70</v>
      </c>
      <c r="Q156" s="37">
        <v>108</v>
      </c>
    </row>
    <row r="157" spans="1:17">
      <c r="A157" s="33" t="s">
        <v>582</v>
      </c>
      <c r="B157" s="33" t="s">
        <v>583</v>
      </c>
      <c r="C157" s="33" t="s">
        <v>73</v>
      </c>
      <c r="D157" s="33" t="s">
        <v>56</v>
      </c>
      <c r="E157" s="33" t="s">
        <v>57</v>
      </c>
      <c r="F157" s="33" t="s">
        <v>48</v>
      </c>
      <c r="G157" s="33" t="s">
        <v>49</v>
      </c>
      <c r="H157" s="33" t="s">
        <v>202</v>
      </c>
      <c r="I157" s="33" t="s">
        <v>584</v>
      </c>
      <c r="J157" s="33">
        <v>275</v>
      </c>
      <c r="K157" s="33">
        <v>2566</v>
      </c>
      <c r="L157" s="33">
        <v>403.23</v>
      </c>
      <c r="M157" s="33" t="s">
        <v>44</v>
      </c>
      <c r="N157" s="33">
        <v>229</v>
      </c>
      <c r="O157" s="33">
        <v>165</v>
      </c>
      <c r="P157" s="33" t="s">
        <v>70</v>
      </c>
      <c r="Q157" s="33">
        <v>-10</v>
      </c>
    </row>
    <row r="158" spans="1:17">
      <c r="A158" s="37" t="s">
        <v>585</v>
      </c>
      <c r="B158" s="37" t="s">
        <v>586</v>
      </c>
      <c r="C158" s="37" t="s">
        <v>63</v>
      </c>
      <c r="D158" s="37" t="s">
        <v>197</v>
      </c>
      <c r="E158" s="37" t="s">
        <v>198</v>
      </c>
      <c r="F158" s="37" t="s">
        <v>129</v>
      </c>
      <c r="G158" s="37" t="s">
        <v>130</v>
      </c>
      <c r="H158" s="37" t="s">
        <v>162</v>
      </c>
      <c r="I158" s="37" t="s">
        <v>476</v>
      </c>
      <c r="J158" s="37">
        <v>375</v>
      </c>
      <c r="K158" s="37">
        <v>1797</v>
      </c>
      <c r="L158" s="37"/>
      <c r="M158" s="37" t="s">
        <v>60</v>
      </c>
      <c r="N158" s="37">
        <v>254</v>
      </c>
      <c r="O158" s="37">
        <v>180</v>
      </c>
      <c r="P158" s="37" t="s">
        <v>28</v>
      </c>
      <c r="Q158" s="37">
        <v>0</v>
      </c>
    </row>
    <row r="159" spans="1:17">
      <c r="A159" s="33" t="s">
        <v>587</v>
      </c>
      <c r="B159" s="33" t="s">
        <v>319</v>
      </c>
      <c r="C159" s="33" t="s">
        <v>20</v>
      </c>
      <c r="D159" s="33" t="s">
        <v>56</v>
      </c>
      <c r="E159" s="33" t="s">
        <v>57</v>
      </c>
      <c r="F159" s="33" t="s">
        <v>38</v>
      </c>
      <c r="G159" s="33" t="s">
        <v>39</v>
      </c>
      <c r="H159" s="33" t="s">
        <v>307</v>
      </c>
      <c r="I159" s="33" t="s">
        <v>588</v>
      </c>
      <c r="J159" s="33">
        <v>332</v>
      </c>
      <c r="K159" s="33">
        <v>2427</v>
      </c>
      <c r="L159" s="33">
        <v>591.83000000000004</v>
      </c>
      <c r="M159" s="33" t="s">
        <v>27</v>
      </c>
      <c r="N159" s="33">
        <v>328</v>
      </c>
      <c r="O159" s="33">
        <v>313</v>
      </c>
      <c r="P159" s="33" t="s">
        <v>28</v>
      </c>
      <c r="Q159" s="33">
        <v>0</v>
      </c>
    </row>
    <row r="160" spans="1:17">
      <c r="A160" s="37" t="s">
        <v>589</v>
      </c>
      <c r="B160" s="37" t="s">
        <v>590</v>
      </c>
      <c r="C160" s="37" t="s">
        <v>63</v>
      </c>
      <c r="D160" s="37" t="s">
        <v>66</v>
      </c>
      <c r="E160" s="37" t="s">
        <v>67</v>
      </c>
      <c r="F160" s="37" t="s">
        <v>95</v>
      </c>
      <c r="G160" s="37" t="s">
        <v>96</v>
      </c>
      <c r="H160" s="37" t="s">
        <v>591</v>
      </c>
      <c r="I160" s="37" t="s">
        <v>592</v>
      </c>
      <c r="J160" s="37">
        <v>349</v>
      </c>
      <c r="K160" s="37">
        <v>2387</v>
      </c>
      <c r="L160" s="37">
        <v>676.22</v>
      </c>
      <c r="M160" s="37" t="s">
        <v>27</v>
      </c>
      <c r="N160" s="37">
        <v>244</v>
      </c>
      <c r="O160" s="37">
        <v>126</v>
      </c>
      <c r="P160" s="37" t="s">
        <v>28</v>
      </c>
      <c r="Q160" s="37">
        <v>0</v>
      </c>
    </row>
    <row r="161" spans="1:17">
      <c r="A161" s="33" t="s">
        <v>593</v>
      </c>
      <c r="B161" s="33" t="s">
        <v>594</v>
      </c>
      <c r="C161" s="33" t="s">
        <v>47</v>
      </c>
      <c r="D161" s="33" t="s">
        <v>156</v>
      </c>
      <c r="E161" s="33" t="s">
        <v>157</v>
      </c>
      <c r="F161" s="33" t="s">
        <v>197</v>
      </c>
      <c r="G161" s="33" t="s">
        <v>198</v>
      </c>
      <c r="H161" s="33" t="s">
        <v>152</v>
      </c>
      <c r="I161" s="33" t="s">
        <v>595</v>
      </c>
      <c r="J161" s="33">
        <v>461</v>
      </c>
      <c r="K161" s="33">
        <v>2877</v>
      </c>
      <c r="L161" s="33">
        <v>109.84</v>
      </c>
      <c r="M161" s="33" t="s">
        <v>44</v>
      </c>
      <c r="N161" s="33">
        <v>167</v>
      </c>
      <c r="O161" s="33">
        <v>133</v>
      </c>
      <c r="P161" s="33" t="s">
        <v>70</v>
      </c>
      <c r="Q161" s="33">
        <v>163</v>
      </c>
    </row>
    <row r="162" spans="1:17">
      <c r="A162" s="37" t="s">
        <v>596</v>
      </c>
      <c r="B162" s="37" t="s">
        <v>597</v>
      </c>
      <c r="C162" s="37" t="s">
        <v>20</v>
      </c>
      <c r="D162" s="37" t="s">
        <v>54</v>
      </c>
      <c r="E162" s="37" t="s">
        <v>74</v>
      </c>
      <c r="F162" s="37" t="s">
        <v>79</v>
      </c>
      <c r="G162" s="37" t="s">
        <v>80</v>
      </c>
      <c r="H162" s="37" t="s">
        <v>97</v>
      </c>
      <c r="I162" s="37" t="s">
        <v>287</v>
      </c>
      <c r="J162" s="37">
        <v>165</v>
      </c>
      <c r="K162" s="37">
        <v>1292</v>
      </c>
      <c r="L162" s="37">
        <v>115.36</v>
      </c>
      <c r="M162" s="37" t="s">
        <v>27</v>
      </c>
      <c r="N162" s="37">
        <v>128</v>
      </c>
      <c r="O162" s="37">
        <v>74</v>
      </c>
      <c r="P162" s="37" t="s">
        <v>28</v>
      </c>
      <c r="Q162" s="37">
        <v>0</v>
      </c>
    </row>
    <row r="163" spans="1:17">
      <c r="A163" s="33" t="s">
        <v>598</v>
      </c>
      <c r="B163" s="33" t="s">
        <v>599</v>
      </c>
      <c r="C163" s="33" t="s">
        <v>73</v>
      </c>
      <c r="D163" s="33" t="s">
        <v>101</v>
      </c>
      <c r="E163" s="33" t="s">
        <v>102</v>
      </c>
      <c r="F163" s="33" t="s">
        <v>40</v>
      </c>
      <c r="G163" s="33" t="s">
        <v>41</v>
      </c>
      <c r="H163" s="33" t="s">
        <v>600</v>
      </c>
      <c r="I163" s="33" t="s">
        <v>118</v>
      </c>
      <c r="J163" s="33">
        <v>300</v>
      </c>
      <c r="K163" s="33">
        <v>2355</v>
      </c>
      <c r="L163" s="33">
        <v>947.97</v>
      </c>
      <c r="M163" s="33" t="s">
        <v>44</v>
      </c>
      <c r="N163" s="33">
        <v>323</v>
      </c>
      <c r="O163" s="33">
        <v>81</v>
      </c>
      <c r="P163" s="33" t="s">
        <v>70</v>
      </c>
      <c r="Q163" s="33">
        <v>147</v>
      </c>
    </row>
    <row r="164" spans="1:17">
      <c r="A164" s="37" t="s">
        <v>601</v>
      </c>
      <c r="B164" s="37" t="s">
        <v>602</v>
      </c>
      <c r="C164" s="37" t="s">
        <v>47</v>
      </c>
      <c r="D164" s="37" t="s">
        <v>79</v>
      </c>
      <c r="E164" s="37" t="s">
        <v>80</v>
      </c>
      <c r="F164" s="37" t="s">
        <v>32</v>
      </c>
      <c r="G164" s="37" t="s">
        <v>33</v>
      </c>
      <c r="H164" s="37" t="s">
        <v>462</v>
      </c>
      <c r="I164" s="37" t="s">
        <v>603</v>
      </c>
      <c r="J164" s="37">
        <v>178</v>
      </c>
      <c r="K164" s="37">
        <v>2182</v>
      </c>
      <c r="L164" s="37">
        <v>1101.58</v>
      </c>
      <c r="M164" s="37" t="s">
        <v>44</v>
      </c>
      <c r="N164" s="37">
        <v>239</v>
      </c>
      <c r="O164" s="37">
        <v>140</v>
      </c>
      <c r="P164" s="37" t="s">
        <v>70</v>
      </c>
      <c r="Q164" s="37">
        <v>179</v>
      </c>
    </row>
    <row r="165" spans="1:17">
      <c r="A165" s="33" t="s">
        <v>604</v>
      </c>
      <c r="B165" s="33" t="s">
        <v>605</v>
      </c>
      <c r="C165" s="33" t="s">
        <v>606</v>
      </c>
      <c r="D165" s="33" t="s">
        <v>183</v>
      </c>
      <c r="E165" s="33" t="s">
        <v>184</v>
      </c>
      <c r="F165" s="33" t="s">
        <v>21</v>
      </c>
      <c r="G165" s="33" t="s">
        <v>22</v>
      </c>
      <c r="H165" s="33" t="s">
        <v>287</v>
      </c>
      <c r="I165" s="33" t="s">
        <v>607</v>
      </c>
      <c r="J165" s="33">
        <v>205</v>
      </c>
      <c r="K165" s="33">
        <v>1519</v>
      </c>
      <c r="L165" s="33">
        <v>943.72</v>
      </c>
      <c r="M165" s="33" t="s">
        <v>27</v>
      </c>
      <c r="N165" s="33">
        <v>153</v>
      </c>
      <c r="O165" s="33">
        <v>138</v>
      </c>
      <c r="P165" s="33" t="s">
        <v>70</v>
      </c>
      <c r="Q165" s="33">
        <v>96</v>
      </c>
    </row>
    <row r="166" spans="1:17">
      <c r="A166" s="37" t="s">
        <v>608</v>
      </c>
      <c r="B166" s="37" t="s">
        <v>609</v>
      </c>
      <c r="C166" s="37" t="s">
        <v>47</v>
      </c>
      <c r="D166" s="37" t="s">
        <v>32</v>
      </c>
      <c r="E166" s="37" t="s">
        <v>33</v>
      </c>
      <c r="F166" s="37" t="s">
        <v>21</v>
      </c>
      <c r="G166" s="37" t="s">
        <v>22</v>
      </c>
      <c r="H166" s="37" t="s">
        <v>296</v>
      </c>
      <c r="I166" s="37" t="s">
        <v>610</v>
      </c>
      <c r="J166" s="37">
        <v>383</v>
      </c>
      <c r="K166" s="37">
        <v>2524</v>
      </c>
      <c r="L166" s="37">
        <v>505.26</v>
      </c>
      <c r="M166" s="37" t="s">
        <v>44</v>
      </c>
      <c r="N166" s="37">
        <v>309</v>
      </c>
      <c r="O166" s="37">
        <v>226</v>
      </c>
      <c r="P166" s="37" t="s">
        <v>149</v>
      </c>
      <c r="Q166" s="37">
        <v>0</v>
      </c>
    </row>
    <row r="167" spans="1:17">
      <c r="A167" s="33" t="s">
        <v>611</v>
      </c>
      <c r="B167" s="33" t="s">
        <v>612</v>
      </c>
      <c r="C167" s="33" t="s">
        <v>192</v>
      </c>
      <c r="D167" s="33" t="s">
        <v>56</v>
      </c>
      <c r="E167" s="33" t="s">
        <v>57</v>
      </c>
      <c r="F167" s="33" t="s">
        <v>156</v>
      </c>
      <c r="G167" s="33" t="s">
        <v>157</v>
      </c>
      <c r="H167" s="33" t="s">
        <v>545</v>
      </c>
      <c r="I167" s="33" t="s">
        <v>613</v>
      </c>
      <c r="J167" s="33">
        <v>267</v>
      </c>
      <c r="K167" s="33">
        <v>2111</v>
      </c>
      <c r="L167" s="33">
        <v>814.69</v>
      </c>
      <c r="M167" s="33" t="s">
        <v>27</v>
      </c>
      <c r="N167" s="33">
        <v>222</v>
      </c>
      <c r="O167" s="33">
        <v>104</v>
      </c>
      <c r="P167" s="33" t="s">
        <v>573</v>
      </c>
      <c r="Q167" s="33">
        <v>0</v>
      </c>
    </row>
    <row r="168" spans="1:17">
      <c r="A168" s="37" t="s">
        <v>614</v>
      </c>
      <c r="B168" s="37" t="s">
        <v>615</v>
      </c>
      <c r="C168" s="37" t="s">
        <v>192</v>
      </c>
      <c r="D168" s="37" t="s">
        <v>101</v>
      </c>
      <c r="E168" s="37" t="s">
        <v>102</v>
      </c>
      <c r="F168" s="37" t="s">
        <v>197</v>
      </c>
      <c r="G168" s="37" t="s">
        <v>198</v>
      </c>
      <c r="H168" s="37" t="s">
        <v>494</v>
      </c>
      <c r="I168" s="37" t="s">
        <v>616</v>
      </c>
      <c r="J168" s="37">
        <v>214</v>
      </c>
      <c r="K168" s="37">
        <v>507</v>
      </c>
      <c r="L168" s="37">
        <v>830.21</v>
      </c>
      <c r="M168" s="37" t="s">
        <v>27</v>
      </c>
      <c r="N168" s="37">
        <v>157</v>
      </c>
      <c r="O168" s="37">
        <v>131</v>
      </c>
      <c r="P168" s="37" t="s">
        <v>28</v>
      </c>
      <c r="Q168" s="37">
        <v>0</v>
      </c>
    </row>
    <row r="169" spans="1:17">
      <c r="A169" s="33" t="s">
        <v>617</v>
      </c>
      <c r="B169" s="33" t="s">
        <v>618</v>
      </c>
      <c r="C169" s="33" t="s">
        <v>73</v>
      </c>
      <c r="D169" s="33" t="s">
        <v>156</v>
      </c>
      <c r="E169" s="33" t="s">
        <v>157</v>
      </c>
      <c r="F169" s="33" t="s">
        <v>116</v>
      </c>
      <c r="G169" s="33" t="s">
        <v>117</v>
      </c>
      <c r="H169" s="33" t="s">
        <v>118</v>
      </c>
      <c r="I169" s="33" t="s">
        <v>180</v>
      </c>
      <c r="J169" s="33">
        <v>92</v>
      </c>
      <c r="K169" s="33">
        <v>2554</v>
      </c>
      <c r="L169" s="33">
        <v>1175.26</v>
      </c>
      <c r="M169" s="33"/>
      <c r="N169" s="33">
        <v>204</v>
      </c>
      <c r="O169" s="33">
        <v>171</v>
      </c>
      <c r="P169" s="33" t="s">
        <v>28</v>
      </c>
      <c r="Q169" s="33">
        <v>0</v>
      </c>
    </row>
    <row r="170" spans="1:17">
      <c r="A170" s="37" t="s">
        <v>619</v>
      </c>
      <c r="B170" s="37" t="s">
        <v>620</v>
      </c>
      <c r="C170" s="37" t="s">
        <v>192</v>
      </c>
      <c r="D170" s="37" t="s">
        <v>156</v>
      </c>
      <c r="E170" s="37" t="s">
        <v>157</v>
      </c>
      <c r="F170" s="37" t="s">
        <v>95</v>
      </c>
      <c r="G170" s="37" t="s">
        <v>96</v>
      </c>
      <c r="H170" s="37" t="s">
        <v>499</v>
      </c>
      <c r="I170" s="37" t="s">
        <v>600</v>
      </c>
      <c r="J170" s="37">
        <v>135</v>
      </c>
      <c r="K170" s="37">
        <v>2971</v>
      </c>
      <c r="L170" s="37">
        <v>723.03</v>
      </c>
      <c r="M170" s="37" t="s">
        <v>27</v>
      </c>
      <c r="N170" s="37">
        <v>289</v>
      </c>
      <c r="O170" s="37">
        <v>235</v>
      </c>
      <c r="P170" s="37" t="s">
        <v>70</v>
      </c>
      <c r="Q170" s="37">
        <v>24</v>
      </c>
    </row>
    <row r="171" spans="1:17">
      <c r="A171" s="33" t="s">
        <v>621</v>
      </c>
      <c r="B171" s="33" t="s">
        <v>622</v>
      </c>
      <c r="C171" s="33" t="s">
        <v>73</v>
      </c>
      <c r="D171" s="33" t="s">
        <v>38</v>
      </c>
      <c r="E171" s="33" t="s">
        <v>39</v>
      </c>
      <c r="F171" s="33" t="s">
        <v>56</v>
      </c>
      <c r="G171" s="33" t="s">
        <v>57</v>
      </c>
      <c r="H171" s="33" t="s">
        <v>465</v>
      </c>
      <c r="I171" s="33" t="s">
        <v>623</v>
      </c>
      <c r="J171" s="33">
        <v>185</v>
      </c>
      <c r="K171" s="33">
        <v>1485</v>
      </c>
      <c r="L171" s="33">
        <v>1061.95</v>
      </c>
      <c r="M171" s="33" t="s">
        <v>60</v>
      </c>
      <c r="N171" s="33">
        <v>176</v>
      </c>
      <c r="O171" s="33">
        <v>122</v>
      </c>
      <c r="P171" s="33" t="s">
        <v>28</v>
      </c>
      <c r="Q171" s="33">
        <v>0</v>
      </c>
    </row>
    <row r="172" spans="1:17">
      <c r="A172" s="37" t="s">
        <v>624</v>
      </c>
      <c r="B172" s="37" t="s">
        <v>625</v>
      </c>
      <c r="C172" s="37" t="s">
        <v>192</v>
      </c>
      <c r="D172" s="37" t="s">
        <v>40</v>
      </c>
      <c r="E172" s="37" t="s">
        <v>41</v>
      </c>
      <c r="F172" s="37" t="s">
        <v>54</v>
      </c>
      <c r="G172" s="37" t="s">
        <v>74</v>
      </c>
      <c r="H172" s="37" t="s">
        <v>626</v>
      </c>
      <c r="I172" s="37" t="s">
        <v>627</v>
      </c>
      <c r="J172" s="37">
        <v>158</v>
      </c>
      <c r="K172" s="37">
        <v>2365</v>
      </c>
      <c r="L172" s="37">
        <v>604.17999999999995</v>
      </c>
      <c r="M172" s="37" t="s">
        <v>60</v>
      </c>
      <c r="N172" s="37">
        <v>307</v>
      </c>
      <c r="O172" s="37">
        <v>107</v>
      </c>
      <c r="P172" s="37" t="s">
        <v>28</v>
      </c>
      <c r="Q172" s="37">
        <v>0</v>
      </c>
    </row>
    <row r="173" spans="1:17">
      <c r="A173" s="33" t="s">
        <v>628</v>
      </c>
      <c r="B173" s="33" t="s">
        <v>629</v>
      </c>
      <c r="C173" s="33" t="s">
        <v>192</v>
      </c>
      <c r="D173" s="33" t="s">
        <v>38</v>
      </c>
      <c r="E173" s="33" t="s">
        <v>39</v>
      </c>
      <c r="F173" s="33" t="s">
        <v>174</v>
      </c>
      <c r="G173" s="33" t="s">
        <v>175</v>
      </c>
      <c r="H173" s="33" t="s">
        <v>131</v>
      </c>
      <c r="I173" s="33" t="s">
        <v>630</v>
      </c>
      <c r="J173" s="33">
        <v>241</v>
      </c>
      <c r="K173" s="33">
        <v>2625</v>
      </c>
      <c r="L173" s="33">
        <v>835.33</v>
      </c>
      <c r="M173" s="33" t="s">
        <v>60</v>
      </c>
      <c r="N173" s="33">
        <v>144</v>
      </c>
      <c r="O173" s="33">
        <v>128</v>
      </c>
      <c r="P173" s="33" t="s">
        <v>70</v>
      </c>
      <c r="Q173" s="33">
        <v>118</v>
      </c>
    </row>
    <row r="174" spans="1:17">
      <c r="A174" s="37" t="s">
        <v>631</v>
      </c>
      <c r="B174" s="37" t="s">
        <v>632</v>
      </c>
      <c r="C174" s="37" t="s">
        <v>47</v>
      </c>
      <c r="D174" s="37" t="s">
        <v>54</v>
      </c>
      <c r="E174" s="37" t="s">
        <v>55</v>
      </c>
      <c r="F174" s="37" t="s">
        <v>129</v>
      </c>
      <c r="G174" s="37" t="s">
        <v>130</v>
      </c>
      <c r="H174" s="37" t="s">
        <v>266</v>
      </c>
      <c r="I174" s="37" t="s">
        <v>633</v>
      </c>
      <c r="J174" s="37">
        <v>184</v>
      </c>
      <c r="K174" s="37">
        <v>875</v>
      </c>
      <c r="L174" s="37">
        <v>614.75</v>
      </c>
      <c r="M174" s="37" t="s">
        <v>60</v>
      </c>
      <c r="N174" s="37">
        <v>101</v>
      </c>
      <c r="O174" s="37">
        <v>66</v>
      </c>
      <c r="P174" s="37" t="s">
        <v>28</v>
      </c>
      <c r="Q174" s="37">
        <v>0</v>
      </c>
    </row>
    <row r="175" spans="1:17">
      <c r="A175" s="33" t="s">
        <v>634</v>
      </c>
      <c r="B175" s="33" t="s">
        <v>635</v>
      </c>
      <c r="C175" s="33" t="s">
        <v>192</v>
      </c>
      <c r="D175" s="33" t="s">
        <v>156</v>
      </c>
      <c r="E175" s="33" t="s">
        <v>157</v>
      </c>
      <c r="F175" s="33" t="s">
        <v>95</v>
      </c>
      <c r="G175" s="33" t="s">
        <v>96</v>
      </c>
      <c r="H175" s="33" t="s">
        <v>244</v>
      </c>
      <c r="I175" s="33" t="s">
        <v>636</v>
      </c>
      <c r="J175" s="33">
        <v>223</v>
      </c>
      <c r="K175" s="33">
        <v>2977</v>
      </c>
      <c r="L175" s="33">
        <v>482.7</v>
      </c>
      <c r="M175" s="33" t="s">
        <v>60</v>
      </c>
      <c r="N175" s="33">
        <v>115</v>
      </c>
      <c r="O175" s="33">
        <v>65</v>
      </c>
      <c r="P175" s="33" t="s">
        <v>28</v>
      </c>
      <c r="Q175" s="33">
        <v>0</v>
      </c>
    </row>
    <row r="176" spans="1:17">
      <c r="A176" s="37" t="s">
        <v>637</v>
      </c>
      <c r="B176" s="37" t="s">
        <v>638</v>
      </c>
      <c r="C176" s="37" t="s">
        <v>73</v>
      </c>
      <c r="D176" s="37" t="s">
        <v>116</v>
      </c>
      <c r="E176" s="37" t="s">
        <v>117</v>
      </c>
      <c r="F176" s="37" t="s">
        <v>95</v>
      </c>
      <c r="G176" s="37" t="s">
        <v>96</v>
      </c>
      <c r="H176" s="37" t="s">
        <v>545</v>
      </c>
      <c r="I176" s="37" t="s">
        <v>639</v>
      </c>
      <c r="J176" s="37">
        <v>417</v>
      </c>
      <c r="K176" s="37">
        <v>1508</v>
      </c>
      <c r="L176" s="37">
        <v>491.65</v>
      </c>
      <c r="M176" s="37" t="s">
        <v>60</v>
      </c>
      <c r="N176" s="37">
        <v>156</v>
      </c>
      <c r="O176" s="37">
        <v>67</v>
      </c>
      <c r="P176" s="37" t="s">
        <v>28</v>
      </c>
      <c r="Q176" s="37">
        <v>0</v>
      </c>
    </row>
    <row r="177" spans="1:17">
      <c r="A177" s="33" t="s">
        <v>640</v>
      </c>
      <c r="B177" s="33" t="s">
        <v>641</v>
      </c>
      <c r="C177" s="33" t="s">
        <v>47</v>
      </c>
      <c r="D177" s="33" t="s">
        <v>129</v>
      </c>
      <c r="E177" s="33" t="s">
        <v>130</v>
      </c>
      <c r="F177" s="33" t="s">
        <v>54</v>
      </c>
      <c r="G177" s="33" t="s">
        <v>74</v>
      </c>
      <c r="H177" s="33" t="s">
        <v>642</v>
      </c>
      <c r="I177" s="33" t="s">
        <v>338</v>
      </c>
      <c r="J177" s="33">
        <v>480</v>
      </c>
      <c r="K177" s="33">
        <v>1313</v>
      </c>
      <c r="L177" s="33">
        <v>841.98</v>
      </c>
      <c r="M177" s="33" t="s">
        <v>27</v>
      </c>
      <c r="N177" s="33">
        <v>323</v>
      </c>
      <c r="O177" s="33">
        <v>91</v>
      </c>
      <c r="P177" s="33" t="s">
        <v>28</v>
      </c>
      <c r="Q177" s="33">
        <v>0</v>
      </c>
    </row>
    <row r="178" spans="1:17">
      <c r="A178" s="37" t="s">
        <v>643</v>
      </c>
      <c r="B178" s="37" t="s">
        <v>644</v>
      </c>
      <c r="C178" s="37" t="s">
        <v>47</v>
      </c>
      <c r="D178" s="37" t="s">
        <v>54</v>
      </c>
      <c r="E178" s="37" t="s">
        <v>55</v>
      </c>
      <c r="F178" s="37" t="s">
        <v>48</v>
      </c>
      <c r="G178" s="37" t="s">
        <v>49</v>
      </c>
      <c r="H178" s="37" t="s">
        <v>166</v>
      </c>
      <c r="I178" s="37" t="s">
        <v>645</v>
      </c>
      <c r="J178" s="37">
        <v>370</v>
      </c>
      <c r="K178" s="37">
        <v>2370</v>
      </c>
      <c r="L178" s="37">
        <v>306.42</v>
      </c>
      <c r="M178" s="37" t="s">
        <v>27</v>
      </c>
      <c r="N178" s="37">
        <v>138</v>
      </c>
      <c r="O178" s="37">
        <v>71</v>
      </c>
      <c r="P178" s="37" t="s">
        <v>28</v>
      </c>
      <c r="Q178" s="37">
        <v>0</v>
      </c>
    </row>
    <row r="179" spans="1:17">
      <c r="A179" s="33" t="s">
        <v>646</v>
      </c>
      <c r="B179" s="33" t="s">
        <v>647</v>
      </c>
      <c r="C179" s="33" t="s">
        <v>115</v>
      </c>
      <c r="D179" s="33" t="s">
        <v>197</v>
      </c>
      <c r="E179" s="33" t="s">
        <v>198</v>
      </c>
      <c r="F179" s="33" t="s">
        <v>23</v>
      </c>
      <c r="G179" s="33" t="s">
        <v>24</v>
      </c>
      <c r="H179" s="33" t="s">
        <v>648</v>
      </c>
      <c r="I179" s="33" t="s">
        <v>649</v>
      </c>
      <c r="J179" s="33">
        <v>136</v>
      </c>
      <c r="K179" s="33">
        <v>2390</v>
      </c>
      <c r="L179" s="33">
        <v>578.94000000000005</v>
      </c>
      <c r="M179" s="33" t="s">
        <v>60</v>
      </c>
      <c r="N179" s="33">
        <v>216</v>
      </c>
      <c r="O179" s="33">
        <v>83</v>
      </c>
      <c r="P179" s="33" t="s">
        <v>28</v>
      </c>
      <c r="Q179" s="33">
        <v>0</v>
      </c>
    </row>
    <row r="180" spans="1:17">
      <c r="A180" s="37" t="s">
        <v>650</v>
      </c>
      <c r="B180" s="37" t="s">
        <v>651</v>
      </c>
      <c r="C180" s="37" t="s">
        <v>20</v>
      </c>
      <c r="D180" s="37" t="s">
        <v>32</v>
      </c>
      <c r="E180" s="37" t="s">
        <v>33</v>
      </c>
      <c r="F180" s="37" t="s">
        <v>40</v>
      </c>
      <c r="G180" s="37" t="s">
        <v>41</v>
      </c>
      <c r="H180" s="37" t="s">
        <v>216</v>
      </c>
      <c r="I180" s="37" t="s">
        <v>652</v>
      </c>
      <c r="J180" s="37">
        <v>460</v>
      </c>
      <c r="K180" s="37">
        <v>389</v>
      </c>
      <c r="L180" s="37">
        <v>523.46</v>
      </c>
      <c r="M180" s="37" t="s">
        <v>60</v>
      </c>
      <c r="N180" s="37">
        <v>290</v>
      </c>
      <c r="O180" s="37">
        <v>105</v>
      </c>
      <c r="P180" s="37" t="s">
        <v>28</v>
      </c>
      <c r="Q180" s="37">
        <v>0</v>
      </c>
    </row>
    <row r="181" spans="1:17">
      <c r="A181" s="33" t="s">
        <v>653</v>
      </c>
      <c r="B181" s="33" t="s">
        <v>583</v>
      </c>
      <c r="C181" s="33" t="s">
        <v>73</v>
      </c>
      <c r="D181" s="33" t="s">
        <v>64</v>
      </c>
      <c r="E181" s="33" t="s">
        <v>65</v>
      </c>
      <c r="F181" s="33" t="s">
        <v>54</v>
      </c>
      <c r="G181" s="33" t="s">
        <v>55</v>
      </c>
      <c r="H181" s="33" t="s">
        <v>571</v>
      </c>
      <c r="I181" s="33" t="s">
        <v>654</v>
      </c>
      <c r="J181" s="33">
        <v>125</v>
      </c>
      <c r="K181" s="33">
        <v>2233</v>
      </c>
      <c r="L181" s="33">
        <v>115.54</v>
      </c>
      <c r="M181" s="33" t="s">
        <v>44</v>
      </c>
      <c r="N181" s="33">
        <v>146</v>
      </c>
      <c r="O181" s="33">
        <v>67</v>
      </c>
      <c r="P181" s="33" t="s">
        <v>70</v>
      </c>
      <c r="Q181" s="33">
        <v>180</v>
      </c>
    </row>
    <row r="182" spans="1:17">
      <c r="A182" s="37" t="s">
        <v>655</v>
      </c>
      <c r="B182" s="37" t="s">
        <v>656</v>
      </c>
      <c r="C182" s="37" t="s">
        <v>47</v>
      </c>
      <c r="D182" s="37" t="s">
        <v>66</v>
      </c>
      <c r="E182" s="37" t="s">
        <v>67</v>
      </c>
      <c r="F182" s="37" t="s">
        <v>79</v>
      </c>
      <c r="G182" s="37" t="s">
        <v>80</v>
      </c>
      <c r="H182" s="37" t="s">
        <v>465</v>
      </c>
      <c r="I182" s="37" t="s">
        <v>657</v>
      </c>
      <c r="J182" s="37">
        <v>131</v>
      </c>
      <c r="K182" s="37">
        <v>2508</v>
      </c>
      <c r="L182" s="37">
        <v>228.95</v>
      </c>
      <c r="M182" s="37" t="s">
        <v>44</v>
      </c>
      <c r="N182" s="37">
        <v>130</v>
      </c>
      <c r="O182" s="37">
        <v>72</v>
      </c>
      <c r="P182" s="37" t="s">
        <v>149</v>
      </c>
      <c r="Q182" s="37"/>
    </row>
    <row r="183" spans="1:17">
      <c r="A183" s="33" t="s">
        <v>658</v>
      </c>
      <c r="B183" s="33" t="s">
        <v>659</v>
      </c>
      <c r="C183" s="33" t="s">
        <v>63</v>
      </c>
      <c r="D183" s="33" t="s">
        <v>23</v>
      </c>
      <c r="E183" s="33" t="s">
        <v>24</v>
      </c>
      <c r="F183" s="33" t="s">
        <v>174</v>
      </c>
      <c r="G183" s="33" t="s">
        <v>175</v>
      </c>
      <c r="H183" s="33" t="s">
        <v>382</v>
      </c>
      <c r="I183" s="33" t="s">
        <v>660</v>
      </c>
      <c r="J183" s="33">
        <v>327</v>
      </c>
      <c r="K183" s="33">
        <v>2530</v>
      </c>
      <c r="L183" s="33">
        <v>555.02</v>
      </c>
      <c r="M183" s="33" t="s">
        <v>44</v>
      </c>
      <c r="N183" s="33">
        <v>310</v>
      </c>
      <c r="O183" s="33">
        <v>167</v>
      </c>
      <c r="P183" s="33" t="s">
        <v>28</v>
      </c>
      <c r="Q183" s="33">
        <v>0</v>
      </c>
    </row>
    <row r="184" spans="1:17">
      <c r="A184" s="37" t="s">
        <v>661</v>
      </c>
      <c r="B184" s="37" t="s">
        <v>662</v>
      </c>
      <c r="C184" s="37" t="s">
        <v>63</v>
      </c>
      <c r="D184" s="37" t="s">
        <v>21</v>
      </c>
      <c r="E184" s="37" t="s">
        <v>22</v>
      </c>
      <c r="F184" s="37" t="s">
        <v>183</v>
      </c>
      <c r="G184" s="37" t="s">
        <v>184</v>
      </c>
      <c r="H184" s="37" t="s">
        <v>663</v>
      </c>
      <c r="I184" s="37" t="s">
        <v>664</v>
      </c>
      <c r="J184" s="37">
        <v>106</v>
      </c>
      <c r="K184" s="37">
        <v>2017</v>
      </c>
      <c r="L184" s="37">
        <v>768.71</v>
      </c>
      <c r="M184" s="37"/>
      <c r="N184" s="37">
        <v>161</v>
      </c>
      <c r="O184" s="37">
        <v>76</v>
      </c>
      <c r="P184" s="37" t="s">
        <v>28</v>
      </c>
      <c r="Q184" s="37">
        <v>0</v>
      </c>
    </row>
    <row r="185" spans="1:17">
      <c r="A185" s="33" t="s">
        <v>665</v>
      </c>
      <c r="B185" s="33" t="s">
        <v>666</v>
      </c>
      <c r="C185" s="33" t="s">
        <v>115</v>
      </c>
      <c r="D185" s="33" t="s">
        <v>48</v>
      </c>
      <c r="E185" s="33" t="s">
        <v>49</v>
      </c>
      <c r="F185" s="33" t="s">
        <v>56</v>
      </c>
      <c r="G185" s="33" t="s">
        <v>57</v>
      </c>
      <c r="H185" s="33" t="s">
        <v>426</v>
      </c>
      <c r="I185" s="33" t="s">
        <v>607</v>
      </c>
      <c r="J185" s="33">
        <v>295</v>
      </c>
      <c r="K185" s="33">
        <v>2097</v>
      </c>
      <c r="L185" s="33">
        <v>342.46</v>
      </c>
      <c r="M185" s="33" t="s">
        <v>60</v>
      </c>
      <c r="N185" s="33">
        <v>293</v>
      </c>
      <c r="O185" s="33">
        <v>271</v>
      </c>
      <c r="P185" s="33" t="s">
        <v>70</v>
      </c>
      <c r="Q185" s="33">
        <v>50</v>
      </c>
    </row>
    <row r="186" spans="1:17">
      <c r="A186" s="37" t="s">
        <v>667</v>
      </c>
      <c r="B186" s="37" t="s">
        <v>668</v>
      </c>
      <c r="C186" s="37" t="s">
        <v>192</v>
      </c>
      <c r="D186" s="37" t="s">
        <v>23</v>
      </c>
      <c r="E186" s="37" t="s">
        <v>24</v>
      </c>
      <c r="F186" s="37" t="s">
        <v>48</v>
      </c>
      <c r="G186" s="37" t="s">
        <v>49</v>
      </c>
      <c r="H186" s="37" t="s">
        <v>42</v>
      </c>
      <c r="I186" s="37" t="s">
        <v>365</v>
      </c>
      <c r="J186" s="37">
        <v>211</v>
      </c>
      <c r="K186" s="37">
        <v>1536</v>
      </c>
      <c r="L186" s="37">
        <v>1061.4100000000001</v>
      </c>
      <c r="M186" s="37" t="s">
        <v>27</v>
      </c>
      <c r="N186" s="37">
        <v>233</v>
      </c>
      <c r="O186" s="37">
        <v>106</v>
      </c>
      <c r="P186" s="37" t="s">
        <v>573</v>
      </c>
      <c r="Q186" s="37">
        <v>0</v>
      </c>
    </row>
    <row r="187" spans="1:17">
      <c r="A187" s="33" t="s">
        <v>669</v>
      </c>
      <c r="B187" s="33" t="s">
        <v>670</v>
      </c>
      <c r="C187" s="33" t="s">
        <v>671</v>
      </c>
      <c r="D187" s="33" t="s">
        <v>32</v>
      </c>
      <c r="E187" s="33" t="s">
        <v>33</v>
      </c>
      <c r="F187" s="33" t="s">
        <v>48</v>
      </c>
      <c r="G187" s="33" t="s">
        <v>49</v>
      </c>
      <c r="H187" s="33" t="s">
        <v>338</v>
      </c>
      <c r="I187" s="33" t="s">
        <v>672</v>
      </c>
      <c r="J187" s="33">
        <v>410</v>
      </c>
      <c r="K187" s="33">
        <v>2049</v>
      </c>
      <c r="L187" s="33">
        <v>702.55</v>
      </c>
      <c r="M187" s="33" t="s">
        <v>60</v>
      </c>
      <c r="N187" s="33">
        <v>348</v>
      </c>
      <c r="O187" s="33"/>
      <c r="P187" s="33" t="s">
        <v>149</v>
      </c>
      <c r="Q187" s="33">
        <v>0</v>
      </c>
    </row>
    <row r="188" spans="1:17">
      <c r="A188" s="37" t="s">
        <v>673</v>
      </c>
      <c r="B188" s="37" t="s">
        <v>674</v>
      </c>
      <c r="C188" s="37" t="s">
        <v>47</v>
      </c>
      <c r="D188" s="37" t="s">
        <v>129</v>
      </c>
      <c r="E188" s="37" t="s">
        <v>130</v>
      </c>
      <c r="F188" s="37" t="s">
        <v>40</v>
      </c>
      <c r="G188" s="37" t="s">
        <v>41</v>
      </c>
      <c r="H188" s="37" t="s">
        <v>560</v>
      </c>
      <c r="I188" s="37" t="s">
        <v>675</v>
      </c>
      <c r="J188" s="37">
        <v>282</v>
      </c>
      <c r="K188" s="37">
        <v>1053</v>
      </c>
      <c r="L188" s="37">
        <v>924.95</v>
      </c>
      <c r="M188" s="37" t="s">
        <v>44</v>
      </c>
      <c r="N188" s="37">
        <v>161</v>
      </c>
      <c r="O188" s="37">
        <v>158</v>
      </c>
      <c r="P188" s="37" t="s">
        <v>28</v>
      </c>
      <c r="Q188" s="37">
        <v>0</v>
      </c>
    </row>
    <row r="189" spans="1:17">
      <c r="A189" s="33" t="s">
        <v>676</v>
      </c>
      <c r="B189" s="33" t="s">
        <v>677</v>
      </c>
      <c r="C189" s="33" t="s">
        <v>115</v>
      </c>
      <c r="D189" s="33" t="s">
        <v>56</v>
      </c>
      <c r="E189" s="33" t="s">
        <v>57</v>
      </c>
      <c r="F189" s="33" t="s">
        <v>54</v>
      </c>
      <c r="G189" s="33" t="s">
        <v>74</v>
      </c>
      <c r="H189" s="33" t="s">
        <v>226</v>
      </c>
      <c r="I189" s="33" t="s">
        <v>499</v>
      </c>
      <c r="J189" s="33">
        <v>375</v>
      </c>
      <c r="K189" s="33">
        <v>2470</v>
      </c>
      <c r="L189" s="33">
        <v>230.18</v>
      </c>
      <c r="M189" s="33" t="s">
        <v>60</v>
      </c>
      <c r="N189" s="33">
        <v>165</v>
      </c>
      <c r="O189" s="33">
        <v>76</v>
      </c>
      <c r="P189" s="33" t="s">
        <v>28</v>
      </c>
      <c r="Q189" s="33">
        <v>0</v>
      </c>
    </row>
    <row r="190" spans="1:17">
      <c r="A190" s="37" t="s">
        <v>678</v>
      </c>
      <c r="B190" s="37" t="s">
        <v>679</v>
      </c>
      <c r="C190" s="37" t="s">
        <v>115</v>
      </c>
      <c r="D190" s="37" t="s">
        <v>64</v>
      </c>
      <c r="E190" s="37" t="s">
        <v>65</v>
      </c>
      <c r="F190" s="37" t="s">
        <v>54</v>
      </c>
      <c r="G190" s="37" t="s">
        <v>55</v>
      </c>
      <c r="H190" s="37" t="s">
        <v>202</v>
      </c>
      <c r="I190" s="37" t="s">
        <v>680</v>
      </c>
      <c r="J190" s="37">
        <v>116</v>
      </c>
      <c r="K190" s="37">
        <v>1399</v>
      </c>
      <c r="L190" s="37">
        <v>502.43</v>
      </c>
      <c r="M190" s="37" t="s">
        <v>27</v>
      </c>
      <c r="N190" s="37">
        <v>254</v>
      </c>
      <c r="O190" s="37">
        <v>60</v>
      </c>
      <c r="P190" s="37" t="s">
        <v>70</v>
      </c>
      <c r="Q190" s="37">
        <v>63</v>
      </c>
    </row>
    <row r="191" spans="1:17">
      <c r="A191" s="33" t="s">
        <v>681</v>
      </c>
      <c r="B191" s="33" t="s">
        <v>682</v>
      </c>
      <c r="C191" s="33" t="s">
        <v>115</v>
      </c>
      <c r="D191" s="33" t="s">
        <v>183</v>
      </c>
      <c r="E191" s="33" t="s">
        <v>184</v>
      </c>
      <c r="F191" s="33" t="s">
        <v>64</v>
      </c>
      <c r="G191" s="33" t="s">
        <v>65</v>
      </c>
      <c r="H191" s="33" t="s">
        <v>296</v>
      </c>
      <c r="I191" s="33" t="s">
        <v>683</v>
      </c>
      <c r="J191" s="33">
        <v>198</v>
      </c>
      <c r="K191" s="33">
        <v>1078</v>
      </c>
      <c r="L191" s="33">
        <v>1157.53</v>
      </c>
      <c r="M191" s="33" t="s">
        <v>60</v>
      </c>
      <c r="N191" s="33">
        <v>291</v>
      </c>
      <c r="O191" s="33">
        <v>243</v>
      </c>
      <c r="P191" s="33" t="s">
        <v>28</v>
      </c>
      <c r="Q191" s="33">
        <v>0</v>
      </c>
    </row>
    <row r="192" spans="1:17">
      <c r="A192" s="37" t="s">
        <v>684</v>
      </c>
      <c r="B192" s="37" t="s">
        <v>685</v>
      </c>
      <c r="C192" s="37" t="s">
        <v>31</v>
      </c>
      <c r="D192" s="37" t="s">
        <v>66</v>
      </c>
      <c r="E192" s="37" t="s">
        <v>67</v>
      </c>
      <c r="F192" s="37" t="s">
        <v>23</v>
      </c>
      <c r="G192" s="37" t="s">
        <v>24</v>
      </c>
      <c r="H192" s="37" t="s">
        <v>528</v>
      </c>
      <c r="I192" s="37" t="s">
        <v>686</v>
      </c>
      <c r="J192" s="37">
        <v>234</v>
      </c>
      <c r="K192" s="37">
        <v>1859</v>
      </c>
      <c r="L192" s="37">
        <v>602.20000000000005</v>
      </c>
      <c r="M192" s="37" t="s">
        <v>27</v>
      </c>
      <c r="N192" s="37">
        <v>191</v>
      </c>
      <c r="O192" s="37">
        <v>128</v>
      </c>
      <c r="P192" s="37" t="s">
        <v>28</v>
      </c>
      <c r="Q192" s="37">
        <v>0</v>
      </c>
    </row>
    <row r="193" spans="1:17">
      <c r="A193" s="33" t="s">
        <v>687</v>
      </c>
      <c r="B193" s="33" t="s">
        <v>688</v>
      </c>
      <c r="C193" s="33" t="s">
        <v>115</v>
      </c>
      <c r="D193" s="33" t="s">
        <v>40</v>
      </c>
      <c r="E193" s="33" t="s">
        <v>41</v>
      </c>
      <c r="F193" s="33" t="s">
        <v>197</v>
      </c>
      <c r="G193" s="33" t="s">
        <v>198</v>
      </c>
      <c r="H193" s="33" t="s">
        <v>275</v>
      </c>
      <c r="I193" s="33" t="s">
        <v>689</v>
      </c>
      <c r="J193" s="33">
        <v>479</v>
      </c>
      <c r="K193" s="33">
        <v>1611</v>
      </c>
      <c r="L193" s="33">
        <v>1104.05</v>
      </c>
      <c r="M193" s="33" t="s">
        <v>44</v>
      </c>
      <c r="N193" s="33">
        <v>180</v>
      </c>
      <c r="O193" s="33">
        <v>155</v>
      </c>
      <c r="P193" s="33" t="s">
        <v>28</v>
      </c>
      <c r="Q193" s="33">
        <v>0</v>
      </c>
    </row>
    <row r="194" spans="1:17">
      <c r="A194" s="37" t="s">
        <v>690</v>
      </c>
      <c r="B194" s="37" t="s">
        <v>691</v>
      </c>
      <c r="C194" s="37" t="s">
        <v>63</v>
      </c>
      <c r="D194" s="37" t="s">
        <v>174</v>
      </c>
      <c r="E194" s="37" t="s">
        <v>175</v>
      </c>
      <c r="F194" s="37" t="s">
        <v>95</v>
      </c>
      <c r="G194" s="37" t="s">
        <v>96</v>
      </c>
      <c r="H194" s="37" t="s">
        <v>476</v>
      </c>
      <c r="I194" s="37" t="s">
        <v>362</v>
      </c>
      <c r="J194" s="37">
        <v>241</v>
      </c>
      <c r="K194" s="37">
        <v>924</v>
      </c>
      <c r="L194" s="37">
        <v>299.73</v>
      </c>
      <c r="M194" s="37" t="s">
        <v>60</v>
      </c>
      <c r="N194" s="37">
        <v>197</v>
      </c>
      <c r="O194" s="37">
        <v>195</v>
      </c>
      <c r="P194" s="37" t="s">
        <v>70</v>
      </c>
      <c r="Q194" s="37">
        <v>142</v>
      </c>
    </row>
    <row r="195" spans="1:17">
      <c r="A195" s="33" t="s">
        <v>692</v>
      </c>
      <c r="B195" s="33" t="s">
        <v>693</v>
      </c>
      <c r="C195" s="33" t="s">
        <v>192</v>
      </c>
      <c r="D195" s="33" t="s">
        <v>79</v>
      </c>
      <c r="E195" s="33" t="s">
        <v>80</v>
      </c>
      <c r="F195" s="33" t="s">
        <v>116</v>
      </c>
      <c r="G195" s="33" t="s">
        <v>117</v>
      </c>
      <c r="H195" s="33" t="s">
        <v>473</v>
      </c>
      <c r="I195" s="33" t="s">
        <v>545</v>
      </c>
      <c r="J195" s="33">
        <v>465</v>
      </c>
      <c r="K195" s="33">
        <v>1742</v>
      </c>
      <c r="L195" s="33">
        <v>269.58</v>
      </c>
      <c r="M195" s="33" t="s">
        <v>27</v>
      </c>
      <c r="N195" s="33">
        <v>239</v>
      </c>
      <c r="O195" s="33">
        <v>175</v>
      </c>
      <c r="P195" s="33" t="s">
        <v>28</v>
      </c>
      <c r="Q195" s="33">
        <v>0</v>
      </c>
    </row>
    <row r="196" spans="1:17">
      <c r="A196" s="37" t="s">
        <v>694</v>
      </c>
      <c r="B196" s="37" t="s">
        <v>695</v>
      </c>
      <c r="C196" s="37" t="s">
        <v>20</v>
      </c>
      <c r="D196" s="37" t="s">
        <v>54</v>
      </c>
      <c r="E196" s="37" t="s">
        <v>55</v>
      </c>
      <c r="F196" s="37" t="s">
        <v>56</v>
      </c>
      <c r="G196" s="37" t="s">
        <v>57</v>
      </c>
      <c r="H196" s="37" t="s">
        <v>158</v>
      </c>
      <c r="I196" s="37" t="s">
        <v>696</v>
      </c>
      <c r="J196" s="37">
        <v>160</v>
      </c>
      <c r="K196" s="37">
        <v>2883</v>
      </c>
      <c r="L196" s="37">
        <v>339.21</v>
      </c>
      <c r="M196" s="37" t="s">
        <v>27</v>
      </c>
      <c r="N196" s="37">
        <v>138</v>
      </c>
      <c r="O196" s="37">
        <v>51</v>
      </c>
      <c r="P196" s="37" t="s">
        <v>28</v>
      </c>
      <c r="Q196" s="37">
        <v>0</v>
      </c>
    </row>
    <row r="197" spans="1:17">
      <c r="A197" s="33" t="s">
        <v>697</v>
      </c>
      <c r="B197" s="33" t="s">
        <v>698</v>
      </c>
      <c r="C197" s="33" t="s">
        <v>47</v>
      </c>
      <c r="D197" s="33" t="s">
        <v>56</v>
      </c>
      <c r="E197" s="33" t="s">
        <v>57</v>
      </c>
      <c r="F197" s="33" t="s">
        <v>116</v>
      </c>
      <c r="G197" s="33" t="s">
        <v>117</v>
      </c>
      <c r="H197" s="33" t="s">
        <v>206</v>
      </c>
      <c r="I197" s="33" t="s">
        <v>699</v>
      </c>
      <c r="J197" s="33">
        <v>98</v>
      </c>
      <c r="K197" s="33">
        <v>327</v>
      </c>
      <c r="L197" s="33"/>
      <c r="M197" s="33" t="s">
        <v>44</v>
      </c>
      <c r="N197" s="33">
        <v>103</v>
      </c>
      <c r="O197" s="33">
        <v>51</v>
      </c>
      <c r="P197" s="33" t="s">
        <v>28</v>
      </c>
      <c r="Q197" s="33"/>
    </row>
    <row r="198" spans="1:17">
      <c r="A198" s="37" t="s">
        <v>700</v>
      </c>
      <c r="B198" s="37" t="s">
        <v>701</v>
      </c>
      <c r="C198" s="37" t="s">
        <v>192</v>
      </c>
      <c r="D198" s="37" t="s">
        <v>174</v>
      </c>
      <c r="E198" s="37" t="s">
        <v>175</v>
      </c>
      <c r="F198" s="37" t="s">
        <v>32</v>
      </c>
      <c r="G198" s="37" t="s">
        <v>33</v>
      </c>
      <c r="H198" s="37" t="s">
        <v>648</v>
      </c>
      <c r="I198" s="37" t="s">
        <v>702</v>
      </c>
      <c r="J198" s="37">
        <v>181</v>
      </c>
      <c r="K198" s="37">
        <v>738</v>
      </c>
      <c r="L198" s="37">
        <v>1108.21</v>
      </c>
      <c r="M198" s="37" t="s">
        <v>27</v>
      </c>
      <c r="N198" s="37">
        <v>138</v>
      </c>
      <c r="O198" s="37">
        <v>80</v>
      </c>
      <c r="P198" s="37" t="s">
        <v>28</v>
      </c>
      <c r="Q198" s="37">
        <v>0</v>
      </c>
    </row>
    <row r="199" spans="1:17">
      <c r="A199" s="33" t="s">
        <v>703</v>
      </c>
      <c r="B199" s="33" t="s">
        <v>704</v>
      </c>
      <c r="C199" s="33" t="s">
        <v>705</v>
      </c>
      <c r="D199" s="33" t="s">
        <v>64</v>
      </c>
      <c r="E199" s="33" t="s">
        <v>65</v>
      </c>
      <c r="F199" s="33" t="s">
        <v>21</v>
      </c>
      <c r="G199" s="33" t="s">
        <v>22</v>
      </c>
      <c r="H199" s="33" t="s">
        <v>453</v>
      </c>
      <c r="I199" s="33" t="s">
        <v>706</v>
      </c>
      <c r="J199" s="33">
        <v>281</v>
      </c>
      <c r="K199" s="33">
        <v>1963</v>
      </c>
      <c r="L199" s="33">
        <v>594.08000000000004</v>
      </c>
      <c r="M199" s="33" t="s">
        <v>60</v>
      </c>
      <c r="N199" s="33">
        <v>278</v>
      </c>
      <c r="O199" s="33">
        <v>107</v>
      </c>
      <c r="P199" s="33" t="s">
        <v>28</v>
      </c>
      <c r="Q199" s="33">
        <v>0</v>
      </c>
    </row>
    <row r="200" spans="1:17">
      <c r="A200" s="37" t="s">
        <v>707</v>
      </c>
      <c r="B200" s="37" t="s">
        <v>708</v>
      </c>
      <c r="C200" s="37" t="s">
        <v>20</v>
      </c>
      <c r="D200" s="37" t="s">
        <v>54</v>
      </c>
      <c r="E200" s="37" t="s">
        <v>55</v>
      </c>
      <c r="F200" s="37" t="s">
        <v>129</v>
      </c>
      <c r="G200" s="37" t="s">
        <v>130</v>
      </c>
      <c r="H200" s="37" t="s">
        <v>465</v>
      </c>
      <c r="I200" s="37" t="s">
        <v>709</v>
      </c>
      <c r="J200" s="37">
        <v>372</v>
      </c>
      <c r="K200" s="37">
        <v>2249</v>
      </c>
      <c r="L200" s="37">
        <v>142.85</v>
      </c>
      <c r="M200" s="37" t="s">
        <v>60</v>
      </c>
      <c r="N200" s="37">
        <v>279</v>
      </c>
      <c r="O200" s="37">
        <v>93</v>
      </c>
      <c r="P200" s="37" t="s">
        <v>28</v>
      </c>
      <c r="Q200" s="37">
        <v>0</v>
      </c>
    </row>
    <row r="201" spans="1:17">
      <c r="A201" s="33" t="s">
        <v>710</v>
      </c>
      <c r="B201" s="33" t="s">
        <v>711</v>
      </c>
      <c r="C201" s="33" t="s">
        <v>47</v>
      </c>
      <c r="D201" s="33" t="s">
        <v>54</v>
      </c>
      <c r="E201" s="33" t="s">
        <v>74</v>
      </c>
      <c r="F201" s="33" t="s">
        <v>197</v>
      </c>
      <c r="G201" s="33" t="s">
        <v>198</v>
      </c>
      <c r="H201" s="33" t="s">
        <v>712</v>
      </c>
      <c r="I201" s="33" t="s">
        <v>713</v>
      </c>
      <c r="J201" s="33">
        <v>207</v>
      </c>
      <c r="K201" s="33">
        <v>1165</v>
      </c>
      <c r="L201" s="33">
        <v>1089.43</v>
      </c>
      <c r="M201" s="33" t="s">
        <v>27</v>
      </c>
      <c r="N201" s="33">
        <v>327</v>
      </c>
      <c r="O201" s="33">
        <v>293</v>
      </c>
      <c r="P201" s="33" t="s">
        <v>28</v>
      </c>
      <c r="Q201" s="33">
        <v>0</v>
      </c>
    </row>
    <row r="202" spans="1:17">
      <c r="A202" s="37" t="s">
        <v>714</v>
      </c>
      <c r="B202" s="37" t="s">
        <v>715</v>
      </c>
      <c r="C202" s="37" t="s">
        <v>192</v>
      </c>
      <c r="D202" s="37" t="s">
        <v>32</v>
      </c>
      <c r="E202" s="37" t="s">
        <v>33</v>
      </c>
      <c r="F202" s="37" t="s">
        <v>48</v>
      </c>
      <c r="G202" s="37" t="s">
        <v>49</v>
      </c>
      <c r="H202" s="37" t="s">
        <v>266</v>
      </c>
      <c r="I202" s="37" t="s">
        <v>716</v>
      </c>
      <c r="J202" s="37">
        <v>181</v>
      </c>
      <c r="K202" s="37">
        <v>1588</v>
      </c>
      <c r="L202" s="37">
        <v>97.54</v>
      </c>
      <c r="M202" s="37" t="s">
        <v>60</v>
      </c>
      <c r="N202" s="37">
        <v>250</v>
      </c>
      <c r="O202" s="37">
        <v>86</v>
      </c>
      <c r="P202" s="37" t="s">
        <v>70</v>
      </c>
      <c r="Q202" s="37">
        <v>116</v>
      </c>
    </row>
    <row r="203" spans="1:17">
      <c r="A203" s="33" t="s">
        <v>717</v>
      </c>
      <c r="B203" s="33" t="s">
        <v>718</v>
      </c>
      <c r="C203" s="33" t="s">
        <v>192</v>
      </c>
      <c r="D203" s="33" t="s">
        <v>38</v>
      </c>
      <c r="E203" s="33" t="s">
        <v>39</v>
      </c>
      <c r="F203" s="33" t="s">
        <v>48</v>
      </c>
      <c r="G203" s="33" t="s">
        <v>49</v>
      </c>
      <c r="H203" s="33" t="s">
        <v>417</v>
      </c>
      <c r="I203" s="33" t="s">
        <v>719</v>
      </c>
      <c r="J203" s="33">
        <v>436</v>
      </c>
      <c r="K203" s="33">
        <v>2514</v>
      </c>
      <c r="L203" s="33">
        <v>451.54</v>
      </c>
      <c r="M203" s="33" t="s">
        <v>27</v>
      </c>
      <c r="N203" s="33">
        <v>135</v>
      </c>
      <c r="O203" s="33">
        <v>60</v>
      </c>
      <c r="P203" s="33" t="s">
        <v>28</v>
      </c>
      <c r="Q203" s="33">
        <v>0</v>
      </c>
    </row>
    <row r="204" spans="1:17">
      <c r="A204" s="37" t="s">
        <v>720</v>
      </c>
      <c r="B204" s="37" t="s">
        <v>662</v>
      </c>
      <c r="C204" s="37" t="s">
        <v>20</v>
      </c>
      <c r="D204" s="37" t="s">
        <v>197</v>
      </c>
      <c r="E204" s="37" t="s">
        <v>198</v>
      </c>
      <c r="F204" s="37" t="s">
        <v>40</v>
      </c>
      <c r="G204" s="37" t="s">
        <v>41</v>
      </c>
      <c r="H204" s="37" t="s">
        <v>426</v>
      </c>
      <c r="I204" s="37" t="s">
        <v>522</v>
      </c>
      <c r="J204" s="37">
        <v>264</v>
      </c>
      <c r="K204" s="37">
        <v>2778</v>
      </c>
      <c r="L204" s="37">
        <v>941.29</v>
      </c>
      <c r="M204" s="37" t="s">
        <v>27</v>
      </c>
      <c r="N204" s="37">
        <v>201</v>
      </c>
      <c r="O204" s="37">
        <v>133</v>
      </c>
      <c r="P204" s="37" t="s">
        <v>28</v>
      </c>
      <c r="Q204" s="37">
        <v>0</v>
      </c>
    </row>
    <row r="205" spans="1:17">
      <c r="A205" s="33" t="s">
        <v>721</v>
      </c>
      <c r="B205" s="33" t="s">
        <v>722</v>
      </c>
      <c r="C205" s="33" t="s">
        <v>115</v>
      </c>
      <c r="D205" s="33" t="s">
        <v>79</v>
      </c>
      <c r="E205" s="33" t="s">
        <v>80</v>
      </c>
      <c r="F205" s="33" t="s">
        <v>23</v>
      </c>
      <c r="G205" s="33" t="s">
        <v>24</v>
      </c>
      <c r="H205" s="33" t="s">
        <v>193</v>
      </c>
      <c r="I205" s="33" t="s">
        <v>723</v>
      </c>
      <c r="J205" s="33">
        <v>311</v>
      </c>
      <c r="K205" s="33">
        <v>1060</v>
      </c>
      <c r="L205" s="33">
        <v>841.26</v>
      </c>
      <c r="M205" s="33" t="s">
        <v>27</v>
      </c>
      <c r="N205" s="33">
        <v>197</v>
      </c>
      <c r="O205" s="33">
        <v>71</v>
      </c>
      <c r="P205" s="33" t="s">
        <v>70</v>
      </c>
      <c r="Q205" s="33">
        <v>90</v>
      </c>
    </row>
    <row r="206" spans="1:17">
      <c r="A206" s="37" t="s">
        <v>724</v>
      </c>
      <c r="B206" s="37" t="s">
        <v>725</v>
      </c>
      <c r="C206" s="37" t="s">
        <v>94</v>
      </c>
      <c r="D206" s="37" t="s">
        <v>54</v>
      </c>
      <c r="E206" s="37" t="s">
        <v>55</v>
      </c>
      <c r="F206" s="37" t="s">
        <v>95</v>
      </c>
      <c r="G206" s="37" t="s">
        <v>96</v>
      </c>
      <c r="H206" s="37" t="s">
        <v>86</v>
      </c>
      <c r="I206" s="37" t="s">
        <v>726</v>
      </c>
      <c r="J206" s="37">
        <v>454</v>
      </c>
      <c r="K206" s="37">
        <v>2896</v>
      </c>
      <c r="L206" s="37">
        <v>252.79</v>
      </c>
      <c r="M206" s="37" t="s">
        <v>44</v>
      </c>
      <c r="N206" s="37">
        <v>181</v>
      </c>
      <c r="O206" s="37">
        <v>142</v>
      </c>
      <c r="P206" s="37" t="s">
        <v>28</v>
      </c>
      <c r="Q206" s="37">
        <v>0</v>
      </c>
    </row>
    <row r="207" spans="1:17">
      <c r="A207" s="33" t="s">
        <v>727</v>
      </c>
      <c r="B207" s="33" t="s">
        <v>728</v>
      </c>
      <c r="C207" s="33" t="s">
        <v>192</v>
      </c>
      <c r="D207" s="33" t="s">
        <v>40</v>
      </c>
      <c r="E207" s="33" t="s">
        <v>41</v>
      </c>
      <c r="F207" s="33" t="s">
        <v>64</v>
      </c>
      <c r="G207" s="33" t="s">
        <v>65</v>
      </c>
      <c r="H207" s="33" t="s">
        <v>378</v>
      </c>
      <c r="I207" s="33" t="s">
        <v>729</v>
      </c>
      <c r="J207" s="33">
        <v>157</v>
      </c>
      <c r="K207" s="33">
        <v>657</v>
      </c>
      <c r="L207" s="33">
        <v>289.88</v>
      </c>
      <c r="M207" s="33" t="s">
        <v>44</v>
      </c>
      <c r="N207" s="33">
        <v>242</v>
      </c>
      <c r="O207" s="33">
        <v>192</v>
      </c>
      <c r="P207" s="33" t="s">
        <v>573</v>
      </c>
      <c r="Q207" s="33">
        <v>0</v>
      </c>
    </row>
    <row r="208" spans="1:17">
      <c r="A208" s="37" t="s">
        <v>730</v>
      </c>
      <c r="B208" s="37" t="s">
        <v>731</v>
      </c>
      <c r="C208" s="37" t="s">
        <v>20</v>
      </c>
      <c r="D208" s="37" t="s">
        <v>54</v>
      </c>
      <c r="E208" s="37" t="s">
        <v>55</v>
      </c>
      <c r="F208" s="37" t="s">
        <v>66</v>
      </c>
      <c r="G208" s="37" t="s">
        <v>67</v>
      </c>
      <c r="H208" s="37" t="s">
        <v>571</v>
      </c>
      <c r="I208" s="37" t="s">
        <v>263</v>
      </c>
      <c r="J208" s="37">
        <v>395</v>
      </c>
      <c r="K208" s="37">
        <v>2749</v>
      </c>
      <c r="L208" s="37">
        <v>958.57</v>
      </c>
      <c r="M208" s="37" t="s">
        <v>44</v>
      </c>
      <c r="N208" s="37">
        <v>103</v>
      </c>
      <c r="O208" s="37">
        <v>68</v>
      </c>
      <c r="P208" s="37" t="s">
        <v>28</v>
      </c>
      <c r="Q208" s="37">
        <v>0</v>
      </c>
    </row>
    <row r="209" spans="1:17">
      <c r="A209" s="33" t="s">
        <v>732</v>
      </c>
      <c r="B209" s="33" t="s">
        <v>435</v>
      </c>
      <c r="C209" s="33" t="s">
        <v>31</v>
      </c>
      <c r="D209" s="33" t="s">
        <v>54</v>
      </c>
      <c r="E209" s="33" t="s">
        <v>74</v>
      </c>
      <c r="F209" s="33" t="s">
        <v>116</v>
      </c>
      <c r="G209" s="33" t="s">
        <v>117</v>
      </c>
      <c r="H209" s="33" t="s">
        <v>97</v>
      </c>
      <c r="I209" s="33" t="s">
        <v>733</v>
      </c>
      <c r="J209" s="33">
        <v>176</v>
      </c>
      <c r="K209" s="33">
        <v>868</v>
      </c>
      <c r="L209" s="33">
        <v>381.19</v>
      </c>
      <c r="M209" s="33" t="s">
        <v>44</v>
      </c>
      <c r="N209" s="33">
        <v>226</v>
      </c>
      <c r="O209" s="33">
        <v>87</v>
      </c>
      <c r="P209" s="33" t="s">
        <v>28</v>
      </c>
      <c r="Q209" s="33">
        <v>0</v>
      </c>
    </row>
    <row r="210" spans="1:17">
      <c r="A210" s="37" t="s">
        <v>734</v>
      </c>
      <c r="B210" s="37" t="s">
        <v>735</v>
      </c>
      <c r="C210" s="37" t="s">
        <v>192</v>
      </c>
      <c r="D210" s="37" t="s">
        <v>129</v>
      </c>
      <c r="E210" s="37" t="s">
        <v>130</v>
      </c>
      <c r="F210" s="37" t="s">
        <v>95</v>
      </c>
      <c r="G210" s="37" t="s">
        <v>96</v>
      </c>
      <c r="H210" s="37" t="s">
        <v>240</v>
      </c>
      <c r="I210" s="37" t="s">
        <v>736</v>
      </c>
      <c r="J210" s="37">
        <v>274</v>
      </c>
      <c r="K210" s="37">
        <v>1330</v>
      </c>
      <c r="L210" s="37">
        <v>1137.53</v>
      </c>
      <c r="M210" s="37" t="s">
        <v>27</v>
      </c>
      <c r="N210" s="37">
        <v>260</v>
      </c>
      <c r="O210" s="37">
        <v>176</v>
      </c>
      <c r="P210" s="37" t="s">
        <v>28</v>
      </c>
      <c r="Q210" s="37">
        <v>0</v>
      </c>
    </row>
    <row r="211" spans="1:17">
      <c r="A211" s="33" t="s">
        <v>737</v>
      </c>
      <c r="B211" s="33" t="s">
        <v>738</v>
      </c>
      <c r="C211" s="33" t="s">
        <v>115</v>
      </c>
      <c r="D211" s="33" t="s">
        <v>197</v>
      </c>
      <c r="E211" s="33" t="s">
        <v>198</v>
      </c>
      <c r="F211" s="33" t="s">
        <v>38</v>
      </c>
      <c r="G211" s="33" t="s">
        <v>39</v>
      </c>
      <c r="H211" s="33" t="s">
        <v>296</v>
      </c>
      <c r="I211" s="33" t="s">
        <v>739</v>
      </c>
      <c r="J211" s="33">
        <v>292</v>
      </c>
      <c r="K211" s="33">
        <v>1660</v>
      </c>
      <c r="L211" s="33">
        <v>1022.61</v>
      </c>
      <c r="M211" s="33" t="s">
        <v>44</v>
      </c>
      <c r="N211" s="33">
        <v>305</v>
      </c>
      <c r="O211" s="33">
        <v>218</v>
      </c>
      <c r="P211" s="33" t="s">
        <v>28</v>
      </c>
      <c r="Q211" s="33">
        <v>0</v>
      </c>
    </row>
    <row r="212" spans="1:17">
      <c r="A212" s="37" t="s">
        <v>740</v>
      </c>
      <c r="B212" s="37" t="s">
        <v>741</v>
      </c>
      <c r="C212" s="37" t="s">
        <v>63</v>
      </c>
      <c r="D212" s="37" t="s">
        <v>95</v>
      </c>
      <c r="E212" s="37" t="s">
        <v>96</v>
      </c>
      <c r="F212" s="37" t="s">
        <v>64</v>
      </c>
      <c r="G212" s="37" t="s">
        <v>65</v>
      </c>
      <c r="H212" s="37" t="s">
        <v>494</v>
      </c>
      <c r="I212" s="37" t="s">
        <v>742</v>
      </c>
      <c r="J212" s="37">
        <v>335</v>
      </c>
      <c r="K212" s="37">
        <v>1586</v>
      </c>
      <c r="L212" s="37">
        <v>278.95</v>
      </c>
      <c r="M212" s="37" t="s">
        <v>44</v>
      </c>
      <c r="N212" s="37">
        <v>347</v>
      </c>
      <c r="O212" s="37">
        <v>213</v>
      </c>
      <c r="P212" s="37" t="s">
        <v>28</v>
      </c>
      <c r="Q212" s="37">
        <v>0</v>
      </c>
    </row>
    <row r="213" spans="1:17">
      <c r="A213" s="33" t="s">
        <v>743</v>
      </c>
      <c r="B213" s="33" t="s">
        <v>744</v>
      </c>
      <c r="C213" s="33" t="s">
        <v>31</v>
      </c>
      <c r="D213" s="33" t="s">
        <v>156</v>
      </c>
      <c r="E213" s="33" t="s">
        <v>157</v>
      </c>
      <c r="F213" s="33" t="s">
        <v>129</v>
      </c>
      <c r="G213" s="33" t="s">
        <v>130</v>
      </c>
      <c r="H213" s="33" t="s">
        <v>140</v>
      </c>
      <c r="I213" s="33" t="s">
        <v>745</v>
      </c>
      <c r="J213" s="33">
        <v>276</v>
      </c>
      <c r="K213" s="33">
        <v>766</v>
      </c>
      <c r="L213" s="33">
        <v>1123.92</v>
      </c>
      <c r="M213" s="33" t="s">
        <v>60</v>
      </c>
      <c r="N213" s="33">
        <v>251</v>
      </c>
      <c r="O213" s="33">
        <v>189</v>
      </c>
      <c r="P213" s="33" t="s">
        <v>28</v>
      </c>
      <c r="Q213" s="33">
        <v>0</v>
      </c>
    </row>
    <row r="214" spans="1:17">
      <c r="A214" s="37" t="s">
        <v>746</v>
      </c>
      <c r="B214" s="37" t="s">
        <v>747</v>
      </c>
      <c r="C214" s="37" t="s">
        <v>115</v>
      </c>
      <c r="D214" s="37" t="s">
        <v>183</v>
      </c>
      <c r="E214" s="37" t="s">
        <v>184</v>
      </c>
      <c r="F214" s="37" t="s">
        <v>79</v>
      </c>
      <c r="G214" s="37" t="s">
        <v>80</v>
      </c>
      <c r="H214" s="37" t="s">
        <v>296</v>
      </c>
      <c r="I214" s="37" t="s">
        <v>69</v>
      </c>
      <c r="J214" s="37">
        <v>299</v>
      </c>
      <c r="K214" s="37">
        <v>2345</v>
      </c>
      <c r="L214" s="37">
        <v>235.88</v>
      </c>
      <c r="M214" s="37" t="s">
        <v>44</v>
      </c>
      <c r="N214" s="37">
        <v>161</v>
      </c>
      <c r="O214" s="37">
        <v>82</v>
      </c>
      <c r="P214" s="37" t="s">
        <v>70</v>
      </c>
      <c r="Q214" s="37">
        <v>123</v>
      </c>
    </row>
    <row r="215" spans="1:17">
      <c r="A215" s="33" t="s">
        <v>748</v>
      </c>
      <c r="B215" s="33" t="s">
        <v>749</v>
      </c>
      <c r="C215" s="33" t="s">
        <v>94</v>
      </c>
      <c r="D215" s="33" t="s">
        <v>40</v>
      </c>
      <c r="E215" s="33" t="s">
        <v>41</v>
      </c>
      <c r="F215" s="33" t="s">
        <v>116</v>
      </c>
      <c r="G215" s="33" t="s">
        <v>117</v>
      </c>
      <c r="H215" s="33" t="s">
        <v>342</v>
      </c>
      <c r="I215" s="33" t="s">
        <v>750</v>
      </c>
      <c r="J215" s="33">
        <v>363</v>
      </c>
      <c r="K215" s="33">
        <v>2375</v>
      </c>
      <c r="L215" s="33">
        <v>1114.32</v>
      </c>
      <c r="M215" s="33"/>
      <c r="N215" s="33">
        <v>207</v>
      </c>
      <c r="O215" s="33">
        <v>189</v>
      </c>
      <c r="P215" s="33" t="s">
        <v>28</v>
      </c>
      <c r="Q215" s="33">
        <v>0</v>
      </c>
    </row>
    <row r="216" spans="1:17">
      <c r="A216" s="37" t="s">
        <v>751</v>
      </c>
      <c r="B216" s="37" t="s">
        <v>752</v>
      </c>
      <c r="C216" s="37" t="s">
        <v>94</v>
      </c>
      <c r="D216" s="37" t="s">
        <v>197</v>
      </c>
      <c r="E216" s="37" t="s">
        <v>198</v>
      </c>
      <c r="F216" s="37" t="s">
        <v>21</v>
      </c>
      <c r="G216" s="37" t="s">
        <v>22</v>
      </c>
      <c r="H216" s="37" t="s">
        <v>216</v>
      </c>
      <c r="I216" s="37" t="s">
        <v>753</v>
      </c>
      <c r="J216" s="37">
        <v>175</v>
      </c>
      <c r="K216" s="37">
        <v>2950</v>
      </c>
      <c r="L216" s="37">
        <v>766.2</v>
      </c>
      <c r="M216" s="37" t="s">
        <v>27</v>
      </c>
      <c r="N216" s="37">
        <v>265</v>
      </c>
      <c r="O216" s="37">
        <v>223</v>
      </c>
      <c r="P216" s="37" t="s">
        <v>28</v>
      </c>
      <c r="Q216" s="37">
        <v>0</v>
      </c>
    </row>
    <row r="217" spans="1:17">
      <c r="A217" s="33" t="s">
        <v>754</v>
      </c>
      <c r="B217" s="33" t="s">
        <v>755</v>
      </c>
      <c r="C217" s="33" t="s">
        <v>73</v>
      </c>
      <c r="D217" s="33" t="s">
        <v>197</v>
      </c>
      <c r="E217" s="33" t="s">
        <v>198</v>
      </c>
      <c r="F217" s="33" t="s">
        <v>174</v>
      </c>
      <c r="G217" s="33" t="s">
        <v>175</v>
      </c>
      <c r="H217" s="33" t="s">
        <v>438</v>
      </c>
      <c r="I217" s="33" t="s">
        <v>756</v>
      </c>
      <c r="J217" s="33">
        <v>203</v>
      </c>
      <c r="K217" s="33">
        <v>2391</v>
      </c>
      <c r="L217" s="33">
        <v>916.48</v>
      </c>
      <c r="M217" s="33" t="s">
        <v>27</v>
      </c>
      <c r="N217" s="33">
        <v>248</v>
      </c>
      <c r="O217" s="33">
        <v>226</v>
      </c>
      <c r="P217" s="33" t="s">
        <v>28</v>
      </c>
      <c r="Q217" s="33">
        <v>0</v>
      </c>
    </row>
    <row r="218" spans="1:17">
      <c r="A218" s="37" t="s">
        <v>757</v>
      </c>
      <c r="B218" s="37" t="s">
        <v>758</v>
      </c>
      <c r="C218" s="37" t="s">
        <v>47</v>
      </c>
      <c r="D218" s="37" t="s">
        <v>66</v>
      </c>
      <c r="E218" s="37" t="s">
        <v>67</v>
      </c>
      <c r="F218" s="37" t="s">
        <v>79</v>
      </c>
      <c r="G218" s="37" t="s">
        <v>80</v>
      </c>
      <c r="H218" s="37" t="s">
        <v>58</v>
      </c>
      <c r="I218" s="37" t="s">
        <v>759</v>
      </c>
      <c r="J218" s="37">
        <v>266</v>
      </c>
      <c r="K218" s="37">
        <v>400</v>
      </c>
      <c r="L218" s="37">
        <v>620.70000000000005</v>
      </c>
      <c r="M218" s="37" t="s">
        <v>44</v>
      </c>
      <c r="N218" s="37">
        <v>206</v>
      </c>
      <c r="O218" s="37">
        <v>71</v>
      </c>
      <c r="P218" s="37" t="s">
        <v>28</v>
      </c>
      <c r="Q218" s="37">
        <v>-10</v>
      </c>
    </row>
    <row r="219" spans="1:17">
      <c r="A219" s="33" t="s">
        <v>760</v>
      </c>
      <c r="B219" s="33" t="s">
        <v>432</v>
      </c>
      <c r="C219" s="33" t="s">
        <v>47</v>
      </c>
      <c r="D219" s="33" t="s">
        <v>95</v>
      </c>
      <c r="E219" s="33" t="s">
        <v>96</v>
      </c>
      <c r="F219" s="33" t="s">
        <v>64</v>
      </c>
      <c r="G219" s="33" t="s">
        <v>65</v>
      </c>
      <c r="H219" s="33" t="s">
        <v>473</v>
      </c>
      <c r="I219" s="33" t="s">
        <v>761</v>
      </c>
      <c r="J219" s="33">
        <v>356</v>
      </c>
      <c r="K219" s="33">
        <v>2278</v>
      </c>
      <c r="L219" s="33">
        <v>470.1</v>
      </c>
      <c r="M219" s="33" t="s">
        <v>60</v>
      </c>
      <c r="N219" s="33">
        <v>212</v>
      </c>
      <c r="O219" s="33">
        <v>165</v>
      </c>
      <c r="P219" s="33" t="s">
        <v>28</v>
      </c>
      <c r="Q219" s="33">
        <v>0</v>
      </c>
    </row>
    <row r="220" spans="1:17">
      <c r="A220" s="37" t="s">
        <v>762</v>
      </c>
      <c r="B220" s="37" t="s">
        <v>155</v>
      </c>
      <c r="C220" s="37" t="s">
        <v>20</v>
      </c>
      <c r="D220" s="37" t="s">
        <v>197</v>
      </c>
      <c r="E220" s="37" t="s">
        <v>198</v>
      </c>
      <c r="F220" s="37" t="s">
        <v>174</v>
      </c>
      <c r="G220" s="37" t="s">
        <v>175</v>
      </c>
      <c r="H220" s="37" t="s">
        <v>763</v>
      </c>
      <c r="I220" s="37" t="s">
        <v>579</v>
      </c>
      <c r="J220" s="37">
        <v>436</v>
      </c>
      <c r="K220" s="37">
        <v>973</v>
      </c>
      <c r="L220" s="37">
        <v>1121.51</v>
      </c>
      <c r="M220" s="37" t="s">
        <v>27</v>
      </c>
      <c r="N220" s="37">
        <v>162</v>
      </c>
      <c r="O220" s="37">
        <v>116</v>
      </c>
      <c r="P220" s="37" t="s">
        <v>28</v>
      </c>
      <c r="Q220" s="37">
        <v>0</v>
      </c>
    </row>
    <row r="221" spans="1:17">
      <c r="A221" s="33" t="s">
        <v>764</v>
      </c>
      <c r="B221" s="33" t="s">
        <v>638</v>
      </c>
      <c r="C221" s="33" t="s">
        <v>47</v>
      </c>
      <c r="D221" s="33" t="s">
        <v>32</v>
      </c>
      <c r="E221" s="33" t="s">
        <v>33</v>
      </c>
      <c r="F221" s="33" t="s">
        <v>129</v>
      </c>
      <c r="G221" s="33" t="s">
        <v>130</v>
      </c>
      <c r="H221" s="33" t="s">
        <v>473</v>
      </c>
      <c r="I221" s="33" t="s">
        <v>466</v>
      </c>
      <c r="J221" s="33">
        <v>297</v>
      </c>
      <c r="K221" s="33">
        <v>2879</v>
      </c>
      <c r="L221" s="33">
        <v>286.58999999999997</v>
      </c>
      <c r="M221" s="33" t="s">
        <v>27</v>
      </c>
      <c r="N221" s="33">
        <v>268</v>
      </c>
      <c r="O221" s="33"/>
      <c r="P221" s="33" t="s">
        <v>28</v>
      </c>
      <c r="Q221" s="33">
        <v>0</v>
      </c>
    </row>
    <row r="222" spans="1:17">
      <c r="A222" s="37" t="s">
        <v>765</v>
      </c>
      <c r="B222" s="37" t="s">
        <v>766</v>
      </c>
      <c r="C222" s="37" t="s">
        <v>115</v>
      </c>
      <c r="D222" s="37" t="s">
        <v>54</v>
      </c>
      <c r="E222" s="37" t="s">
        <v>74</v>
      </c>
      <c r="F222" s="37" t="s">
        <v>129</v>
      </c>
      <c r="G222" s="37" t="s">
        <v>130</v>
      </c>
      <c r="H222" s="37" t="s">
        <v>453</v>
      </c>
      <c r="I222" s="37" t="s">
        <v>414</v>
      </c>
      <c r="J222" s="37">
        <v>450</v>
      </c>
      <c r="K222" s="37">
        <v>1179</v>
      </c>
      <c r="L222" s="37">
        <v>310.48</v>
      </c>
      <c r="M222" s="37" t="s">
        <v>27</v>
      </c>
      <c r="N222" s="37">
        <v>307</v>
      </c>
      <c r="O222" s="37">
        <v>82</v>
      </c>
      <c r="P222" s="37" t="s">
        <v>28</v>
      </c>
      <c r="Q222" s="37">
        <v>0</v>
      </c>
    </row>
    <row r="223" spans="1:17">
      <c r="A223" s="33" t="s">
        <v>767</v>
      </c>
      <c r="B223" s="33" t="s">
        <v>768</v>
      </c>
      <c r="C223" s="33" t="s">
        <v>47</v>
      </c>
      <c r="D223" s="33" t="s">
        <v>156</v>
      </c>
      <c r="E223" s="33" t="s">
        <v>157</v>
      </c>
      <c r="F223" s="33" t="s">
        <v>183</v>
      </c>
      <c r="G223" s="33" t="s">
        <v>184</v>
      </c>
      <c r="H223" s="33" t="s">
        <v>135</v>
      </c>
      <c r="I223" s="33" t="s">
        <v>769</v>
      </c>
      <c r="J223" s="33">
        <v>224</v>
      </c>
      <c r="K223" s="33">
        <v>2304</v>
      </c>
      <c r="L223" s="33">
        <v>671.04</v>
      </c>
      <c r="M223" s="33" t="s">
        <v>27</v>
      </c>
      <c r="N223" s="33">
        <v>180</v>
      </c>
      <c r="O223" s="33">
        <v>149</v>
      </c>
      <c r="P223" s="33" t="s">
        <v>28</v>
      </c>
      <c r="Q223" s="33">
        <v>0</v>
      </c>
    </row>
    <row r="224" spans="1:17">
      <c r="A224" s="37" t="s">
        <v>770</v>
      </c>
      <c r="B224" s="37" t="s">
        <v>456</v>
      </c>
      <c r="C224" s="37" t="s">
        <v>47</v>
      </c>
      <c r="D224" s="37" t="s">
        <v>64</v>
      </c>
      <c r="E224" s="37" t="s">
        <v>65</v>
      </c>
      <c r="F224" s="37" t="s">
        <v>79</v>
      </c>
      <c r="G224" s="37" t="s">
        <v>80</v>
      </c>
      <c r="H224" s="37" t="s">
        <v>494</v>
      </c>
      <c r="I224" s="37" t="s">
        <v>771</v>
      </c>
      <c r="J224" s="37">
        <v>434</v>
      </c>
      <c r="K224" s="37">
        <v>1518</v>
      </c>
      <c r="L224" s="37">
        <v>1108.92</v>
      </c>
      <c r="M224" s="37" t="s">
        <v>27</v>
      </c>
      <c r="N224" s="37">
        <v>121</v>
      </c>
      <c r="O224" s="37">
        <v>67</v>
      </c>
      <c r="P224" s="37" t="s">
        <v>28</v>
      </c>
      <c r="Q224" s="37">
        <v>0</v>
      </c>
    </row>
    <row r="225" spans="1:17">
      <c r="A225" s="33" t="s">
        <v>772</v>
      </c>
      <c r="B225" s="33" t="s">
        <v>773</v>
      </c>
      <c r="C225" s="33" t="s">
        <v>192</v>
      </c>
      <c r="D225" s="33" t="s">
        <v>197</v>
      </c>
      <c r="E225" s="33" t="s">
        <v>198</v>
      </c>
      <c r="F225" s="33" t="s">
        <v>183</v>
      </c>
      <c r="G225" s="33" t="s">
        <v>184</v>
      </c>
      <c r="H225" s="33" t="s">
        <v>774</v>
      </c>
      <c r="I225" s="33" t="s">
        <v>775</v>
      </c>
      <c r="J225" s="33">
        <v>351</v>
      </c>
      <c r="K225" s="33">
        <v>1891</v>
      </c>
      <c r="L225" s="33">
        <v>548.42999999999995</v>
      </c>
      <c r="M225" s="33" t="s">
        <v>60</v>
      </c>
      <c r="N225" s="33">
        <v>247</v>
      </c>
      <c r="O225" s="33">
        <v>148</v>
      </c>
      <c r="P225" s="33" t="s">
        <v>28</v>
      </c>
      <c r="Q225" s="33">
        <v>0</v>
      </c>
    </row>
    <row r="226" spans="1:17">
      <c r="A226" s="37" t="s">
        <v>776</v>
      </c>
      <c r="B226" s="37" t="s">
        <v>777</v>
      </c>
      <c r="C226" s="37" t="s">
        <v>63</v>
      </c>
      <c r="D226" s="37" t="s">
        <v>32</v>
      </c>
      <c r="E226" s="37" t="s">
        <v>33</v>
      </c>
      <c r="F226" s="37" t="s">
        <v>38</v>
      </c>
      <c r="G226" s="37" t="s">
        <v>39</v>
      </c>
      <c r="H226" s="37" t="s">
        <v>334</v>
      </c>
      <c r="I226" s="37" t="s">
        <v>778</v>
      </c>
      <c r="J226" s="37">
        <v>161</v>
      </c>
      <c r="K226" s="37">
        <v>1066</v>
      </c>
      <c r="L226" s="37">
        <v>432.33</v>
      </c>
      <c r="M226" s="37" t="s">
        <v>44</v>
      </c>
      <c r="N226" s="37">
        <v>258</v>
      </c>
      <c r="O226" s="37">
        <v>63</v>
      </c>
      <c r="P226" s="37" t="s">
        <v>70</v>
      </c>
      <c r="Q226" s="37">
        <v>-10</v>
      </c>
    </row>
    <row r="227" spans="1:17">
      <c r="A227" s="33" t="s">
        <v>779</v>
      </c>
      <c r="B227" s="33" t="s">
        <v>229</v>
      </c>
      <c r="C227" s="33" t="s">
        <v>63</v>
      </c>
      <c r="D227" s="33" t="s">
        <v>183</v>
      </c>
      <c r="E227" s="33" t="s">
        <v>184</v>
      </c>
      <c r="F227" s="33" t="s">
        <v>129</v>
      </c>
      <c r="G227" s="33" t="s">
        <v>130</v>
      </c>
      <c r="H227" s="33" t="s">
        <v>476</v>
      </c>
      <c r="I227" s="33" t="s">
        <v>780</v>
      </c>
      <c r="J227" s="33">
        <v>299</v>
      </c>
      <c r="K227" s="33">
        <v>2314</v>
      </c>
      <c r="L227" s="33">
        <v>545.51</v>
      </c>
      <c r="M227" s="33"/>
      <c r="N227" s="33">
        <v>225</v>
      </c>
      <c r="O227" s="33">
        <v>92</v>
      </c>
      <c r="P227" s="33" t="s">
        <v>28</v>
      </c>
      <c r="Q227" s="33">
        <v>0</v>
      </c>
    </row>
    <row r="228" spans="1:17">
      <c r="A228" s="37" t="s">
        <v>781</v>
      </c>
      <c r="B228" s="37" t="s">
        <v>782</v>
      </c>
      <c r="C228" s="37" t="s">
        <v>31</v>
      </c>
      <c r="D228" s="37" t="s">
        <v>95</v>
      </c>
      <c r="E228" s="37" t="s">
        <v>96</v>
      </c>
      <c r="F228" s="37" t="s">
        <v>56</v>
      </c>
      <c r="G228" s="37" t="s">
        <v>57</v>
      </c>
      <c r="H228" s="37" t="s">
        <v>400</v>
      </c>
      <c r="I228" s="37" t="s">
        <v>163</v>
      </c>
      <c r="J228" s="37">
        <v>365</v>
      </c>
      <c r="K228" s="37">
        <v>1482</v>
      </c>
      <c r="L228" s="37">
        <v>268.39</v>
      </c>
      <c r="M228" s="37" t="s">
        <v>44</v>
      </c>
      <c r="N228" s="37">
        <v>244</v>
      </c>
      <c r="O228" s="37">
        <v>240</v>
      </c>
      <c r="P228" s="37" t="s">
        <v>70</v>
      </c>
      <c r="Q228" s="37">
        <v>141</v>
      </c>
    </row>
    <row r="229" spans="1:17">
      <c r="A229" s="33" t="s">
        <v>783</v>
      </c>
      <c r="B229" s="33" t="s">
        <v>784</v>
      </c>
      <c r="C229" s="33" t="s">
        <v>94</v>
      </c>
      <c r="D229" s="33" t="s">
        <v>54</v>
      </c>
      <c r="E229" s="33" t="s">
        <v>74</v>
      </c>
      <c r="F229" s="33" t="s">
        <v>197</v>
      </c>
      <c r="G229" s="33" t="s">
        <v>198</v>
      </c>
      <c r="H229" s="33" t="s">
        <v>287</v>
      </c>
      <c r="I229" s="33" t="s">
        <v>249</v>
      </c>
      <c r="J229" s="33">
        <v>367</v>
      </c>
      <c r="K229" s="33">
        <v>470</v>
      </c>
      <c r="L229" s="33">
        <v>931.2</v>
      </c>
      <c r="M229" s="33" t="s">
        <v>44</v>
      </c>
      <c r="N229" s="33">
        <v>239</v>
      </c>
      <c r="O229" s="33">
        <v>105</v>
      </c>
      <c r="P229" s="33" t="s">
        <v>149</v>
      </c>
      <c r="Q229" s="33">
        <v>0</v>
      </c>
    </row>
    <row r="230" spans="1:17">
      <c r="A230" s="37" t="s">
        <v>785</v>
      </c>
      <c r="B230" s="37" t="s">
        <v>786</v>
      </c>
      <c r="C230" s="37" t="s">
        <v>31</v>
      </c>
      <c r="D230" s="37" t="s">
        <v>95</v>
      </c>
      <c r="E230" s="37" t="s">
        <v>96</v>
      </c>
      <c r="F230" s="37" t="s">
        <v>56</v>
      </c>
      <c r="G230" s="37" t="s">
        <v>57</v>
      </c>
      <c r="H230" s="37" t="s">
        <v>361</v>
      </c>
      <c r="I230" s="37" t="s">
        <v>787</v>
      </c>
      <c r="J230" s="37">
        <v>268</v>
      </c>
      <c r="K230" s="37">
        <v>656</v>
      </c>
      <c r="L230" s="37">
        <v>571.76</v>
      </c>
      <c r="M230" s="37" t="s">
        <v>60</v>
      </c>
      <c r="N230" s="37">
        <v>298</v>
      </c>
      <c r="O230" s="37">
        <v>257</v>
      </c>
      <c r="P230" s="37" t="s">
        <v>28</v>
      </c>
      <c r="Q230" s="37">
        <v>0</v>
      </c>
    </row>
    <row r="231" spans="1:17">
      <c r="A231" s="33" t="s">
        <v>788</v>
      </c>
      <c r="B231" s="33" t="s">
        <v>789</v>
      </c>
      <c r="C231" s="33" t="s">
        <v>73</v>
      </c>
      <c r="D231" s="33" t="s">
        <v>38</v>
      </c>
      <c r="E231" s="33" t="s">
        <v>39</v>
      </c>
      <c r="F231" s="33" t="s">
        <v>101</v>
      </c>
      <c r="G231" s="33" t="s">
        <v>102</v>
      </c>
      <c r="H231" s="33" t="s">
        <v>790</v>
      </c>
      <c r="I231" s="33" t="s">
        <v>400</v>
      </c>
      <c r="J231" s="33">
        <v>120</v>
      </c>
      <c r="K231" s="33">
        <v>2635</v>
      </c>
      <c r="L231" s="33">
        <v>472.91</v>
      </c>
      <c r="M231" s="33" t="s">
        <v>44</v>
      </c>
      <c r="N231" s="33">
        <v>252</v>
      </c>
      <c r="O231" s="33">
        <v>187</v>
      </c>
      <c r="P231" s="33" t="s">
        <v>28</v>
      </c>
      <c r="Q231" s="33">
        <v>0</v>
      </c>
    </row>
    <row r="232" spans="1:17">
      <c r="A232" s="37" t="s">
        <v>791</v>
      </c>
      <c r="B232" s="37" t="s">
        <v>792</v>
      </c>
      <c r="C232" s="37" t="s">
        <v>192</v>
      </c>
      <c r="D232" s="37" t="s">
        <v>54</v>
      </c>
      <c r="E232" s="37" t="s">
        <v>74</v>
      </c>
      <c r="F232" s="37" t="s">
        <v>21</v>
      </c>
      <c r="G232" s="37" t="s">
        <v>22</v>
      </c>
      <c r="H232" s="37" t="s">
        <v>712</v>
      </c>
      <c r="I232" s="37" t="s">
        <v>537</v>
      </c>
      <c r="J232" s="37">
        <v>159</v>
      </c>
      <c r="K232" s="37">
        <v>1985</v>
      </c>
      <c r="L232" s="37">
        <v>1109.02</v>
      </c>
      <c r="M232" s="37" t="s">
        <v>44</v>
      </c>
      <c r="N232" s="37">
        <v>321</v>
      </c>
      <c r="O232" s="37">
        <v>114</v>
      </c>
      <c r="P232" s="37" t="s">
        <v>70</v>
      </c>
      <c r="Q232" s="37">
        <v>48</v>
      </c>
    </row>
    <row r="233" spans="1:17">
      <c r="A233" s="33" t="s">
        <v>793</v>
      </c>
      <c r="B233" s="33" t="s">
        <v>794</v>
      </c>
      <c r="C233" s="33" t="s">
        <v>63</v>
      </c>
      <c r="D233" s="33" t="s">
        <v>156</v>
      </c>
      <c r="E233" s="33" t="s">
        <v>157</v>
      </c>
      <c r="F233" s="33" t="s">
        <v>23</v>
      </c>
      <c r="G233" s="33" t="s">
        <v>24</v>
      </c>
      <c r="H233" s="33" t="s">
        <v>206</v>
      </c>
      <c r="I233" s="33" t="s">
        <v>696</v>
      </c>
      <c r="J233" s="33">
        <v>340</v>
      </c>
      <c r="K233" s="33">
        <v>882</v>
      </c>
      <c r="L233" s="33">
        <v>726.72</v>
      </c>
      <c r="M233" s="33" t="s">
        <v>44</v>
      </c>
      <c r="N233" s="33">
        <v>260</v>
      </c>
      <c r="O233" s="33">
        <v>156</v>
      </c>
      <c r="P233" s="33" t="s">
        <v>28</v>
      </c>
      <c r="Q233" s="33">
        <v>0</v>
      </c>
    </row>
    <row r="234" spans="1:17">
      <c r="A234" s="37" t="s">
        <v>795</v>
      </c>
      <c r="B234" s="37" t="s">
        <v>458</v>
      </c>
      <c r="C234" s="37" t="s">
        <v>94</v>
      </c>
      <c r="D234" s="37" t="s">
        <v>66</v>
      </c>
      <c r="E234" s="37" t="s">
        <v>67</v>
      </c>
      <c r="F234" s="37" t="s">
        <v>32</v>
      </c>
      <c r="G234" s="37" t="s">
        <v>33</v>
      </c>
      <c r="H234" s="37" t="s">
        <v>131</v>
      </c>
      <c r="I234" s="37" t="s">
        <v>796</v>
      </c>
      <c r="J234" s="37">
        <v>445</v>
      </c>
      <c r="K234" s="37">
        <v>1811</v>
      </c>
      <c r="L234" s="37">
        <v>589.26</v>
      </c>
      <c r="M234" s="37" t="s">
        <v>44</v>
      </c>
      <c r="N234" s="37">
        <v>183</v>
      </c>
      <c r="O234" s="37">
        <v>50</v>
      </c>
      <c r="P234" s="37" t="s">
        <v>70</v>
      </c>
      <c r="Q234" s="37">
        <v>38</v>
      </c>
    </row>
    <row r="235" spans="1:17">
      <c r="A235" s="33" t="s">
        <v>797</v>
      </c>
      <c r="B235" s="33" t="s">
        <v>798</v>
      </c>
      <c r="C235" s="33" t="s">
        <v>47</v>
      </c>
      <c r="D235" s="33" t="s">
        <v>54</v>
      </c>
      <c r="E235" s="33" t="s">
        <v>55</v>
      </c>
      <c r="F235" s="33" t="s">
        <v>54</v>
      </c>
      <c r="G235" s="33" t="s">
        <v>74</v>
      </c>
      <c r="H235" s="33" t="s">
        <v>279</v>
      </c>
      <c r="I235" s="33" t="s">
        <v>799</v>
      </c>
      <c r="J235" s="33">
        <v>309</v>
      </c>
      <c r="K235" s="33">
        <v>1167</v>
      </c>
      <c r="L235" s="33">
        <v>634.08000000000004</v>
      </c>
      <c r="M235" s="33" t="s">
        <v>44</v>
      </c>
      <c r="N235" s="33">
        <v>312</v>
      </c>
      <c r="O235" s="33">
        <v>195</v>
      </c>
      <c r="P235" s="33" t="s">
        <v>28</v>
      </c>
      <c r="Q235" s="33">
        <v>0</v>
      </c>
    </row>
    <row r="236" spans="1:17">
      <c r="A236" s="37" t="s">
        <v>800</v>
      </c>
      <c r="B236" s="37" t="s">
        <v>801</v>
      </c>
      <c r="C236" s="37" t="s">
        <v>115</v>
      </c>
      <c r="D236" s="37" t="s">
        <v>156</v>
      </c>
      <c r="E236" s="37" t="s">
        <v>157</v>
      </c>
      <c r="F236" s="37" t="s">
        <v>56</v>
      </c>
      <c r="G236" s="37" t="s">
        <v>57</v>
      </c>
      <c r="H236" s="37" t="s">
        <v>802</v>
      </c>
      <c r="I236" s="37" t="s">
        <v>803</v>
      </c>
      <c r="J236" s="37">
        <v>410</v>
      </c>
      <c r="K236" s="37">
        <v>2182</v>
      </c>
      <c r="L236" s="37">
        <v>98.24</v>
      </c>
      <c r="M236" s="37" t="s">
        <v>60</v>
      </c>
      <c r="N236" s="37">
        <v>212</v>
      </c>
      <c r="O236" s="37">
        <v>166</v>
      </c>
      <c r="P236" s="37" t="s">
        <v>28</v>
      </c>
      <c r="Q236" s="37">
        <v>0</v>
      </c>
    </row>
    <row r="237" spans="1:17">
      <c r="A237" s="33" t="s">
        <v>804</v>
      </c>
      <c r="B237" s="33" t="s">
        <v>805</v>
      </c>
      <c r="C237" s="33" t="s">
        <v>31</v>
      </c>
      <c r="D237" s="33" t="s">
        <v>101</v>
      </c>
      <c r="E237" s="33" t="s">
        <v>102</v>
      </c>
      <c r="F237" s="33" t="s">
        <v>156</v>
      </c>
      <c r="G237" s="33" t="s">
        <v>157</v>
      </c>
      <c r="H237" s="33" t="s">
        <v>806</v>
      </c>
      <c r="I237" s="33" t="s">
        <v>807</v>
      </c>
      <c r="J237" s="33">
        <v>137</v>
      </c>
      <c r="K237" s="33">
        <v>2981</v>
      </c>
      <c r="L237" s="33">
        <v>483.69</v>
      </c>
      <c r="M237" s="33" t="s">
        <v>60</v>
      </c>
      <c r="N237" s="33">
        <v>195</v>
      </c>
      <c r="O237" s="33">
        <v>92</v>
      </c>
      <c r="P237" s="33" t="s">
        <v>28</v>
      </c>
      <c r="Q237" s="33">
        <v>0</v>
      </c>
    </row>
    <row r="238" spans="1:17">
      <c r="A238" s="37" t="s">
        <v>808</v>
      </c>
      <c r="B238" s="37" t="s">
        <v>809</v>
      </c>
      <c r="C238" s="37" t="s">
        <v>31</v>
      </c>
      <c r="D238" s="37" t="s">
        <v>129</v>
      </c>
      <c r="E238" s="37" t="s">
        <v>130</v>
      </c>
      <c r="F238" s="37" t="s">
        <v>54</v>
      </c>
      <c r="G238" s="37" t="s">
        <v>55</v>
      </c>
      <c r="H238" s="37" t="s">
        <v>545</v>
      </c>
      <c r="I238" s="37" t="s">
        <v>131</v>
      </c>
      <c r="J238" s="37">
        <v>90</v>
      </c>
      <c r="K238" s="37">
        <v>1174</v>
      </c>
      <c r="L238" s="37">
        <v>614.02</v>
      </c>
      <c r="M238" s="37" t="s">
        <v>60</v>
      </c>
      <c r="N238" s="37">
        <v>251</v>
      </c>
      <c r="O238" s="37">
        <v>107</v>
      </c>
      <c r="P238" s="37" t="s">
        <v>28</v>
      </c>
      <c r="Q238" s="37">
        <v>0</v>
      </c>
    </row>
    <row r="239" spans="1:17">
      <c r="A239" s="33" t="s">
        <v>810</v>
      </c>
      <c r="B239" s="33" t="s">
        <v>544</v>
      </c>
      <c r="C239" s="33" t="s">
        <v>20</v>
      </c>
      <c r="D239" s="33" t="s">
        <v>174</v>
      </c>
      <c r="E239" s="33" t="s">
        <v>175</v>
      </c>
      <c r="F239" s="33" t="s">
        <v>64</v>
      </c>
      <c r="G239" s="33" t="s">
        <v>65</v>
      </c>
      <c r="H239" s="33" t="s">
        <v>406</v>
      </c>
      <c r="I239" s="33" t="s">
        <v>811</v>
      </c>
      <c r="J239" s="33">
        <v>445</v>
      </c>
      <c r="K239" s="33">
        <v>841</v>
      </c>
      <c r="L239" s="33">
        <v>615.02</v>
      </c>
      <c r="M239" s="33" t="s">
        <v>60</v>
      </c>
      <c r="N239" s="33">
        <v>198</v>
      </c>
      <c r="O239" s="33">
        <v>72</v>
      </c>
      <c r="P239" s="33" t="s">
        <v>70</v>
      </c>
      <c r="Q239" s="33">
        <v>41</v>
      </c>
    </row>
    <row r="240" spans="1:17">
      <c r="A240" s="37" t="s">
        <v>812</v>
      </c>
      <c r="B240" s="37" t="s">
        <v>731</v>
      </c>
      <c r="C240" s="37" t="s">
        <v>47</v>
      </c>
      <c r="D240" s="37" t="s">
        <v>64</v>
      </c>
      <c r="E240" s="37" t="s">
        <v>65</v>
      </c>
      <c r="F240" s="37" t="s">
        <v>95</v>
      </c>
      <c r="G240" s="37" t="s">
        <v>96</v>
      </c>
      <c r="H240" s="37" t="s">
        <v>86</v>
      </c>
      <c r="I240" s="37" t="s">
        <v>189</v>
      </c>
      <c r="J240" s="37">
        <v>475</v>
      </c>
      <c r="K240" s="37">
        <v>845</v>
      </c>
      <c r="L240" s="37">
        <v>798.57</v>
      </c>
      <c r="M240" s="37" t="s">
        <v>27</v>
      </c>
      <c r="N240" s="37">
        <v>136</v>
      </c>
      <c r="O240" s="37">
        <v>58</v>
      </c>
      <c r="P240" s="37" t="s">
        <v>28</v>
      </c>
      <c r="Q240" s="37"/>
    </row>
    <row r="241" spans="1:17">
      <c r="A241" s="33" t="s">
        <v>813</v>
      </c>
      <c r="B241" s="33" t="s">
        <v>814</v>
      </c>
      <c r="C241" s="33" t="s">
        <v>63</v>
      </c>
      <c r="D241" s="33" t="s">
        <v>40</v>
      </c>
      <c r="E241" s="33" t="s">
        <v>41</v>
      </c>
      <c r="F241" s="33" t="s">
        <v>64</v>
      </c>
      <c r="G241" s="33" t="s">
        <v>65</v>
      </c>
      <c r="H241" s="33" t="s">
        <v>338</v>
      </c>
      <c r="I241" s="33" t="s">
        <v>815</v>
      </c>
      <c r="J241" s="33">
        <v>411</v>
      </c>
      <c r="K241" s="33">
        <v>920</v>
      </c>
      <c r="L241" s="33">
        <v>1110.28</v>
      </c>
      <c r="M241" s="33" t="s">
        <v>27</v>
      </c>
      <c r="N241" s="33">
        <v>275</v>
      </c>
      <c r="O241" s="33">
        <v>163</v>
      </c>
      <c r="P241" s="33" t="s">
        <v>70</v>
      </c>
      <c r="Q241" s="33">
        <v>37</v>
      </c>
    </row>
    <row r="242" spans="1:17">
      <c r="A242" s="37" t="s">
        <v>816</v>
      </c>
      <c r="B242" s="37" t="s">
        <v>618</v>
      </c>
      <c r="C242" s="37" t="s">
        <v>63</v>
      </c>
      <c r="D242" s="37" t="s">
        <v>197</v>
      </c>
      <c r="E242" s="37" t="s">
        <v>198</v>
      </c>
      <c r="F242" s="37" t="s">
        <v>48</v>
      </c>
      <c r="G242" s="37" t="s">
        <v>49</v>
      </c>
      <c r="H242" s="37" t="s">
        <v>275</v>
      </c>
      <c r="I242" s="37" t="s">
        <v>817</v>
      </c>
      <c r="J242" s="37">
        <v>269</v>
      </c>
      <c r="K242" s="37">
        <v>2058</v>
      </c>
      <c r="L242" s="37">
        <v>432.24</v>
      </c>
      <c r="M242" s="37" t="s">
        <v>60</v>
      </c>
      <c r="N242" s="37">
        <v>163</v>
      </c>
      <c r="O242" s="37">
        <v>85</v>
      </c>
      <c r="P242" s="37" t="s">
        <v>28</v>
      </c>
      <c r="Q242" s="37">
        <v>0</v>
      </c>
    </row>
    <row r="243" spans="1:17">
      <c r="A243" s="33" t="s">
        <v>818</v>
      </c>
      <c r="B243" s="33" t="s">
        <v>819</v>
      </c>
      <c r="C243" s="33" t="s">
        <v>192</v>
      </c>
      <c r="D243" s="33" t="s">
        <v>174</v>
      </c>
      <c r="E243" s="33" t="s">
        <v>175</v>
      </c>
      <c r="F243" s="33" t="s">
        <v>156</v>
      </c>
      <c r="G243" s="33" t="s">
        <v>157</v>
      </c>
      <c r="H243" s="33" t="s">
        <v>790</v>
      </c>
      <c r="I243" s="33" t="s">
        <v>820</v>
      </c>
      <c r="J243" s="33">
        <v>472</v>
      </c>
      <c r="K243" s="33">
        <v>1904</v>
      </c>
      <c r="L243" s="33">
        <v>411.01</v>
      </c>
      <c r="M243" s="33" t="s">
        <v>60</v>
      </c>
      <c r="N243" s="33">
        <v>300</v>
      </c>
      <c r="O243" s="33">
        <v>279</v>
      </c>
      <c r="P243" s="33" t="s">
        <v>70</v>
      </c>
      <c r="Q243" s="33">
        <v>76</v>
      </c>
    </row>
    <row r="244" spans="1:17">
      <c r="A244" s="37" t="s">
        <v>821</v>
      </c>
      <c r="B244" s="37" t="s">
        <v>822</v>
      </c>
      <c r="C244" s="37" t="s">
        <v>73</v>
      </c>
      <c r="D244" s="37" t="s">
        <v>197</v>
      </c>
      <c r="E244" s="37" t="s">
        <v>198</v>
      </c>
      <c r="F244" s="37" t="s">
        <v>21</v>
      </c>
      <c r="G244" s="37" t="s">
        <v>22</v>
      </c>
      <c r="H244" s="37" t="s">
        <v>240</v>
      </c>
      <c r="I244" s="37" t="s">
        <v>266</v>
      </c>
      <c r="J244" s="37">
        <v>360</v>
      </c>
      <c r="K244" s="37">
        <v>349</v>
      </c>
      <c r="L244" s="37">
        <v>1185.31</v>
      </c>
      <c r="M244" s="37" t="s">
        <v>44</v>
      </c>
      <c r="N244" s="37">
        <v>133</v>
      </c>
      <c r="O244" s="37">
        <v>99</v>
      </c>
      <c r="P244" s="37" t="s">
        <v>70</v>
      </c>
      <c r="Q244" s="37">
        <v>160</v>
      </c>
    </row>
    <row r="245" spans="1:17">
      <c r="A245" s="33" t="s">
        <v>823</v>
      </c>
      <c r="B245" s="33" t="s">
        <v>824</v>
      </c>
      <c r="C245" s="33" t="s">
        <v>47</v>
      </c>
      <c r="D245" s="33" t="s">
        <v>32</v>
      </c>
      <c r="E245" s="33" t="s">
        <v>33</v>
      </c>
      <c r="F245" s="33" t="s">
        <v>38</v>
      </c>
      <c r="G245" s="33" t="s">
        <v>39</v>
      </c>
      <c r="H245" s="33" t="s">
        <v>240</v>
      </c>
      <c r="I245" s="33" t="s">
        <v>825</v>
      </c>
      <c r="J245" s="33">
        <v>98</v>
      </c>
      <c r="K245" s="33">
        <v>2705</v>
      </c>
      <c r="L245" s="33">
        <v>155.63999999999999</v>
      </c>
      <c r="M245" s="33" t="s">
        <v>44</v>
      </c>
      <c r="N245" s="33">
        <v>155</v>
      </c>
      <c r="O245" s="33">
        <v>55</v>
      </c>
      <c r="P245" s="33" t="s">
        <v>70</v>
      </c>
      <c r="Q245" s="33">
        <v>116</v>
      </c>
    </row>
    <row r="246" spans="1:17">
      <c r="A246" s="37" t="s">
        <v>826</v>
      </c>
      <c r="B246" s="37" t="s">
        <v>827</v>
      </c>
      <c r="C246" s="37" t="s">
        <v>192</v>
      </c>
      <c r="D246" s="37" t="s">
        <v>116</v>
      </c>
      <c r="E246" s="37" t="s">
        <v>117</v>
      </c>
      <c r="F246" s="37" t="s">
        <v>129</v>
      </c>
      <c r="G246" s="37" t="s">
        <v>130</v>
      </c>
      <c r="H246" s="37" t="s">
        <v>226</v>
      </c>
      <c r="I246" s="37" t="s">
        <v>828</v>
      </c>
      <c r="J246" s="37">
        <v>132</v>
      </c>
      <c r="K246" s="37">
        <v>2923</v>
      </c>
      <c r="L246" s="37">
        <v>680.95</v>
      </c>
      <c r="M246" s="37" t="s">
        <v>27</v>
      </c>
      <c r="N246" s="37">
        <v>139</v>
      </c>
      <c r="O246" s="37">
        <v>85</v>
      </c>
      <c r="P246" s="37" t="s">
        <v>28</v>
      </c>
      <c r="Q246" s="37">
        <v>0</v>
      </c>
    </row>
    <row r="247" spans="1:17">
      <c r="A247" s="33" t="s">
        <v>829</v>
      </c>
      <c r="B247" s="33" t="s">
        <v>679</v>
      </c>
      <c r="C247" s="33" t="s">
        <v>31</v>
      </c>
      <c r="D247" s="33" t="s">
        <v>101</v>
      </c>
      <c r="E247" s="33" t="s">
        <v>102</v>
      </c>
      <c r="F247" s="33" t="s">
        <v>54</v>
      </c>
      <c r="G247" s="33" t="s">
        <v>74</v>
      </c>
      <c r="H247" s="33" t="s">
        <v>248</v>
      </c>
      <c r="I247" s="33" t="s">
        <v>202</v>
      </c>
      <c r="J247" s="33">
        <v>390</v>
      </c>
      <c r="K247" s="33">
        <v>2898</v>
      </c>
      <c r="L247" s="33">
        <v>934.81</v>
      </c>
      <c r="M247" s="33" t="s">
        <v>27</v>
      </c>
      <c r="N247" s="33">
        <v>274</v>
      </c>
      <c r="O247" s="33">
        <v>214</v>
      </c>
      <c r="P247" s="33" t="s">
        <v>28</v>
      </c>
      <c r="Q247" s="33">
        <v>0</v>
      </c>
    </row>
    <row r="248" spans="1:17">
      <c r="A248" s="37" t="s">
        <v>830</v>
      </c>
      <c r="B248" s="37" t="s">
        <v>831</v>
      </c>
      <c r="C248" s="37" t="s">
        <v>31</v>
      </c>
      <c r="D248" s="37" t="s">
        <v>56</v>
      </c>
      <c r="E248" s="37" t="s">
        <v>57</v>
      </c>
      <c r="F248" s="37" t="s">
        <v>21</v>
      </c>
      <c r="G248" s="37" t="s">
        <v>22</v>
      </c>
      <c r="H248" s="37" t="s">
        <v>170</v>
      </c>
      <c r="I248" s="37" t="s">
        <v>832</v>
      </c>
      <c r="J248" s="37">
        <v>149</v>
      </c>
      <c r="K248" s="37">
        <v>2157</v>
      </c>
      <c r="L248" s="37">
        <v>765.77</v>
      </c>
      <c r="M248" s="37" t="s">
        <v>60</v>
      </c>
      <c r="N248" s="37">
        <v>179</v>
      </c>
      <c r="O248" s="37">
        <v>94</v>
      </c>
      <c r="P248" s="37" t="s">
        <v>28</v>
      </c>
      <c r="Q248" s="37">
        <v>0</v>
      </c>
    </row>
    <row r="249" spans="1:17">
      <c r="A249" s="33" t="s">
        <v>833</v>
      </c>
      <c r="B249" s="33" t="s">
        <v>484</v>
      </c>
      <c r="C249" s="33" t="s">
        <v>20</v>
      </c>
      <c r="D249" s="33" t="s">
        <v>38</v>
      </c>
      <c r="E249" s="33" t="s">
        <v>39</v>
      </c>
      <c r="F249" s="33" t="s">
        <v>116</v>
      </c>
      <c r="G249" s="33" t="s">
        <v>117</v>
      </c>
      <c r="H249" s="33" t="s">
        <v>162</v>
      </c>
      <c r="I249" s="33" t="s">
        <v>834</v>
      </c>
      <c r="J249" s="33">
        <v>175</v>
      </c>
      <c r="K249" s="33">
        <v>1823</v>
      </c>
      <c r="L249" s="33">
        <v>222.16</v>
      </c>
      <c r="M249" s="33" t="s">
        <v>44</v>
      </c>
      <c r="N249" s="33">
        <v>287</v>
      </c>
      <c r="O249" s="33">
        <v>276</v>
      </c>
      <c r="P249" s="33" t="s">
        <v>28</v>
      </c>
      <c r="Q249" s="33">
        <v>0</v>
      </c>
    </row>
    <row r="250" spans="1:17">
      <c r="A250" s="37" t="s">
        <v>835</v>
      </c>
      <c r="B250" s="37" t="s">
        <v>836</v>
      </c>
      <c r="C250" s="37" t="s">
        <v>47</v>
      </c>
      <c r="D250" s="37" t="s">
        <v>129</v>
      </c>
      <c r="E250" s="37" t="s">
        <v>130</v>
      </c>
      <c r="F250" s="37" t="s">
        <v>21</v>
      </c>
      <c r="G250" s="37" t="s">
        <v>22</v>
      </c>
      <c r="H250" s="37" t="s">
        <v>712</v>
      </c>
      <c r="I250" s="37" t="s">
        <v>563</v>
      </c>
      <c r="J250" s="37">
        <v>224</v>
      </c>
      <c r="K250" s="37">
        <v>2661</v>
      </c>
      <c r="L250" s="37">
        <v>782.84</v>
      </c>
      <c r="M250" s="37" t="s">
        <v>44</v>
      </c>
      <c r="N250" s="37">
        <v>216</v>
      </c>
      <c r="O250" s="37">
        <v>180</v>
      </c>
      <c r="P250" s="37" t="s">
        <v>28</v>
      </c>
      <c r="Q250" s="37">
        <v>0</v>
      </c>
    </row>
    <row r="251" spans="1:17">
      <c r="A251" s="33" t="s">
        <v>837</v>
      </c>
      <c r="B251" s="33" t="s">
        <v>838</v>
      </c>
      <c r="C251" s="33" t="s">
        <v>63</v>
      </c>
      <c r="D251" s="33" t="s">
        <v>64</v>
      </c>
      <c r="E251" s="33" t="s">
        <v>65</v>
      </c>
      <c r="F251" s="33" t="s">
        <v>38</v>
      </c>
      <c r="G251" s="33" t="s">
        <v>39</v>
      </c>
      <c r="H251" s="33" t="s">
        <v>378</v>
      </c>
      <c r="I251" s="33" t="s">
        <v>839</v>
      </c>
      <c r="J251" s="33">
        <v>383</v>
      </c>
      <c r="K251" s="33">
        <v>772</v>
      </c>
      <c r="L251" s="33">
        <v>335.81</v>
      </c>
      <c r="M251" s="33" t="s">
        <v>27</v>
      </c>
      <c r="N251" s="33">
        <v>100</v>
      </c>
      <c r="O251" s="33">
        <v>52</v>
      </c>
      <c r="P251" s="33" t="s">
        <v>70</v>
      </c>
      <c r="Q251" s="33">
        <v>18</v>
      </c>
    </row>
    <row r="252" spans="1:17">
      <c r="A252" s="37" t="s">
        <v>840</v>
      </c>
      <c r="B252" s="37" t="s">
        <v>841</v>
      </c>
      <c r="C252" s="37" t="s">
        <v>20</v>
      </c>
      <c r="D252" s="37" t="s">
        <v>79</v>
      </c>
      <c r="E252" s="37" t="s">
        <v>80</v>
      </c>
      <c r="F252" s="37" t="s">
        <v>64</v>
      </c>
      <c r="G252" s="37" t="s">
        <v>65</v>
      </c>
      <c r="H252" s="37" t="s">
        <v>279</v>
      </c>
      <c r="I252" s="37" t="s">
        <v>842</v>
      </c>
      <c r="J252" s="37">
        <v>181</v>
      </c>
      <c r="K252" s="37">
        <v>444</v>
      </c>
      <c r="L252" s="37">
        <v>699.21</v>
      </c>
      <c r="M252" s="37" t="s">
        <v>27</v>
      </c>
      <c r="N252" s="37">
        <v>289</v>
      </c>
      <c r="O252" s="37">
        <v>217</v>
      </c>
      <c r="P252" s="37" t="s">
        <v>28</v>
      </c>
      <c r="Q252" s="37">
        <v>0</v>
      </c>
    </row>
    <row r="253" spans="1:17">
      <c r="A253" s="33" t="s">
        <v>843</v>
      </c>
      <c r="B253" s="33" t="s">
        <v>212</v>
      </c>
      <c r="C253" s="33" t="s">
        <v>31</v>
      </c>
      <c r="D253" s="33" t="s">
        <v>129</v>
      </c>
      <c r="E253" s="33" t="s">
        <v>130</v>
      </c>
      <c r="F253" s="33" t="s">
        <v>156</v>
      </c>
      <c r="G253" s="33" t="s">
        <v>157</v>
      </c>
      <c r="H253" s="33" t="s">
        <v>378</v>
      </c>
      <c r="I253" s="33" t="s">
        <v>844</v>
      </c>
      <c r="J253" s="33">
        <v>382</v>
      </c>
      <c r="K253" s="33">
        <v>1827</v>
      </c>
      <c r="L253" s="33">
        <v>213.73</v>
      </c>
      <c r="M253" s="33" t="s">
        <v>27</v>
      </c>
      <c r="N253" s="33">
        <v>330</v>
      </c>
      <c r="O253" s="33">
        <v>76</v>
      </c>
      <c r="P253" s="33" t="s">
        <v>28</v>
      </c>
      <c r="Q253" s="33">
        <v>0</v>
      </c>
    </row>
    <row r="254" spans="1:17">
      <c r="A254" s="37" t="s">
        <v>845</v>
      </c>
      <c r="B254" s="37" t="s">
        <v>846</v>
      </c>
      <c r="C254" s="37" t="s">
        <v>20</v>
      </c>
      <c r="D254" s="37" t="s">
        <v>66</v>
      </c>
      <c r="E254" s="37" t="s">
        <v>67</v>
      </c>
      <c r="F254" s="37" t="s">
        <v>54</v>
      </c>
      <c r="G254" s="37" t="s">
        <v>55</v>
      </c>
      <c r="H254" s="37" t="s">
        <v>361</v>
      </c>
      <c r="I254" s="37" t="s">
        <v>537</v>
      </c>
      <c r="J254" s="37">
        <v>249</v>
      </c>
      <c r="K254" s="37">
        <v>1640</v>
      </c>
      <c r="L254" s="37">
        <v>176.75</v>
      </c>
      <c r="M254" s="37" t="s">
        <v>44</v>
      </c>
      <c r="N254" s="37">
        <v>102</v>
      </c>
      <c r="O254" s="37">
        <v>73</v>
      </c>
      <c r="P254" s="37" t="s">
        <v>28</v>
      </c>
      <c r="Q254" s="37">
        <v>0</v>
      </c>
    </row>
    <row r="255" spans="1:17">
      <c r="A255" s="33" t="s">
        <v>847</v>
      </c>
      <c r="B255" s="33" t="s">
        <v>848</v>
      </c>
      <c r="C255" s="33" t="s">
        <v>31</v>
      </c>
      <c r="D255" s="33" t="s">
        <v>40</v>
      </c>
      <c r="E255" s="33" t="s">
        <v>41</v>
      </c>
      <c r="F255" s="33" t="s">
        <v>64</v>
      </c>
      <c r="G255" s="33" t="s">
        <v>65</v>
      </c>
      <c r="H255" s="33" t="s">
        <v>342</v>
      </c>
      <c r="I255" s="33" t="s">
        <v>849</v>
      </c>
      <c r="J255" s="33">
        <v>190</v>
      </c>
      <c r="K255" s="33">
        <v>2538</v>
      </c>
      <c r="L255" s="33">
        <v>931.74</v>
      </c>
      <c r="M255" s="33" t="s">
        <v>60</v>
      </c>
      <c r="N255" s="33">
        <v>138</v>
      </c>
      <c r="O255" s="33">
        <v>50</v>
      </c>
      <c r="P255" s="33" t="s">
        <v>149</v>
      </c>
      <c r="Q255" s="33">
        <v>0</v>
      </c>
    </row>
    <row r="256" spans="1:17">
      <c r="A256" s="37" t="s">
        <v>850</v>
      </c>
      <c r="B256" s="37" t="s">
        <v>851</v>
      </c>
      <c r="C256" s="37" t="s">
        <v>31</v>
      </c>
      <c r="D256" s="37" t="s">
        <v>32</v>
      </c>
      <c r="E256" s="37" t="s">
        <v>33</v>
      </c>
      <c r="F256" s="37" t="s">
        <v>64</v>
      </c>
      <c r="G256" s="37" t="s">
        <v>65</v>
      </c>
      <c r="H256" s="37" t="s">
        <v>499</v>
      </c>
      <c r="I256" s="37" t="s">
        <v>852</v>
      </c>
      <c r="J256" s="37">
        <v>261</v>
      </c>
      <c r="K256" s="37">
        <v>305</v>
      </c>
      <c r="L256" s="37">
        <v>930</v>
      </c>
      <c r="M256" s="37" t="s">
        <v>44</v>
      </c>
      <c r="N256" s="37">
        <v>317</v>
      </c>
      <c r="O256" s="37">
        <v>207</v>
      </c>
      <c r="P256" s="37" t="s">
        <v>28</v>
      </c>
      <c r="Q256" s="37">
        <v>0</v>
      </c>
    </row>
    <row r="257" spans="1:17">
      <c r="A257" s="33" t="s">
        <v>853</v>
      </c>
      <c r="B257" s="33" t="s">
        <v>854</v>
      </c>
      <c r="C257" s="33" t="s">
        <v>31</v>
      </c>
      <c r="D257" s="33" t="s">
        <v>129</v>
      </c>
      <c r="E257" s="33" t="s">
        <v>130</v>
      </c>
      <c r="F257" s="33" t="s">
        <v>116</v>
      </c>
      <c r="G257" s="33" t="s">
        <v>117</v>
      </c>
      <c r="H257" s="33" t="s">
        <v>855</v>
      </c>
      <c r="I257" s="33" t="s">
        <v>856</v>
      </c>
      <c r="J257" s="33">
        <v>454</v>
      </c>
      <c r="K257" s="33">
        <v>1446</v>
      </c>
      <c r="L257" s="33">
        <v>184.19</v>
      </c>
      <c r="M257" s="33" t="s">
        <v>60</v>
      </c>
      <c r="N257" s="33">
        <v>329</v>
      </c>
      <c r="O257" s="33">
        <v>316</v>
      </c>
      <c r="P257" s="33" t="s">
        <v>28</v>
      </c>
      <c r="Q257" s="33">
        <v>0</v>
      </c>
    </row>
    <row r="258" spans="1:17">
      <c r="A258" s="37" t="s">
        <v>857</v>
      </c>
      <c r="B258" s="37" t="s">
        <v>858</v>
      </c>
      <c r="C258" s="37" t="s">
        <v>115</v>
      </c>
      <c r="D258" s="37" t="s">
        <v>54</v>
      </c>
      <c r="E258" s="37" t="s">
        <v>55</v>
      </c>
      <c r="F258" s="37" t="s">
        <v>48</v>
      </c>
      <c r="G258" s="37" t="s">
        <v>49</v>
      </c>
      <c r="H258" s="37" t="s">
        <v>118</v>
      </c>
      <c r="I258" s="37" t="s">
        <v>859</v>
      </c>
      <c r="J258" s="37">
        <v>416</v>
      </c>
      <c r="K258" s="37">
        <v>1915</v>
      </c>
      <c r="L258" s="37">
        <v>163.81</v>
      </c>
      <c r="M258" s="37" t="s">
        <v>27</v>
      </c>
      <c r="N258" s="37">
        <v>115</v>
      </c>
      <c r="O258" s="37">
        <v>105</v>
      </c>
      <c r="P258" s="37" t="s">
        <v>70</v>
      </c>
      <c r="Q258" s="37">
        <v>48</v>
      </c>
    </row>
    <row r="259" spans="1:17">
      <c r="A259" s="33" t="s">
        <v>860</v>
      </c>
      <c r="B259" s="33" t="s">
        <v>861</v>
      </c>
      <c r="C259" s="33" t="s">
        <v>192</v>
      </c>
      <c r="D259" s="33" t="s">
        <v>21</v>
      </c>
      <c r="E259" s="33" t="s">
        <v>22</v>
      </c>
      <c r="F259" s="33" t="s">
        <v>64</v>
      </c>
      <c r="G259" s="33" t="s">
        <v>65</v>
      </c>
      <c r="H259" s="33" t="s">
        <v>462</v>
      </c>
      <c r="I259" s="33" t="s">
        <v>862</v>
      </c>
      <c r="J259" s="33">
        <v>252</v>
      </c>
      <c r="K259" s="33">
        <v>2154</v>
      </c>
      <c r="L259" s="33">
        <v>384.59</v>
      </c>
      <c r="M259" s="33" t="s">
        <v>60</v>
      </c>
      <c r="N259" s="33">
        <v>341</v>
      </c>
      <c r="O259" s="33">
        <v>153</v>
      </c>
      <c r="P259" s="33" t="s">
        <v>28</v>
      </c>
      <c r="Q259" s="33">
        <v>0</v>
      </c>
    </row>
    <row r="260" spans="1:17">
      <c r="A260" s="37" t="s">
        <v>863</v>
      </c>
      <c r="B260" s="37" t="s">
        <v>864</v>
      </c>
      <c r="C260" s="37" t="s">
        <v>63</v>
      </c>
      <c r="D260" s="37" t="s">
        <v>197</v>
      </c>
      <c r="E260" s="37" t="s">
        <v>198</v>
      </c>
      <c r="F260" s="37" t="s">
        <v>183</v>
      </c>
      <c r="G260" s="37" t="s">
        <v>184</v>
      </c>
      <c r="H260" s="37" t="s">
        <v>326</v>
      </c>
      <c r="I260" s="37" t="s">
        <v>865</v>
      </c>
      <c r="J260" s="37">
        <v>250</v>
      </c>
      <c r="K260" s="37">
        <v>1965</v>
      </c>
      <c r="L260" s="37">
        <v>215.23</v>
      </c>
      <c r="M260" s="37" t="s">
        <v>44</v>
      </c>
      <c r="N260" s="37">
        <v>346</v>
      </c>
      <c r="O260" s="37"/>
      <c r="P260" s="37" t="s">
        <v>28</v>
      </c>
      <c r="Q260" s="37">
        <v>0</v>
      </c>
    </row>
    <row r="261" spans="1:17">
      <c r="A261" s="33" t="s">
        <v>866</v>
      </c>
      <c r="B261" s="33" t="s">
        <v>867</v>
      </c>
      <c r="C261" s="33" t="s">
        <v>705</v>
      </c>
      <c r="D261" s="33" t="s">
        <v>197</v>
      </c>
      <c r="E261" s="33" t="s">
        <v>198</v>
      </c>
      <c r="F261" s="33" t="s">
        <v>54</v>
      </c>
      <c r="G261" s="33" t="s">
        <v>55</v>
      </c>
      <c r="H261" s="33" t="s">
        <v>806</v>
      </c>
      <c r="I261" s="33" t="s">
        <v>185</v>
      </c>
      <c r="J261" s="33">
        <v>450</v>
      </c>
      <c r="K261" s="33">
        <v>2771</v>
      </c>
      <c r="L261" s="33">
        <v>125.17</v>
      </c>
      <c r="M261" s="33" t="s">
        <v>44</v>
      </c>
      <c r="N261" s="33">
        <v>137</v>
      </c>
      <c r="O261" s="33">
        <v>61</v>
      </c>
      <c r="P261" s="33" t="s">
        <v>70</v>
      </c>
      <c r="Q261" s="33">
        <v>106</v>
      </c>
    </row>
    <row r="262" spans="1:17">
      <c r="A262" s="37" t="s">
        <v>868</v>
      </c>
      <c r="B262" s="37" t="s">
        <v>869</v>
      </c>
      <c r="C262" s="37" t="s">
        <v>20</v>
      </c>
      <c r="D262" s="37" t="s">
        <v>95</v>
      </c>
      <c r="E262" s="37" t="s">
        <v>96</v>
      </c>
      <c r="F262" s="37" t="s">
        <v>21</v>
      </c>
      <c r="G262" s="37" t="s">
        <v>22</v>
      </c>
      <c r="H262" s="37" t="s">
        <v>103</v>
      </c>
      <c r="I262" s="37" t="s">
        <v>870</v>
      </c>
      <c r="J262" s="37">
        <v>297</v>
      </c>
      <c r="K262" s="37">
        <v>2152</v>
      </c>
      <c r="L262" s="37">
        <v>702.67</v>
      </c>
      <c r="M262" s="37" t="s">
        <v>27</v>
      </c>
      <c r="N262" s="37">
        <v>163</v>
      </c>
      <c r="O262" s="37"/>
      <c r="P262" s="37" t="s">
        <v>28</v>
      </c>
      <c r="Q262" s="37">
        <v>0</v>
      </c>
    </row>
    <row r="263" spans="1:17">
      <c r="A263" s="33" t="s">
        <v>871</v>
      </c>
      <c r="B263" s="33" t="s">
        <v>872</v>
      </c>
      <c r="C263" s="33" t="s">
        <v>94</v>
      </c>
      <c r="D263" s="33" t="s">
        <v>174</v>
      </c>
      <c r="E263" s="33" t="s">
        <v>175</v>
      </c>
      <c r="F263" s="33" t="s">
        <v>54</v>
      </c>
      <c r="G263" s="33" t="s">
        <v>55</v>
      </c>
      <c r="H263" s="33" t="s">
        <v>25</v>
      </c>
      <c r="I263" s="33" t="s">
        <v>873</v>
      </c>
      <c r="J263" s="33">
        <v>191</v>
      </c>
      <c r="K263" s="33">
        <v>1940</v>
      </c>
      <c r="L263" s="33">
        <v>496.91</v>
      </c>
      <c r="M263" s="33" t="s">
        <v>27</v>
      </c>
      <c r="N263" s="33">
        <v>340</v>
      </c>
      <c r="O263" s="33">
        <v>93</v>
      </c>
      <c r="P263" s="33" t="s">
        <v>28</v>
      </c>
      <c r="Q263" s="33">
        <v>0</v>
      </c>
    </row>
    <row r="264" spans="1:17">
      <c r="A264" s="37" t="s">
        <v>874</v>
      </c>
      <c r="B264" s="37" t="s">
        <v>875</v>
      </c>
      <c r="C264" s="37" t="s">
        <v>94</v>
      </c>
      <c r="D264" s="37" t="s">
        <v>174</v>
      </c>
      <c r="E264" s="37" t="s">
        <v>175</v>
      </c>
      <c r="F264" s="37" t="s">
        <v>197</v>
      </c>
      <c r="G264" s="37" t="s">
        <v>198</v>
      </c>
      <c r="H264" s="37" t="s">
        <v>139</v>
      </c>
      <c r="I264" s="37" t="s">
        <v>876</v>
      </c>
      <c r="J264" s="37">
        <v>155</v>
      </c>
      <c r="K264" s="37">
        <v>676</v>
      </c>
      <c r="L264" s="37">
        <v>1093.69</v>
      </c>
      <c r="M264" s="37" t="s">
        <v>44</v>
      </c>
      <c r="N264" s="37">
        <v>131</v>
      </c>
      <c r="O264" s="37">
        <v>55</v>
      </c>
      <c r="P264" s="37" t="s">
        <v>149</v>
      </c>
      <c r="Q264" s="37">
        <v>0</v>
      </c>
    </row>
    <row r="265" spans="1:17">
      <c r="A265" s="33" t="s">
        <v>877</v>
      </c>
      <c r="B265" s="33" t="s">
        <v>575</v>
      </c>
      <c r="C265" s="33" t="s">
        <v>63</v>
      </c>
      <c r="D265" s="33" t="s">
        <v>54</v>
      </c>
      <c r="E265" s="33" t="s">
        <v>74</v>
      </c>
      <c r="F265" s="33" t="s">
        <v>129</v>
      </c>
      <c r="G265" s="33" t="s">
        <v>130</v>
      </c>
      <c r="H265" s="33" t="s">
        <v>275</v>
      </c>
      <c r="I265" s="33" t="s">
        <v>878</v>
      </c>
      <c r="J265" s="33">
        <v>344</v>
      </c>
      <c r="K265" s="33">
        <v>420</v>
      </c>
      <c r="L265" s="33">
        <v>508.66</v>
      </c>
      <c r="M265" s="33" t="s">
        <v>44</v>
      </c>
      <c r="N265" s="33">
        <v>144</v>
      </c>
      <c r="O265" s="33">
        <v>95</v>
      </c>
      <c r="P265" s="33" t="s">
        <v>28</v>
      </c>
      <c r="Q265" s="33">
        <v>0</v>
      </c>
    </row>
    <row r="266" spans="1:17">
      <c r="A266" s="37" t="s">
        <v>879</v>
      </c>
      <c r="B266" s="37" t="s">
        <v>880</v>
      </c>
      <c r="C266" s="37" t="s">
        <v>192</v>
      </c>
      <c r="D266" s="37" t="s">
        <v>21</v>
      </c>
      <c r="E266" s="37" t="s">
        <v>22</v>
      </c>
      <c r="F266" s="37" t="s">
        <v>79</v>
      </c>
      <c r="G266" s="37" t="s">
        <v>80</v>
      </c>
      <c r="H266" s="37" t="s">
        <v>403</v>
      </c>
      <c r="I266" s="37" t="s">
        <v>881</v>
      </c>
      <c r="J266" s="37">
        <v>404</v>
      </c>
      <c r="K266" s="37">
        <v>2836</v>
      </c>
      <c r="L266" s="37">
        <v>771.01</v>
      </c>
      <c r="M266" s="37" t="s">
        <v>27</v>
      </c>
      <c r="N266" s="37">
        <v>175</v>
      </c>
      <c r="O266" s="37">
        <v>113</v>
      </c>
      <c r="P266" s="37" t="s">
        <v>28</v>
      </c>
      <c r="Q266" s="37">
        <v>0</v>
      </c>
    </row>
    <row r="267" spans="1:17">
      <c r="A267" s="33" t="s">
        <v>882</v>
      </c>
      <c r="B267" s="33" t="s">
        <v>883</v>
      </c>
      <c r="C267" s="33" t="s">
        <v>20</v>
      </c>
      <c r="D267" s="33" t="s">
        <v>54</v>
      </c>
      <c r="E267" s="33" t="s">
        <v>55</v>
      </c>
      <c r="F267" s="33" t="s">
        <v>95</v>
      </c>
      <c r="G267" s="33" t="s">
        <v>96</v>
      </c>
      <c r="H267" s="33" t="s">
        <v>279</v>
      </c>
      <c r="I267" s="33" t="s">
        <v>884</v>
      </c>
      <c r="J267" s="33">
        <v>304</v>
      </c>
      <c r="K267" s="33">
        <v>1116</v>
      </c>
      <c r="L267" s="33">
        <v>799.77</v>
      </c>
      <c r="M267" s="33" t="s">
        <v>27</v>
      </c>
      <c r="N267" s="33">
        <v>163</v>
      </c>
      <c r="O267" s="33">
        <v>130</v>
      </c>
      <c r="P267" s="33" t="s">
        <v>149</v>
      </c>
      <c r="Q267" s="33">
        <v>0</v>
      </c>
    </row>
    <row r="268" spans="1:17">
      <c r="A268" s="37" t="s">
        <v>885</v>
      </c>
      <c r="B268" s="37" t="s">
        <v>886</v>
      </c>
      <c r="C268" s="37" t="s">
        <v>73</v>
      </c>
      <c r="D268" s="37" t="s">
        <v>64</v>
      </c>
      <c r="E268" s="37" t="s">
        <v>65</v>
      </c>
      <c r="F268" s="37" t="s">
        <v>116</v>
      </c>
      <c r="G268" s="37" t="s">
        <v>117</v>
      </c>
      <c r="H268" s="37" t="s">
        <v>476</v>
      </c>
      <c r="I268" s="37" t="s">
        <v>887</v>
      </c>
      <c r="J268" s="37">
        <v>266</v>
      </c>
      <c r="K268" s="37">
        <v>2616</v>
      </c>
      <c r="L268" s="37">
        <v>642.67999999999995</v>
      </c>
      <c r="M268" s="37" t="s">
        <v>44</v>
      </c>
      <c r="N268" s="37">
        <v>169</v>
      </c>
      <c r="O268" s="37">
        <v>73</v>
      </c>
      <c r="P268" s="37" t="s">
        <v>28</v>
      </c>
      <c r="Q268" s="37">
        <v>0</v>
      </c>
    </row>
    <row r="269" spans="1:17">
      <c r="A269" s="33" t="s">
        <v>888</v>
      </c>
      <c r="B269" s="33" t="s">
        <v>889</v>
      </c>
      <c r="C269" s="33" t="s">
        <v>20</v>
      </c>
      <c r="D269" s="33" t="s">
        <v>21</v>
      </c>
      <c r="E269" s="33" t="s">
        <v>22</v>
      </c>
      <c r="F269" s="33" t="s">
        <v>56</v>
      </c>
      <c r="G269" s="33" t="s">
        <v>57</v>
      </c>
      <c r="H269" s="33" t="s">
        <v>334</v>
      </c>
      <c r="I269" s="33" t="s">
        <v>890</v>
      </c>
      <c r="J269" s="33">
        <v>389</v>
      </c>
      <c r="K269" s="33">
        <v>1253</v>
      </c>
      <c r="L269" s="33">
        <v>1170.8599999999999</v>
      </c>
      <c r="M269" s="33" t="s">
        <v>60</v>
      </c>
      <c r="N269" s="33">
        <v>163</v>
      </c>
      <c r="O269" s="33">
        <v>134</v>
      </c>
      <c r="P269" s="33" t="s">
        <v>28</v>
      </c>
      <c r="Q269" s="33">
        <v>0</v>
      </c>
    </row>
    <row r="270" spans="1:17">
      <c r="A270" s="37" t="s">
        <v>891</v>
      </c>
      <c r="B270" s="37" t="s">
        <v>892</v>
      </c>
      <c r="C270" s="37" t="s">
        <v>20</v>
      </c>
      <c r="D270" s="37" t="s">
        <v>23</v>
      </c>
      <c r="E270" s="37" t="s">
        <v>24</v>
      </c>
      <c r="F270" s="37" t="s">
        <v>48</v>
      </c>
      <c r="G270" s="37" t="s">
        <v>49</v>
      </c>
      <c r="H270" s="37" t="s">
        <v>462</v>
      </c>
      <c r="I270" s="37" t="s">
        <v>603</v>
      </c>
      <c r="J270" s="37">
        <v>178</v>
      </c>
      <c r="K270" s="37">
        <v>1021</v>
      </c>
      <c r="L270" s="37">
        <v>344.94</v>
      </c>
      <c r="M270" s="37" t="s">
        <v>44</v>
      </c>
      <c r="N270" s="37">
        <v>306</v>
      </c>
      <c r="O270" s="37"/>
      <c r="P270" s="37" t="s">
        <v>70</v>
      </c>
      <c r="Q270" s="37">
        <v>22</v>
      </c>
    </row>
    <row r="271" spans="1:17">
      <c r="A271" s="33" t="s">
        <v>893</v>
      </c>
      <c r="B271" s="33" t="s">
        <v>894</v>
      </c>
      <c r="C271" s="33" t="s">
        <v>63</v>
      </c>
      <c r="D271" s="33" t="s">
        <v>54</v>
      </c>
      <c r="E271" s="33" t="s">
        <v>74</v>
      </c>
      <c r="F271" s="33" t="s">
        <v>183</v>
      </c>
      <c r="G271" s="33" t="s">
        <v>184</v>
      </c>
      <c r="H271" s="33" t="s">
        <v>334</v>
      </c>
      <c r="I271" s="33" t="s">
        <v>516</v>
      </c>
      <c r="J271" s="33">
        <v>179</v>
      </c>
      <c r="K271" s="33">
        <v>2308</v>
      </c>
      <c r="L271" s="33">
        <v>122.52</v>
      </c>
      <c r="M271" s="33" t="s">
        <v>60</v>
      </c>
      <c r="N271" s="33">
        <v>159</v>
      </c>
      <c r="O271" s="33">
        <v>127</v>
      </c>
      <c r="P271" s="33" t="s">
        <v>28</v>
      </c>
      <c r="Q271" s="33">
        <v>0</v>
      </c>
    </row>
    <row r="272" spans="1:17">
      <c r="A272" s="37" t="s">
        <v>895</v>
      </c>
      <c r="B272" s="37" t="s">
        <v>704</v>
      </c>
      <c r="C272" s="37" t="s">
        <v>115</v>
      </c>
      <c r="D272" s="37" t="s">
        <v>174</v>
      </c>
      <c r="E272" s="37" t="s">
        <v>175</v>
      </c>
      <c r="F272" s="37" t="s">
        <v>64</v>
      </c>
      <c r="G272" s="37" t="s">
        <v>65</v>
      </c>
      <c r="H272" s="37" t="s">
        <v>494</v>
      </c>
      <c r="I272" s="37" t="s">
        <v>203</v>
      </c>
      <c r="J272" s="37">
        <v>156</v>
      </c>
      <c r="K272" s="37">
        <v>1695</v>
      </c>
      <c r="L272" s="37">
        <v>882.97</v>
      </c>
      <c r="M272" s="37" t="s">
        <v>44</v>
      </c>
      <c r="N272" s="37">
        <v>115</v>
      </c>
      <c r="O272" s="37">
        <v>52</v>
      </c>
      <c r="P272" s="37" t="s">
        <v>28</v>
      </c>
      <c r="Q272" s="37">
        <v>0</v>
      </c>
    </row>
    <row r="273" spans="1:17">
      <c r="A273" s="33" t="s">
        <v>896</v>
      </c>
      <c r="B273" s="33" t="s">
        <v>432</v>
      </c>
      <c r="C273" s="33" t="s">
        <v>94</v>
      </c>
      <c r="D273" s="33" t="s">
        <v>116</v>
      </c>
      <c r="E273" s="33" t="s">
        <v>117</v>
      </c>
      <c r="F273" s="33" t="s">
        <v>64</v>
      </c>
      <c r="G273" s="33" t="s">
        <v>65</v>
      </c>
      <c r="H273" s="33" t="s">
        <v>230</v>
      </c>
      <c r="I273" s="33" t="s">
        <v>763</v>
      </c>
      <c r="J273" s="33">
        <v>450</v>
      </c>
      <c r="K273" s="33">
        <v>1920</v>
      </c>
      <c r="L273" s="33">
        <v>736.34</v>
      </c>
      <c r="M273" s="33" t="s">
        <v>44</v>
      </c>
      <c r="N273" s="33">
        <v>177</v>
      </c>
      <c r="O273" s="33">
        <v>132</v>
      </c>
      <c r="P273" s="33" t="s">
        <v>28</v>
      </c>
      <c r="Q273" s="33">
        <v>0</v>
      </c>
    </row>
    <row r="274" spans="1:17">
      <c r="A274" s="37" t="s">
        <v>897</v>
      </c>
      <c r="B274" s="37" t="s">
        <v>898</v>
      </c>
      <c r="C274" s="37" t="s">
        <v>73</v>
      </c>
      <c r="D274" s="37" t="s">
        <v>79</v>
      </c>
      <c r="E274" s="37" t="s">
        <v>80</v>
      </c>
      <c r="F274" s="37" t="s">
        <v>156</v>
      </c>
      <c r="G274" s="37" t="s">
        <v>157</v>
      </c>
      <c r="H274" s="37" t="s">
        <v>806</v>
      </c>
      <c r="I274" s="37" t="s">
        <v>899</v>
      </c>
      <c r="J274" s="37">
        <v>204</v>
      </c>
      <c r="K274" s="37">
        <v>2712</v>
      </c>
      <c r="L274" s="37">
        <v>992.19</v>
      </c>
      <c r="M274" s="37" t="s">
        <v>44</v>
      </c>
      <c r="N274" s="37">
        <v>178</v>
      </c>
      <c r="O274" s="37">
        <v>125</v>
      </c>
      <c r="P274" s="37" t="s">
        <v>28</v>
      </c>
      <c r="Q274" s="37">
        <v>0</v>
      </c>
    </row>
    <row r="275" spans="1:17">
      <c r="A275" s="33" t="s">
        <v>900</v>
      </c>
      <c r="B275" s="33" t="s">
        <v>901</v>
      </c>
      <c r="C275" s="33" t="s">
        <v>73</v>
      </c>
      <c r="D275" s="33" t="s">
        <v>54</v>
      </c>
      <c r="E275" s="33" t="s">
        <v>74</v>
      </c>
      <c r="F275" s="33" t="s">
        <v>56</v>
      </c>
      <c r="G275" s="33" t="s">
        <v>57</v>
      </c>
      <c r="H275" s="33" t="s">
        <v>806</v>
      </c>
      <c r="I275" s="33" t="s">
        <v>902</v>
      </c>
      <c r="J275" s="33">
        <v>403</v>
      </c>
      <c r="K275" s="33">
        <v>1204</v>
      </c>
      <c r="L275" s="33">
        <v>796.4</v>
      </c>
      <c r="M275" s="33" t="s">
        <v>60</v>
      </c>
      <c r="N275" s="33">
        <v>339</v>
      </c>
      <c r="O275" s="33">
        <v>304</v>
      </c>
      <c r="P275" s="33" t="s">
        <v>28</v>
      </c>
      <c r="Q275" s="33">
        <v>0</v>
      </c>
    </row>
    <row r="276" spans="1:17">
      <c r="A276" s="37" t="s">
        <v>903</v>
      </c>
      <c r="B276" s="37" t="s">
        <v>904</v>
      </c>
      <c r="C276" s="37" t="s">
        <v>31</v>
      </c>
      <c r="D276" s="37" t="s">
        <v>64</v>
      </c>
      <c r="E276" s="37" t="s">
        <v>65</v>
      </c>
      <c r="F276" s="37" t="s">
        <v>156</v>
      </c>
      <c r="G276" s="37" t="s">
        <v>157</v>
      </c>
      <c r="H276" s="37" t="s">
        <v>103</v>
      </c>
      <c r="I276" s="37" t="s">
        <v>905</v>
      </c>
      <c r="J276" s="37">
        <v>452</v>
      </c>
      <c r="K276" s="37">
        <v>2917</v>
      </c>
      <c r="L276" s="37">
        <v>896.8</v>
      </c>
      <c r="M276" s="37" t="s">
        <v>44</v>
      </c>
      <c r="N276" s="37">
        <v>214</v>
      </c>
      <c r="O276" s="37"/>
      <c r="P276" s="37" t="s">
        <v>28</v>
      </c>
      <c r="Q276" s="37">
        <v>0</v>
      </c>
    </row>
    <row r="277" spans="1:17">
      <c r="A277" s="33" t="s">
        <v>906</v>
      </c>
      <c r="B277" s="33" t="s">
        <v>794</v>
      </c>
      <c r="C277" s="33" t="s">
        <v>94</v>
      </c>
      <c r="D277" s="33" t="s">
        <v>64</v>
      </c>
      <c r="E277" s="33" t="s">
        <v>65</v>
      </c>
      <c r="F277" s="33" t="s">
        <v>21</v>
      </c>
      <c r="G277" s="33" t="s">
        <v>22</v>
      </c>
      <c r="H277" s="33" t="s">
        <v>166</v>
      </c>
      <c r="I277" s="33" t="s">
        <v>907</v>
      </c>
      <c r="J277" s="33">
        <v>114</v>
      </c>
      <c r="K277" s="33">
        <v>1880</v>
      </c>
      <c r="L277" s="33">
        <v>570.80999999999995</v>
      </c>
      <c r="M277" s="33" t="s">
        <v>44</v>
      </c>
      <c r="N277" s="33">
        <v>348</v>
      </c>
      <c r="O277" s="33">
        <v>135</v>
      </c>
      <c r="P277" s="33" t="s">
        <v>70</v>
      </c>
      <c r="Q277" s="33">
        <v>141</v>
      </c>
    </row>
    <row r="278" spans="1:17">
      <c r="A278" s="37" t="s">
        <v>908</v>
      </c>
      <c r="B278" s="37" t="s">
        <v>909</v>
      </c>
      <c r="C278" s="37" t="s">
        <v>47</v>
      </c>
      <c r="D278" s="37" t="s">
        <v>32</v>
      </c>
      <c r="E278" s="37" t="s">
        <v>33</v>
      </c>
      <c r="F278" s="37" t="s">
        <v>66</v>
      </c>
      <c r="G278" s="37" t="s">
        <v>67</v>
      </c>
      <c r="H278" s="37" t="s">
        <v>406</v>
      </c>
      <c r="I278" s="37" t="s">
        <v>910</v>
      </c>
      <c r="J278" s="37">
        <v>385</v>
      </c>
      <c r="K278" s="37">
        <v>2966</v>
      </c>
      <c r="L278" s="37">
        <v>929.23</v>
      </c>
      <c r="M278" s="37" t="s">
        <v>60</v>
      </c>
      <c r="N278" s="37">
        <v>141</v>
      </c>
      <c r="O278" s="37">
        <v>107</v>
      </c>
      <c r="P278" s="37" t="s">
        <v>28</v>
      </c>
      <c r="Q278" s="37">
        <v>0</v>
      </c>
    </row>
    <row r="279" spans="1:17">
      <c r="A279" s="33" t="s">
        <v>911</v>
      </c>
      <c r="B279" s="33" t="s">
        <v>666</v>
      </c>
      <c r="C279" s="33" t="s">
        <v>192</v>
      </c>
      <c r="D279" s="33" t="s">
        <v>174</v>
      </c>
      <c r="E279" s="33" t="s">
        <v>175</v>
      </c>
      <c r="F279" s="33" t="s">
        <v>64</v>
      </c>
      <c r="G279" s="33" t="s">
        <v>65</v>
      </c>
      <c r="H279" s="33" t="s">
        <v>378</v>
      </c>
      <c r="I279" s="33" t="s">
        <v>912</v>
      </c>
      <c r="J279" s="33">
        <v>127</v>
      </c>
      <c r="K279" s="33">
        <v>1700</v>
      </c>
      <c r="L279" s="33">
        <v>270.52</v>
      </c>
      <c r="M279" s="33" t="s">
        <v>44</v>
      </c>
      <c r="N279" s="33">
        <v>141</v>
      </c>
      <c r="O279" s="33">
        <v>59</v>
      </c>
      <c r="P279" s="33" t="s">
        <v>28</v>
      </c>
      <c r="Q279" s="33">
        <v>0</v>
      </c>
    </row>
    <row r="280" spans="1:17">
      <c r="A280" s="37" t="s">
        <v>913</v>
      </c>
      <c r="B280" s="37" t="s">
        <v>914</v>
      </c>
      <c r="C280" s="37" t="s">
        <v>47</v>
      </c>
      <c r="D280" s="37" t="s">
        <v>48</v>
      </c>
      <c r="E280" s="37" t="s">
        <v>49</v>
      </c>
      <c r="F280" s="37" t="s">
        <v>79</v>
      </c>
      <c r="G280" s="37" t="s">
        <v>80</v>
      </c>
      <c r="H280" s="37" t="s">
        <v>545</v>
      </c>
      <c r="I280" s="37" t="s">
        <v>915</v>
      </c>
      <c r="J280" s="37">
        <v>310</v>
      </c>
      <c r="K280" s="37">
        <v>2977</v>
      </c>
      <c r="L280" s="37">
        <v>264.8</v>
      </c>
      <c r="M280" s="37" t="s">
        <v>44</v>
      </c>
      <c r="N280" s="37">
        <v>140</v>
      </c>
      <c r="O280" s="37">
        <v>56</v>
      </c>
      <c r="P280" s="37" t="s">
        <v>28</v>
      </c>
      <c r="Q280" s="37">
        <v>0</v>
      </c>
    </row>
    <row r="281" spans="1:17">
      <c r="A281" s="33" t="s">
        <v>916</v>
      </c>
      <c r="B281" s="33" t="s">
        <v>917</v>
      </c>
      <c r="C281" s="33" t="s">
        <v>31</v>
      </c>
      <c r="D281" s="33" t="s">
        <v>129</v>
      </c>
      <c r="E281" s="33" t="s">
        <v>130</v>
      </c>
      <c r="F281" s="33" t="s">
        <v>54</v>
      </c>
      <c r="G281" s="33" t="s">
        <v>74</v>
      </c>
      <c r="H281" s="33" t="s">
        <v>131</v>
      </c>
      <c r="I281" s="33" t="s">
        <v>918</v>
      </c>
      <c r="J281" s="33">
        <v>428</v>
      </c>
      <c r="K281" s="33">
        <v>1453</v>
      </c>
      <c r="L281" s="33">
        <v>413.09</v>
      </c>
      <c r="M281" s="33" t="s">
        <v>60</v>
      </c>
      <c r="N281" s="33">
        <v>112</v>
      </c>
      <c r="O281" s="33">
        <v>75</v>
      </c>
      <c r="P281" s="33" t="s">
        <v>28</v>
      </c>
      <c r="Q281" s="33">
        <v>0</v>
      </c>
    </row>
    <row r="282" spans="1:17">
      <c r="A282" s="37" t="s">
        <v>919</v>
      </c>
      <c r="B282" s="37" t="s">
        <v>744</v>
      </c>
      <c r="C282" s="37" t="s">
        <v>63</v>
      </c>
      <c r="D282" s="37" t="s">
        <v>56</v>
      </c>
      <c r="E282" s="37" t="s">
        <v>57</v>
      </c>
      <c r="F282" s="37" t="s">
        <v>66</v>
      </c>
      <c r="G282" s="37" t="s">
        <v>67</v>
      </c>
      <c r="H282" s="37" t="s">
        <v>158</v>
      </c>
      <c r="I282" s="37" t="s">
        <v>920</v>
      </c>
      <c r="J282" s="37">
        <v>134</v>
      </c>
      <c r="K282" s="37">
        <v>1506</v>
      </c>
      <c r="L282" s="37">
        <v>1002.76</v>
      </c>
      <c r="M282" s="37" t="s">
        <v>27</v>
      </c>
      <c r="N282" s="37">
        <v>253</v>
      </c>
      <c r="O282" s="37">
        <v>172</v>
      </c>
      <c r="P282" s="37" t="s">
        <v>28</v>
      </c>
      <c r="Q282" s="37">
        <v>0</v>
      </c>
    </row>
    <row r="283" spans="1:17">
      <c r="A283" s="33" t="s">
        <v>921</v>
      </c>
      <c r="B283" s="33" t="s">
        <v>922</v>
      </c>
      <c r="C283" s="33" t="s">
        <v>31</v>
      </c>
      <c r="D283" s="33" t="s">
        <v>38</v>
      </c>
      <c r="E283" s="33" t="s">
        <v>39</v>
      </c>
      <c r="F283" s="33" t="s">
        <v>156</v>
      </c>
      <c r="G283" s="33" t="s">
        <v>157</v>
      </c>
      <c r="H283" s="33" t="s">
        <v>170</v>
      </c>
      <c r="I283" s="33" t="s">
        <v>832</v>
      </c>
      <c r="J283" s="33">
        <v>149</v>
      </c>
      <c r="K283" s="33">
        <v>1563</v>
      </c>
      <c r="L283" s="33">
        <v>959.06</v>
      </c>
      <c r="M283" s="33" t="s">
        <v>44</v>
      </c>
      <c r="N283" s="33">
        <v>225</v>
      </c>
      <c r="O283" s="33">
        <v>219</v>
      </c>
      <c r="P283" s="33" t="s">
        <v>28</v>
      </c>
      <c r="Q283" s="33">
        <v>0</v>
      </c>
    </row>
    <row r="284" spans="1:17">
      <c r="A284" s="37" t="s">
        <v>923</v>
      </c>
      <c r="B284" s="37" t="s">
        <v>924</v>
      </c>
      <c r="C284" s="37" t="s">
        <v>63</v>
      </c>
      <c r="D284" s="37" t="s">
        <v>64</v>
      </c>
      <c r="E284" s="37" t="s">
        <v>65</v>
      </c>
      <c r="F284" s="37" t="s">
        <v>129</v>
      </c>
      <c r="G284" s="37" t="s">
        <v>130</v>
      </c>
      <c r="H284" s="37" t="s">
        <v>774</v>
      </c>
      <c r="I284" s="37" t="s">
        <v>925</v>
      </c>
      <c r="J284" s="37">
        <v>318</v>
      </c>
      <c r="K284" s="37">
        <v>482</v>
      </c>
      <c r="L284" s="37">
        <v>374.89</v>
      </c>
      <c r="M284" s="37" t="s">
        <v>44</v>
      </c>
      <c r="N284" s="37">
        <v>167</v>
      </c>
      <c r="O284" s="37">
        <v>78</v>
      </c>
      <c r="P284" s="37" t="s">
        <v>70</v>
      </c>
      <c r="Q284" s="37">
        <v>159</v>
      </c>
    </row>
    <row r="285" spans="1:17">
      <c r="A285" s="33" t="s">
        <v>926</v>
      </c>
      <c r="B285" s="33" t="s">
        <v>927</v>
      </c>
      <c r="C285" s="33" t="s">
        <v>63</v>
      </c>
      <c r="D285" s="33" t="s">
        <v>197</v>
      </c>
      <c r="E285" s="33" t="s">
        <v>198</v>
      </c>
      <c r="F285" s="33" t="s">
        <v>54</v>
      </c>
      <c r="G285" s="33" t="s">
        <v>55</v>
      </c>
      <c r="H285" s="33" t="s">
        <v>216</v>
      </c>
      <c r="I285" s="33" t="s">
        <v>928</v>
      </c>
      <c r="J285" s="33">
        <v>367</v>
      </c>
      <c r="K285" s="33">
        <v>1995</v>
      </c>
      <c r="L285" s="33">
        <v>1167.19</v>
      </c>
      <c r="M285" s="33" t="s">
        <v>27</v>
      </c>
      <c r="N285" s="33">
        <v>158</v>
      </c>
      <c r="O285" s="33">
        <v>120</v>
      </c>
      <c r="P285" s="33" t="s">
        <v>28</v>
      </c>
      <c r="Q285" s="33">
        <v>0</v>
      </c>
    </row>
    <row r="286" spans="1:17">
      <c r="A286" s="37" t="s">
        <v>929</v>
      </c>
      <c r="B286" s="37" t="s">
        <v>930</v>
      </c>
      <c r="C286" s="37" t="s">
        <v>73</v>
      </c>
      <c r="D286" s="37" t="s">
        <v>32</v>
      </c>
      <c r="E286" s="37" t="s">
        <v>33</v>
      </c>
      <c r="F286" s="37" t="s">
        <v>79</v>
      </c>
      <c r="G286" s="37" t="s">
        <v>80</v>
      </c>
      <c r="H286" s="37" t="s">
        <v>259</v>
      </c>
      <c r="I286" s="37" t="s">
        <v>931</v>
      </c>
      <c r="J286" s="37">
        <v>333</v>
      </c>
      <c r="K286" s="37">
        <v>1524</v>
      </c>
      <c r="L286" s="37">
        <v>168.43</v>
      </c>
      <c r="M286" s="37" t="s">
        <v>27</v>
      </c>
      <c r="N286" s="37">
        <v>108</v>
      </c>
      <c r="O286" s="37">
        <v>82</v>
      </c>
      <c r="P286" s="37" t="s">
        <v>28</v>
      </c>
      <c r="Q286" s="37">
        <v>0</v>
      </c>
    </row>
    <row r="287" spans="1:17">
      <c r="A287" s="33" t="s">
        <v>932</v>
      </c>
      <c r="B287" s="33" t="s">
        <v>933</v>
      </c>
      <c r="C287" s="33" t="s">
        <v>63</v>
      </c>
      <c r="D287" s="33" t="s">
        <v>197</v>
      </c>
      <c r="E287" s="33" t="s">
        <v>198</v>
      </c>
      <c r="F287" s="33" t="s">
        <v>79</v>
      </c>
      <c r="G287" s="33" t="s">
        <v>80</v>
      </c>
      <c r="H287" s="33" t="s">
        <v>303</v>
      </c>
      <c r="I287" s="33" t="s">
        <v>934</v>
      </c>
      <c r="J287" s="33">
        <v>198</v>
      </c>
      <c r="K287" s="33">
        <v>1089</v>
      </c>
      <c r="L287" s="33">
        <v>221.33</v>
      </c>
      <c r="M287" s="33" t="s">
        <v>44</v>
      </c>
      <c r="N287" s="33">
        <v>120</v>
      </c>
      <c r="O287" s="33">
        <v>105</v>
      </c>
      <c r="P287" s="33" t="s">
        <v>28</v>
      </c>
      <c r="Q287" s="33">
        <v>0</v>
      </c>
    </row>
    <row r="288" spans="1:17">
      <c r="A288" s="37" t="s">
        <v>935</v>
      </c>
      <c r="B288" s="37" t="s">
        <v>936</v>
      </c>
      <c r="C288" s="37" t="s">
        <v>192</v>
      </c>
      <c r="D288" s="37" t="s">
        <v>156</v>
      </c>
      <c r="E288" s="37" t="s">
        <v>157</v>
      </c>
      <c r="F288" s="37" t="s">
        <v>54</v>
      </c>
      <c r="G288" s="37" t="s">
        <v>55</v>
      </c>
      <c r="H288" s="37" t="s">
        <v>170</v>
      </c>
      <c r="I288" s="37" t="s">
        <v>937</v>
      </c>
      <c r="J288" s="37">
        <v>374</v>
      </c>
      <c r="K288" s="37">
        <v>1927</v>
      </c>
      <c r="L288" s="37">
        <v>698.3</v>
      </c>
      <c r="M288" s="37" t="s">
        <v>44</v>
      </c>
      <c r="N288" s="37">
        <v>233</v>
      </c>
      <c r="O288" s="37">
        <v>167</v>
      </c>
      <c r="P288" s="37" t="s">
        <v>70</v>
      </c>
      <c r="Q288" s="37">
        <v>18</v>
      </c>
    </row>
    <row r="289" spans="1:17">
      <c r="A289" s="33" t="s">
        <v>938</v>
      </c>
      <c r="B289" s="33" t="s">
        <v>299</v>
      </c>
      <c r="C289" s="33" t="s">
        <v>73</v>
      </c>
      <c r="D289" s="33" t="s">
        <v>197</v>
      </c>
      <c r="E289" s="33" t="s">
        <v>198</v>
      </c>
      <c r="F289" s="33" t="s">
        <v>40</v>
      </c>
      <c r="G289" s="33" t="s">
        <v>41</v>
      </c>
      <c r="H289" s="33" t="s">
        <v>939</v>
      </c>
      <c r="I289" s="33" t="s">
        <v>940</v>
      </c>
      <c r="J289" s="33">
        <v>380</v>
      </c>
      <c r="K289" s="33">
        <v>2708</v>
      </c>
      <c r="L289" s="33">
        <v>732.6</v>
      </c>
      <c r="M289" s="33" t="s">
        <v>60</v>
      </c>
      <c r="N289" s="33">
        <v>336</v>
      </c>
      <c r="O289" s="33">
        <v>104</v>
      </c>
      <c r="P289" s="33" t="s">
        <v>28</v>
      </c>
      <c r="Q289" s="33">
        <v>0</v>
      </c>
    </row>
    <row r="290" spans="1:17">
      <c r="A290" s="37" t="s">
        <v>941</v>
      </c>
      <c r="B290" s="37" t="s">
        <v>942</v>
      </c>
      <c r="C290" s="37" t="s">
        <v>192</v>
      </c>
      <c r="D290" s="37" t="s">
        <v>32</v>
      </c>
      <c r="E290" s="37" t="s">
        <v>33</v>
      </c>
      <c r="F290" s="37" t="s">
        <v>64</v>
      </c>
      <c r="G290" s="37" t="s">
        <v>65</v>
      </c>
      <c r="H290" s="37" t="s">
        <v>152</v>
      </c>
      <c r="I290" s="37" t="s">
        <v>470</v>
      </c>
      <c r="J290" s="37">
        <v>286</v>
      </c>
      <c r="K290" s="37">
        <v>2982</v>
      </c>
      <c r="L290" s="37">
        <v>623.85</v>
      </c>
      <c r="M290" s="37" t="s">
        <v>27</v>
      </c>
      <c r="N290" s="37">
        <v>221</v>
      </c>
      <c r="O290" s="37">
        <v>59</v>
      </c>
      <c r="P290" s="37" t="s">
        <v>28</v>
      </c>
      <c r="Q290" s="37">
        <v>0</v>
      </c>
    </row>
    <row r="291" spans="1:17">
      <c r="A291" s="33" t="s">
        <v>943</v>
      </c>
      <c r="B291" s="33" t="s">
        <v>944</v>
      </c>
      <c r="C291" s="33" t="s">
        <v>63</v>
      </c>
      <c r="D291" s="33" t="s">
        <v>48</v>
      </c>
      <c r="E291" s="33" t="s">
        <v>49</v>
      </c>
      <c r="F291" s="33" t="s">
        <v>66</v>
      </c>
      <c r="G291" s="33" t="s">
        <v>67</v>
      </c>
      <c r="H291" s="33" t="s">
        <v>50</v>
      </c>
      <c r="I291" s="33" t="s">
        <v>945</v>
      </c>
      <c r="J291" s="33">
        <v>259</v>
      </c>
      <c r="K291" s="33">
        <v>1273</v>
      </c>
      <c r="L291" s="33">
        <v>135.21</v>
      </c>
      <c r="M291" s="33" t="s">
        <v>44</v>
      </c>
      <c r="N291" s="33">
        <v>335</v>
      </c>
      <c r="O291" s="33">
        <v>187</v>
      </c>
      <c r="P291" s="33" t="s">
        <v>70</v>
      </c>
      <c r="Q291" s="33">
        <v>20</v>
      </c>
    </row>
    <row r="292" spans="1:17">
      <c r="A292" s="37" t="s">
        <v>946</v>
      </c>
      <c r="B292" s="37" t="s">
        <v>693</v>
      </c>
      <c r="C292" s="37" t="s">
        <v>192</v>
      </c>
      <c r="D292" s="37" t="s">
        <v>95</v>
      </c>
      <c r="E292" s="37" t="s">
        <v>96</v>
      </c>
      <c r="F292" s="37" t="s">
        <v>21</v>
      </c>
      <c r="G292" s="37" t="s">
        <v>22</v>
      </c>
      <c r="H292" s="37" t="s">
        <v>240</v>
      </c>
      <c r="I292" s="37" t="s">
        <v>947</v>
      </c>
      <c r="J292" s="37">
        <v>206</v>
      </c>
      <c r="K292" s="37">
        <v>850</v>
      </c>
      <c r="L292" s="37">
        <v>416.54</v>
      </c>
      <c r="M292" s="37" t="s">
        <v>27</v>
      </c>
      <c r="N292" s="37">
        <v>213</v>
      </c>
      <c r="O292" s="37">
        <v>132</v>
      </c>
      <c r="P292" s="37" t="s">
        <v>28</v>
      </c>
      <c r="Q292" s="37">
        <v>0</v>
      </c>
    </row>
    <row r="293" spans="1:17">
      <c r="A293" s="33" t="s">
        <v>948</v>
      </c>
      <c r="B293" s="33" t="s">
        <v>949</v>
      </c>
      <c r="C293" s="33" t="s">
        <v>94</v>
      </c>
      <c r="D293" s="33" t="s">
        <v>183</v>
      </c>
      <c r="E293" s="33" t="s">
        <v>184</v>
      </c>
      <c r="F293" s="33" t="s">
        <v>79</v>
      </c>
      <c r="G293" s="33" t="s">
        <v>80</v>
      </c>
      <c r="H293" s="33" t="s">
        <v>139</v>
      </c>
      <c r="I293" s="33" t="s">
        <v>950</v>
      </c>
      <c r="J293" s="33">
        <v>469</v>
      </c>
      <c r="K293" s="33">
        <v>2284</v>
      </c>
      <c r="L293" s="33">
        <v>930.63</v>
      </c>
      <c r="M293" s="33" t="s">
        <v>44</v>
      </c>
      <c r="N293" s="33">
        <v>310</v>
      </c>
      <c r="O293" s="33">
        <v>78</v>
      </c>
      <c r="P293" s="33" t="s">
        <v>28</v>
      </c>
      <c r="Q293" s="33">
        <v>0</v>
      </c>
    </row>
    <row r="294" spans="1:17">
      <c r="A294" s="37" t="s">
        <v>951</v>
      </c>
      <c r="B294" s="37" t="s">
        <v>952</v>
      </c>
      <c r="C294" s="37" t="s">
        <v>94</v>
      </c>
      <c r="D294" s="37" t="s">
        <v>95</v>
      </c>
      <c r="E294" s="37" t="s">
        <v>96</v>
      </c>
      <c r="F294" s="37" t="s">
        <v>32</v>
      </c>
      <c r="G294" s="37" t="s">
        <v>33</v>
      </c>
      <c r="H294" s="37" t="s">
        <v>279</v>
      </c>
      <c r="I294" s="37" t="s">
        <v>953</v>
      </c>
      <c r="J294" s="37">
        <v>358</v>
      </c>
      <c r="K294" s="37">
        <v>2629</v>
      </c>
      <c r="L294" s="37">
        <v>112.42</v>
      </c>
      <c r="M294" s="37" t="s">
        <v>60</v>
      </c>
      <c r="N294" s="37">
        <v>324</v>
      </c>
      <c r="O294" s="37">
        <v>152</v>
      </c>
      <c r="P294" s="37" t="s">
        <v>70</v>
      </c>
      <c r="Q294" s="37">
        <v>78</v>
      </c>
    </row>
    <row r="295" spans="1:17">
      <c r="A295" s="33" t="s">
        <v>954</v>
      </c>
      <c r="B295" s="33" t="s">
        <v>955</v>
      </c>
      <c r="C295" s="33" t="s">
        <v>115</v>
      </c>
      <c r="D295" s="33" t="s">
        <v>56</v>
      </c>
      <c r="E295" s="33" t="s">
        <v>57</v>
      </c>
      <c r="F295" s="33" t="s">
        <v>66</v>
      </c>
      <c r="G295" s="33" t="s">
        <v>67</v>
      </c>
      <c r="H295" s="33" t="s">
        <v>600</v>
      </c>
      <c r="I295" s="33" t="s">
        <v>956</v>
      </c>
      <c r="J295" s="33">
        <v>230</v>
      </c>
      <c r="K295" s="33">
        <v>1808</v>
      </c>
      <c r="L295" s="33">
        <v>1002.33</v>
      </c>
      <c r="M295" s="33" t="s">
        <v>27</v>
      </c>
      <c r="N295" s="33">
        <v>201</v>
      </c>
      <c r="O295" s="33">
        <v>81</v>
      </c>
      <c r="P295" s="33" t="s">
        <v>70</v>
      </c>
      <c r="Q295" s="33">
        <v>76</v>
      </c>
    </row>
    <row r="296" spans="1:17">
      <c r="A296" s="37" t="s">
        <v>957</v>
      </c>
      <c r="B296" s="37" t="s">
        <v>858</v>
      </c>
      <c r="C296" s="37" t="s">
        <v>115</v>
      </c>
      <c r="D296" s="37" t="s">
        <v>48</v>
      </c>
      <c r="E296" s="37" t="s">
        <v>49</v>
      </c>
      <c r="F296" s="37" t="s">
        <v>40</v>
      </c>
      <c r="G296" s="37" t="s">
        <v>41</v>
      </c>
      <c r="H296" s="37" t="s">
        <v>97</v>
      </c>
      <c r="I296" s="37" t="s">
        <v>279</v>
      </c>
      <c r="J296" s="37">
        <v>390</v>
      </c>
      <c r="K296" s="37">
        <v>2558</v>
      </c>
      <c r="L296" s="37">
        <v>471.73</v>
      </c>
      <c r="M296" s="37" t="s">
        <v>60</v>
      </c>
      <c r="N296" s="37">
        <v>314</v>
      </c>
      <c r="O296" s="37">
        <v>182</v>
      </c>
      <c r="P296" s="37" t="s">
        <v>70</v>
      </c>
      <c r="Q296" s="37">
        <v>38</v>
      </c>
    </row>
    <row r="297" spans="1:17">
      <c r="A297" s="33" t="s">
        <v>958</v>
      </c>
      <c r="B297" s="33" t="s">
        <v>959</v>
      </c>
      <c r="C297" s="33" t="s">
        <v>20</v>
      </c>
      <c r="D297" s="33" t="s">
        <v>66</v>
      </c>
      <c r="E297" s="33" t="s">
        <v>67</v>
      </c>
      <c r="F297" s="33" t="s">
        <v>56</v>
      </c>
      <c r="G297" s="33" t="s">
        <v>57</v>
      </c>
      <c r="H297" s="33" t="s">
        <v>303</v>
      </c>
      <c r="I297" s="33" t="s">
        <v>960</v>
      </c>
      <c r="J297" s="33">
        <v>203</v>
      </c>
      <c r="K297" s="33">
        <v>2951</v>
      </c>
      <c r="L297" s="33">
        <v>332.13</v>
      </c>
      <c r="M297" s="33" t="s">
        <v>60</v>
      </c>
      <c r="N297" s="33">
        <v>168</v>
      </c>
      <c r="O297" s="33">
        <v>133</v>
      </c>
      <c r="P297" s="33" t="s">
        <v>28</v>
      </c>
      <c r="Q297" s="33">
        <v>0</v>
      </c>
    </row>
    <row r="298" spans="1:17">
      <c r="A298" s="37" t="s">
        <v>961</v>
      </c>
      <c r="B298" s="37" t="s">
        <v>512</v>
      </c>
      <c r="C298" s="37" t="s">
        <v>20</v>
      </c>
      <c r="D298" s="37" t="s">
        <v>79</v>
      </c>
      <c r="E298" s="37" t="s">
        <v>80</v>
      </c>
      <c r="F298" s="37" t="s">
        <v>101</v>
      </c>
      <c r="G298" s="37" t="s">
        <v>102</v>
      </c>
      <c r="H298" s="37" t="s">
        <v>223</v>
      </c>
      <c r="I298" s="37" t="s">
        <v>962</v>
      </c>
      <c r="J298" s="37">
        <v>397</v>
      </c>
      <c r="K298" s="37">
        <v>334</v>
      </c>
      <c r="L298" s="37">
        <v>330.62</v>
      </c>
      <c r="M298" s="37" t="s">
        <v>27</v>
      </c>
      <c r="N298" s="37">
        <v>306</v>
      </c>
      <c r="O298" s="37">
        <v>206</v>
      </c>
      <c r="P298" s="37" t="s">
        <v>70</v>
      </c>
      <c r="Q298" s="37">
        <v>179</v>
      </c>
    </row>
    <row r="299" spans="1:17">
      <c r="A299" s="33" t="s">
        <v>963</v>
      </c>
      <c r="B299" s="33" t="s">
        <v>670</v>
      </c>
      <c r="C299" s="33" t="s">
        <v>73</v>
      </c>
      <c r="D299" s="33" t="s">
        <v>66</v>
      </c>
      <c r="E299" s="33" t="s">
        <v>67</v>
      </c>
      <c r="F299" s="33" t="s">
        <v>64</v>
      </c>
      <c r="G299" s="33" t="s">
        <v>65</v>
      </c>
      <c r="H299" s="33" t="s">
        <v>361</v>
      </c>
      <c r="I299" s="33" t="s">
        <v>964</v>
      </c>
      <c r="J299" s="33">
        <v>201</v>
      </c>
      <c r="K299" s="33">
        <v>2211</v>
      </c>
      <c r="L299" s="33">
        <v>418.4</v>
      </c>
      <c r="M299" s="33" t="s">
        <v>27</v>
      </c>
      <c r="N299" s="33">
        <v>311</v>
      </c>
      <c r="O299" s="33">
        <v>253</v>
      </c>
      <c r="P299" s="33" t="s">
        <v>28</v>
      </c>
      <c r="Q299" s="33"/>
    </row>
    <row r="300" spans="1:17">
      <c r="A300" s="37" t="s">
        <v>965</v>
      </c>
      <c r="B300" s="37" t="s">
        <v>966</v>
      </c>
      <c r="C300" s="37" t="s">
        <v>47</v>
      </c>
      <c r="D300" s="37" t="s">
        <v>32</v>
      </c>
      <c r="E300" s="37" t="s">
        <v>33</v>
      </c>
      <c r="F300" s="37" t="s">
        <v>95</v>
      </c>
      <c r="G300" s="37" t="s">
        <v>96</v>
      </c>
      <c r="H300" s="37" t="s">
        <v>296</v>
      </c>
      <c r="I300" s="37" t="s">
        <v>967</v>
      </c>
      <c r="J300" s="37">
        <v>336</v>
      </c>
      <c r="K300" s="37">
        <v>561</v>
      </c>
      <c r="L300" s="37">
        <v>456.64</v>
      </c>
      <c r="M300" s="37" t="s">
        <v>44</v>
      </c>
      <c r="N300" s="37">
        <v>263</v>
      </c>
      <c r="O300" s="37">
        <v>133</v>
      </c>
      <c r="P300" s="37" t="s">
        <v>70</v>
      </c>
      <c r="Q300" s="37">
        <v>81</v>
      </c>
    </row>
    <row r="301" spans="1:17">
      <c r="A301" s="33" t="s">
        <v>968</v>
      </c>
      <c r="B301" s="33" t="s">
        <v>969</v>
      </c>
      <c r="C301" s="33" t="s">
        <v>31</v>
      </c>
      <c r="D301" s="33" t="s">
        <v>101</v>
      </c>
      <c r="E301" s="33" t="s">
        <v>102</v>
      </c>
      <c r="F301" s="33" t="s">
        <v>32</v>
      </c>
      <c r="G301" s="33" t="s">
        <v>33</v>
      </c>
      <c r="H301" s="33" t="s">
        <v>426</v>
      </c>
      <c r="I301" s="33" t="s">
        <v>970</v>
      </c>
      <c r="J301" s="33">
        <v>397</v>
      </c>
      <c r="K301" s="33">
        <v>1955</v>
      </c>
      <c r="L301" s="33">
        <v>819.79</v>
      </c>
      <c r="M301" s="33"/>
      <c r="N301" s="33">
        <v>135</v>
      </c>
      <c r="O301" s="33">
        <v>53</v>
      </c>
      <c r="P301" s="33" t="s">
        <v>70</v>
      </c>
      <c r="Q301" s="33">
        <v>90</v>
      </c>
    </row>
    <row r="302" spans="1:17">
      <c r="A302" s="37" t="s">
        <v>971</v>
      </c>
      <c r="B302" s="37" t="s">
        <v>972</v>
      </c>
      <c r="C302" s="37" t="s">
        <v>73</v>
      </c>
      <c r="D302" s="37" t="s">
        <v>66</v>
      </c>
      <c r="E302" s="37" t="s">
        <v>67</v>
      </c>
      <c r="F302" s="37" t="s">
        <v>129</v>
      </c>
      <c r="G302" s="37" t="s">
        <v>130</v>
      </c>
      <c r="H302" s="37" t="s">
        <v>663</v>
      </c>
      <c r="I302" s="37" t="s">
        <v>973</v>
      </c>
      <c r="J302" s="37">
        <v>388</v>
      </c>
      <c r="K302" s="37">
        <v>2643</v>
      </c>
      <c r="L302" s="37">
        <v>993.94</v>
      </c>
      <c r="M302" s="37" t="s">
        <v>44</v>
      </c>
      <c r="N302" s="37">
        <v>285</v>
      </c>
      <c r="O302" s="37">
        <v>232</v>
      </c>
      <c r="P302" s="37" t="s">
        <v>28</v>
      </c>
      <c r="Q302" s="37">
        <v>0</v>
      </c>
    </row>
    <row r="303" spans="1:17">
      <c r="A303" s="33" t="s">
        <v>974</v>
      </c>
      <c r="B303" s="33" t="s">
        <v>975</v>
      </c>
      <c r="C303" s="33" t="s">
        <v>115</v>
      </c>
      <c r="D303" s="33" t="s">
        <v>64</v>
      </c>
      <c r="E303" s="33" t="s">
        <v>65</v>
      </c>
      <c r="F303" s="33" t="s">
        <v>32</v>
      </c>
      <c r="G303" s="33" t="s">
        <v>33</v>
      </c>
      <c r="H303" s="33" t="s">
        <v>143</v>
      </c>
      <c r="I303" s="33" t="s">
        <v>280</v>
      </c>
      <c r="J303" s="33">
        <v>426</v>
      </c>
      <c r="K303" s="33">
        <v>2586</v>
      </c>
      <c r="L303" s="33">
        <v>282.87</v>
      </c>
      <c r="M303" s="33" t="s">
        <v>60</v>
      </c>
      <c r="N303" s="33">
        <v>220</v>
      </c>
      <c r="O303" s="33">
        <v>82</v>
      </c>
      <c r="P303" s="33" t="s">
        <v>70</v>
      </c>
      <c r="Q303" s="33">
        <v>158</v>
      </c>
    </row>
    <row r="304" spans="1:17">
      <c r="A304" s="37" t="s">
        <v>976</v>
      </c>
      <c r="B304" s="37" t="s">
        <v>977</v>
      </c>
      <c r="C304" s="37" t="s">
        <v>47</v>
      </c>
      <c r="D304" s="37" t="s">
        <v>54</v>
      </c>
      <c r="E304" s="37" t="s">
        <v>55</v>
      </c>
      <c r="F304" s="37" t="s">
        <v>21</v>
      </c>
      <c r="G304" s="37" t="s">
        <v>22</v>
      </c>
      <c r="H304" s="37" t="s">
        <v>774</v>
      </c>
      <c r="I304" s="37" t="s">
        <v>978</v>
      </c>
      <c r="J304" s="37">
        <v>471</v>
      </c>
      <c r="K304" s="37">
        <v>1557</v>
      </c>
      <c r="L304" s="37">
        <v>550.92999999999995</v>
      </c>
      <c r="M304" s="37" t="s">
        <v>44</v>
      </c>
      <c r="N304" s="37">
        <v>195</v>
      </c>
      <c r="O304" s="37">
        <v>116</v>
      </c>
      <c r="P304" s="37" t="s">
        <v>28</v>
      </c>
      <c r="Q304" s="37">
        <v>0</v>
      </c>
    </row>
    <row r="305" spans="1:17">
      <c r="A305" s="33" t="s">
        <v>979</v>
      </c>
      <c r="B305" s="33" t="s">
        <v>980</v>
      </c>
      <c r="C305" s="33" t="s">
        <v>94</v>
      </c>
      <c r="D305" s="33" t="s">
        <v>79</v>
      </c>
      <c r="E305" s="33" t="s">
        <v>80</v>
      </c>
      <c r="F305" s="33" t="s">
        <v>56</v>
      </c>
      <c r="G305" s="33" t="s">
        <v>57</v>
      </c>
      <c r="H305" s="33" t="s">
        <v>499</v>
      </c>
      <c r="I305" s="33" t="s">
        <v>981</v>
      </c>
      <c r="J305" s="33">
        <v>331</v>
      </c>
      <c r="K305" s="33">
        <v>1096</v>
      </c>
      <c r="L305" s="33">
        <v>640.53</v>
      </c>
      <c r="M305" s="33" t="s">
        <v>27</v>
      </c>
      <c r="N305" s="33">
        <v>197</v>
      </c>
      <c r="O305" s="33">
        <v>185</v>
      </c>
      <c r="P305" s="33" t="s">
        <v>28</v>
      </c>
      <c r="Q305" s="33">
        <v>0</v>
      </c>
    </row>
    <row r="306" spans="1:17">
      <c r="A306" s="37" t="s">
        <v>982</v>
      </c>
      <c r="B306" s="37" t="s">
        <v>128</v>
      </c>
      <c r="C306" s="37" t="s">
        <v>63</v>
      </c>
      <c r="D306" s="37" t="s">
        <v>101</v>
      </c>
      <c r="E306" s="37" t="s">
        <v>102</v>
      </c>
      <c r="F306" s="37" t="s">
        <v>23</v>
      </c>
      <c r="G306" s="37" t="s">
        <v>24</v>
      </c>
      <c r="H306" s="37" t="s">
        <v>248</v>
      </c>
      <c r="I306" s="37" t="s">
        <v>775</v>
      </c>
      <c r="J306" s="37">
        <v>381</v>
      </c>
      <c r="K306" s="37">
        <v>2174</v>
      </c>
      <c r="L306" s="37">
        <v>240.41</v>
      </c>
      <c r="M306" s="37" t="s">
        <v>27</v>
      </c>
      <c r="N306" s="37">
        <v>146</v>
      </c>
      <c r="O306" s="37">
        <v>60</v>
      </c>
      <c r="P306" s="37" t="s">
        <v>573</v>
      </c>
      <c r="Q306" s="37">
        <v>0</v>
      </c>
    </row>
    <row r="307" spans="1:17">
      <c r="A307" s="33" t="s">
        <v>983</v>
      </c>
      <c r="B307" s="33" t="s">
        <v>984</v>
      </c>
      <c r="C307" s="33" t="s">
        <v>47</v>
      </c>
      <c r="D307" s="33" t="s">
        <v>56</v>
      </c>
      <c r="E307" s="33" t="s">
        <v>57</v>
      </c>
      <c r="F307" s="33" t="s">
        <v>174</v>
      </c>
      <c r="G307" s="33" t="s">
        <v>175</v>
      </c>
      <c r="H307" s="33" t="s">
        <v>361</v>
      </c>
      <c r="I307" s="33" t="s">
        <v>349</v>
      </c>
      <c r="J307" s="33">
        <v>197</v>
      </c>
      <c r="K307" s="33">
        <v>990</v>
      </c>
      <c r="L307" s="33">
        <v>725.43</v>
      </c>
      <c r="M307" s="33" t="s">
        <v>60</v>
      </c>
      <c r="N307" s="33">
        <v>225</v>
      </c>
      <c r="O307" s="33">
        <v>72</v>
      </c>
      <c r="P307" s="33" t="s">
        <v>28</v>
      </c>
      <c r="Q307" s="33">
        <v>0</v>
      </c>
    </row>
    <row r="308" spans="1:17">
      <c r="A308" s="37" t="s">
        <v>985</v>
      </c>
      <c r="B308" s="37" t="s">
        <v>711</v>
      </c>
      <c r="C308" s="37" t="s">
        <v>73</v>
      </c>
      <c r="D308" s="37" t="s">
        <v>66</v>
      </c>
      <c r="E308" s="37" t="s">
        <v>67</v>
      </c>
      <c r="F308" s="37" t="s">
        <v>40</v>
      </c>
      <c r="G308" s="37" t="s">
        <v>41</v>
      </c>
      <c r="H308" s="37" t="s">
        <v>389</v>
      </c>
      <c r="I308" s="37" t="s">
        <v>986</v>
      </c>
      <c r="J308" s="37">
        <v>92</v>
      </c>
      <c r="K308" s="37">
        <v>454</v>
      </c>
      <c r="L308" s="37">
        <v>677.84</v>
      </c>
      <c r="M308" s="37" t="s">
        <v>27</v>
      </c>
      <c r="N308" s="37">
        <v>195</v>
      </c>
      <c r="O308" s="37">
        <v>53</v>
      </c>
      <c r="P308" s="37" t="s">
        <v>70</v>
      </c>
      <c r="Q308" s="37">
        <v>150</v>
      </c>
    </row>
    <row r="309" spans="1:17">
      <c r="A309" s="33" t="s">
        <v>987</v>
      </c>
      <c r="B309" s="33" t="s">
        <v>988</v>
      </c>
      <c r="C309" s="33" t="s">
        <v>20</v>
      </c>
      <c r="D309" s="33" t="s">
        <v>174</v>
      </c>
      <c r="E309" s="33" t="s">
        <v>175</v>
      </c>
      <c r="F309" s="33" t="s">
        <v>21</v>
      </c>
      <c r="G309" s="33" t="s">
        <v>22</v>
      </c>
      <c r="H309" s="33" t="s">
        <v>75</v>
      </c>
      <c r="I309" s="33" t="s">
        <v>989</v>
      </c>
      <c r="J309" s="33">
        <v>249</v>
      </c>
      <c r="K309" s="33">
        <v>828</v>
      </c>
      <c r="L309" s="33">
        <v>195.03</v>
      </c>
      <c r="M309" s="33" t="s">
        <v>27</v>
      </c>
      <c r="N309" s="33">
        <v>250</v>
      </c>
      <c r="O309" s="33">
        <v>128</v>
      </c>
      <c r="P309" s="33" t="s">
        <v>28</v>
      </c>
      <c r="Q309" s="33"/>
    </row>
    <row r="310" spans="1:17">
      <c r="A310" s="37" t="s">
        <v>990</v>
      </c>
      <c r="B310" s="37" t="s">
        <v>991</v>
      </c>
      <c r="C310" s="37" t="s">
        <v>192</v>
      </c>
      <c r="D310" s="37" t="s">
        <v>95</v>
      </c>
      <c r="E310" s="37" t="s">
        <v>96</v>
      </c>
      <c r="F310" s="37" t="s">
        <v>79</v>
      </c>
      <c r="G310" s="37" t="s">
        <v>80</v>
      </c>
      <c r="H310" s="37" t="s">
        <v>131</v>
      </c>
      <c r="I310" s="37" t="s">
        <v>992</v>
      </c>
      <c r="J310" s="37">
        <v>312</v>
      </c>
      <c r="K310" s="37">
        <v>848</v>
      </c>
      <c r="L310" s="37">
        <v>463.86</v>
      </c>
      <c r="M310" s="37" t="s">
        <v>44</v>
      </c>
      <c r="N310" s="37">
        <v>191</v>
      </c>
      <c r="O310" s="37">
        <v>98</v>
      </c>
      <c r="P310" s="37" t="s">
        <v>28</v>
      </c>
      <c r="Q310" s="37">
        <v>0</v>
      </c>
    </row>
    <row r="311" spans="1:17">
      <c r="A311" s="33" t="s">
        <v>993</v>
      </c>
      <c r="B311" s="33" t="s">
        <v>994</v>
      </c>
      <c r="C311" s="33" t="s">
        <v>20</v>
      </c>
      <c r="D311" s="33" t="s">
        <v>23</v>
      </c>
      <c r="E311" s="33" t="s">
        <v>24</v>
      </c>
      <c r="F311" s="33" t="s">
        <v>21</v>
      </c>
      <c r="G311" s="33" t="s">
        <v>22</v>
      </c>
      <c r="H311" s="33" t="s">
        <v>338</v>
      </c>
      <c r="I311" s="33" t="s">
        <v>995</v>
      </c>
      <c r="J311" s="33">
        <v>198</v>
      </c>
      <c r="K311" s="33">
        <v>389</v>
      </c>
      <c r="L311" s="33">
        <v>740.46</v>
      </c>
      <c r="M311" s="33"/>
      <c r="N311" s="33">
        <v>131</v>
      </c>
      <c r="O311" s="33">
        <v>96</v>
      </c>
      <c r="P311" s="33" t="s">
        <v>70</v>
      </c>
      <c r="Q311" s="33">
        <v>24</v>
      </c>
    </row>
    <row r="312" spans="1:17">
      <c r="A312" s="37" t="s">
        <v>996</v>
      </c>
      <c r="B312" s="37" t="s">
        <v>258</v>
      </c>
      <c r="C312" s="37" t="s">
        <v>192</v>
      </c>
      <c r="D312" s="37" t="s">
        <v>32</v>
      </c>
      <c r="E312" s="37" t="s">
        <v>33</v>
      </c>
      <c r="F312" s="37" t="s">
        <v>56</v>
      </c>
      <c r="G312" s="37" t="s">
        <v>57</v>
      </c>
      <c r="H312" s="37" t="s">
        <v>34</v>
      </c>
      <c r="I312" s="37" t="s">
        <v>997</v>
      </c>
      <c r="J312" s="37">
        <v>428</v>
      </c>
      <c r="K312" s="37">
        <v>742</v>
      </c>
      <c r="L312" s="37">
        <v>812</v>
      </c>
      <c r="M312" s="37" t="s">
        <v>60</v>
      </c>
      <c r="N312" s="37">
        <v>112</v>
      </c>
      <c r="O312" s="37">
        <v>94</v>
      </c>
      <c r="P312" s="37" t="s">
        <v>28</v>
      </c>
      <c r="Q312" s="37">
        <v>0</v>
      </c>
    </row>
    <row r="313" spans="1:17">
      <c r="A313" s="33" t="s">
        <v>998</v>
      </c>
      <c r="B313" s="33" t="s">
        <v>999</v>
      </c>
      <c r="C313" s="33" t="s">
        <v>73</v>
      </c>
      <c r="D313" s="33" t="s">
        <v>197</v>
      </c>
      <c r="E313" s="33" t="s">
        <v>198</v>
      </c>
      <c r="F313" s="33" t="s">
        <v>54</v>
      </c>
      <c r="G313" s="33" t="s">
        <v>74</v>
      </c>
      <c r="H313" s="33" t="s">
        <v>140</v>
      </c>
      <c r="I313" s="33" t="s">
        <v>1000</v>
      </c>
      <c r="J313" s="33">
        <v>449</v>
      </c>
      <c r="K313" s="33">
        <v>927</v>
      </c>
      <c r="L313" s="33">
        <v>310.14999999999998</v>
      </c>
      <c r="M313" s="33" t="s">
        <v>27</v>
      </c>
      <c r="N313" s="33">
        <v>261</v>
      </c>
      <c r="O313" s="33">
        <v>52</v>
      </c>
      <c r="P313" s="33" t="s">
        <v>28</v>
      </c>
      <c r="Q313" s="33">
        <v>0</v>
      </c>
    </row>
    <row r="314" spans="1:17">
      <c r="A314" s="37" t="s">
        <v>1001</v>
      </c>
      <c r="B314" s="37" t="s">
        <v>942</v>
      </c>
      <c r="C314" s="37" t="s">
        <v>192</v>
      </c>
      <c r="D314" s="37" t="s">
        <v>48</v>
      </c>
      <c r="E314" s="37" t="s">
        <v>49</v>
      </c>
      <c r="F314" s="37" t="s">
        <v>101</v>
      </c>
      <c r="G314" s="37" t="s">
        <v>102</v>
      </c>
      <c r="H314" s="37" t="s">
        <v>185</v>
      </c>
      <c r="I314" s="37" t="s">
        <v>347</v>
      </c>
      <c r="J314" s="37">
        <v>351</v>
      </c>
      <c r="K314" s="37">
        <v>2830</v>
      </c>
      <c r="L314" s="37">
        <v>211.86</v>
      </c>
      <c r="M314" s="37" t="s">
        <v>60</v>
      </c>
      <c r="N314" s="37">
        <v>300</v>
      </c>
      <c r="O314" s="37">
        <v>77</v>
      </c>
      <c r="P314" s="37" t="s">
        <v>28</v>
      </c>
      <c r="Q314" s="37">
        <v>0</v>
      </c>
    </row>
    <row r="315" spans="1:17">
      <c r="A315" s="33" t="s">
        <v>1002</v>
      </c>
      <c r="B315" s="33" t="s">
        <v>1003</v>
      </c>
      <c r="C315" s="33" t="s">
        <v>192</v>
      </c>
      <c r="D315" s="33" t="s">
        <v>116</v>
      </c>
      <c r="E315" s="33" t="s">
        <v>117</v>
      </c>
      <c r="F315" s="33" t="s">
        <v>183</v>
      </c>
      <c r="G315" s="33" t="s">
        <v>184</v>
      </c>
      <c r="H315" s="33" t="s">
        <v>193</v>
      </c>
      <c r="I315" s="33" t="s">
        <v>1004</v>
      </c>
      <c r="J315" s="33">
        <v>241</v>
      </c>
      <c r="K315" s="33">
        <v>956</v>
      </c>
      <c r="L315" s="33">
        <v>124.13</v>
      </c>
      <c r="M315" s="33" t="s">
        <v>44</v>
      </c>
      <c r="N315" s="33">
        <v>333</v>
      </c>
      <c r="O315" s="33">
        <v>156</v>
      </c>
      <c r="P315" s="33" t="s">
        <v>70</v>
      </c>
      <c r="Q315" s="33"/>
    </row>
    <row r="316" spans="1:17">
      <c r="A316" s="37" t="s">
        <v>1005</v>
      </c>
      <c r="B316" s="37" t="s">
        <v>282</v>
      </c>
      <c r="C316" s="37" t="s">
        <v>31</v>
      </c>
      <c r="D316" s="37" t="s">
        <v>174</v>
      </c>
      <c r="E316" s="37" t="s">
        <v>175</v>
      </c>
      <c r="F316" s="37" t="s">
        <v>56</v>
      </c>
      <c r="G316" s="37" t="s">
        <v>57</v>
      </c>
      <c r="H316" s="37" t="s">
        <v>266</v>
      </c>
      <c r="I316" s="37" t="s">
        <v>1006</v>
      </c>
      <c r="J316" s="37">
        <v>146</v>
      </c>
      <c r="K316" s="37">
        <v>2651</v>
      </c>
      <c r="L316" s="37">
        <v>829.3</v>
      </c>
      <c r="M316" s="37" t="s">
        <v>60</v>
      </c>
      <c r="N316" s="37">
        <v>343</v>
      </c>
      <c r="O316" s="37">
        <v>96</v>
      </c>
      <c r="P316" s="37" t="s">
        <v>70</v>
      </c>
      <c r="Q316" s="37">
        <v>34</v>
      </c>
    </row>
    <row r="317" spans="1:17">
      <c r="A317" s="33" t="s">
        <v>1007</v>
      </c>
      <c r="B317" s="33" t="s">
        <v>1008</v>
      </c>
      <c r="C317" s="33" t="s">
        <v>192</v>
      </c>
      <c r="D317" s="33" t="s">
        <v>23</v>
      </c>
      <c r="E317" s="33" t="s">
        <v>24</v>
      </c>
      <c r="F317" s="33" t="s">
        <v>79</v>
      </c>
      <c r="G317" s="33" t="s">
        <v>80</v>
      </c>
      <c r="H317" s="33" t="s">
        <v>283</v>
      </c>
      <c r="I317" s="33" t="s">
        <v>1009</v>
      </c>
      <c r="J317" s="33">
        <v>327</v>
      </c>
      <c r="K317" s="33">
        <v>505</v>
      </c>
      <c r="L317" s="33">
        <v>191.79</v>
      </c>
      <c r="M317" s="33"/>
      <c r="N317" s="33">
        <v>323</v>
      </c>
      <c r="O317" s="33">
        <v>70</v>
      </c>
      <c r="P317" s="33" t="s">
        <v>70</v>
      </c>
      <c r="Q317" s="33">
        <v>107</v>
      </c>
    </row>
    <row r="318" spans="1:17">
      <c r="A318" s="37" t="s">
        <v>1010</v>
      </c>
      <c r="B318" s="37" t="s">
        <v>1011</v>
      </c>
      <c r="C318" s="37" t="s">
        <v>73</v>
      </c>
      <c r="D318" s="37" t="s">
        <v>197</v>
      </c>
      <c r="E318" s="37" t="s">
        <v>198</v>
      </c>
      <c r="F318" s="37" t="s">
        <v>101</v>
      </c>
      <c r="G318" s="37" t="s">
        <v>102</v>
      </c>
      <c r="H318" s="37" t="s">
        <v>802</v>
      </c>
      <c r="I318" s="37" t="s">
        <v>1012</v>
      </c>
      <c r="J318" s="37">
        <v>160</v>
      </c>
      <c r="K318" s="37">
        <v>2950</v>
      </c>
      <c r="L318" s="37">
        <v>0.5</v>
      </c>
      <c r="M318" s="37" t="s">
        <v>44</v>
      </c>
      <c r="N318" s="37">
        <v>328</v>
      </c>
      <c r="O318" s="37">
        <v>274</v>
      </c>
      <c r="P318" s="37" t="s">
        <v>149</v>
      </c>
      <c r="Q318" s="37">
        <v>0</v>
      </c>
    </row>
    <row r="319" spans="1:17">
      <c r="A319" s="33" t="s">
        <v>1013</v>
      </c>
      <c r="B319" s="33" t="s">
        <v>1014</v>
      </c>
      <c r="C319" s="33" t="s">
        <v>94</v>
      </c>
      <c r="D319" s="33" t="s">
        <v>64</v>
      </c>
      <c r="E319" s="33" t="s">
        <v>65</v>
      </c>
      <c r="F319" s="33" t="s">
        <v>156</v>
      </c>
      <c r="G319" s="33" t="s">
        <v>157</v>
      </c>
      <c r="H319" s="33" t="s">
        <v>103</v>
      </c>
      <c r="I319" s="33" t="s">
        <v>1015</v>
      </c>
      <c r="J319" s="33">
        <v>295</v>
      </c>
      <c r="K319" s="33">
        <v>1939</v>
      </c>
      <c r="L319" s="33"/>
      <c r="M319" s="33" t="s">
        <v>44</v>
      </c>
      <c r="N319" s="33">
        <v>313</v>
      </c>
      <c r="O319" s="33">
        <v>247</v>
      </c>
      <c r="P319" s="33" t="s">
        <v>70</v>
      </c>
      <c r="Q319" s="33">
        <v>137</v>
      </c>
    </row>
    <row r="320" spans="1:17">
      <c r="A320" s="37" t="s">
        <v>1016</v>
      </c>
      <c r="B320" s="37" t="s">
        <v>1017</v>
      </c>
      <c r="C320" s="37" t="s">
        <v>63</v>
      </c>
      <c r="D320" s="37" t="s">
        <v>197</v>
      </c>
      <c r="E320" s="37" t="s">
        <v>198</v>
      </c>
      <c r="F320" s="37" t="s">
        <v>38</v>
      </c>
      <c r="G320" s="37" t="s">
        <v>39</v>
      </c>
      <c r="H320" s="37" t="s">
        <v>545</v>
      </c>
      <c r="I320" s="37" t="s">
        <v>1018</v>
      </c>
      <c r="J320" s="37">
        <v>171</v>
      </c>
      <c r="K320" s="37">
        <v>724</v>
      </c>
      <c r="L320" s="37">
        <v>545.95000000000005</v>
      </c>
      <c r="M320" s="37" t="s">
        <v>27</v>
      </c>
      <c r="N320" s="37">
        <v>223</v>
      </c>
      <c r="O320" s="37">
        <v>195</v>
      </c>
      <c r="P320" s="37" t="s">
        <v>70</v>
      </c>
      <c r="Q320" s="37">
        <v>61</v>
      </c>
    </row>
    <row r="321" spans="1:17">
      <c r="A321" s="33" t="s">
        <v>1019</v>
      </c>
      <c r="B321" s="33" t="s">
        <v>1020</v>
      </c>
      <c r="C321" s="33" t="s">
        <v>47</v>
      </c>
      <c r="D321" s="33" t="s">
        <v>48</v>
      </c>
      <c r="E321" s="33" t="s">
        <v>49</v>
      </c>
      <c r="F321" s="33" t="s">
        <v>174</v>
      </c>
      <c r="G321" s="33" t="s">
        <v>175</v>
      </c>
      <c r="H321" s="33" t="s">
        <v>58</v>
      </c>
      <c r="I321" s="33" t="s">
        <v>962</v>
      </c>
      <c r="J321" s="33">
        <v>337</v>
      </c>
      <c r="K321" s="33">
        <v>2299</v>
      </c>
      <c r="L321" s="33">
        <v>206.49</v>
      </c>
      <c r="M321" s="33" t="s">
        <v>44</v>
      </c>
      <c r="N321" s="33">
        <v>212</v>
      </c>
      <c r="O321" s="33">
        <v>61</v>
      </c>
      <c r="P321" s="33" t="s">
        <v>28</v>
      </c>
      <c r="Q321" s="33">
        <v>0</v>
      </c>
    </row>
    <row r="322" spans="1:17">
      <c r="A322" s="37" t="s">
        <v>1021</v>
      </c>
      <c r="B322" s="37" t="s">
        <v>1022</v>
      </c>
      <c r="C322" s="37" t="s">
        <v>20</v>
      </c>
      <c r="D322" s="37" t="s">
        <v>116</v>
      </c>
      <c r="E322" s="37" t="s">
        <v>117</v>
      </c>
      <c r="F322" s="37" t="s">
        <v>48</v>
      </c>
      <c r="G322" s="37" t="s">
        <v>49</v>
      </c>
      <c r="H322" s="37" t="s">
        <v>338</v>
      </c>
      <c r="I322" s="37" t="s">
        <v>1023</v>
      </c>
      <c r="J322" s="37">
        <v>432</v>
      </c>
      <c r="K322" s="37">
        <v>1685</v>
      </c>
      <c r="L322" s="37">
        <v>661.39</v>
      </c>
      <c r="M322" s="37" t="s">
        <v>27</v>
      </c>
      <c r="N322" s="37">
        <v>279</v>
      </c>
      <c r="O322" s="37">
        <v>208</v>
      </c>
      <c r="P322" s="37" t="s">
        <v>28</v>
      </c>
      <c r="Q322" s="37"/>
    </row>
    <row r="323" spans="1:17">
      <c r="A323" s="33" t="s">
        <v>1024</v>
      </c>
      <c r="B323" s="33" t="s">
        <v>1025</v>
      </c>
      <c r="C323" s="33" t="s">
        <v>115</v>
      </c>
      <c r="D323" s="33" t="s">
        <v>64</v>
      </c>
      <c r="E323" s="33" t="s">
        <v>65</v>
      </c>
      <c r="F323" s="33" t="s">
        <v>129</v>
      </c>
      <c r="G323" s="33" t="s">
        <v>130</v>
      </c>
      <c r="H323" s="33" t="s">
        <v>403</v>
      </c>
      <c r="I323" s="33" t="s">
        <v>1026</v>
      </c>
      <c r="J323" s="33">
        <v>95</v>
      </c>
      <c r="K323" s="33">
        <v>2935</v>
      </c>
      <c r="L323" s="33">
        <v>1126.5</v>
      </c>
      <c r="M323" s="33" t="s">
        <v>27</v>
      </c>
      <c r="N323" s="33">
        <v>317</v>
      </c>
      <c r="O323" s="33">
        <v>290</v>
      </c>
      <c r="P323" s="33" t="s">
        <v>70</v>
      </c>
      <c r="Q323" s="33">
        <v>57</v>
      </c>
    </row>
    <row r="324" spans="1:17">
      <c r="A324" s="37" t="s">
        <v>1027</v>
      </c>
      <c r="B324" s="37" t="s">
        <v>1028</v>
      </c>
      <c r="C324" s="37" t="s">
        <v>115</v>
      </c>
      <c r="D324" s="37" t="s">
        <v>156</v>
      </c>
      <c r="E324" s="37" t="s">
        <v>157</v>
      </c>
      <c r="F324" s="37" t="s">
        <v>23</v>
      </c>
      <c r="G324" s="37" t="s">
        <v>24</v>
      </c>
      <c r="H324" s="37" t="s">
        <v>42</v>
      </c>
      <c r="I324" s="37" t="s">
        <v>1029</v>
      </c>
      <c r="J324" s="37">
        <v>115</v>
      </c>
      <c r="K324" s="37">
        <v>2376</v>
      </c>
      <c r="L324" s="37">
        <v>329.43</v>
      </c>
      <c r="M324" s="37" t="s">
        <v>27</v>
      </c>
      <c r="N324" s="37">
        <v>196</v>
      </c>
      <c r="O324" s="37">
        <v>153</v>
      </c>
      <c r="P324" s="37" t="s">
        <v>70</v>
      </c>
      <c r="Q324" s="37">
        <v>35</v>
      </c>
    </row>
    <row r="325" spans="1:17">
      <c r="A325" s="33" t="s">
        <v>1030</v>
      </c>
      <c r="B325" s="33" t="s">
        <v>1031</v>
      </c>
      <c r="C325" s="33" t="s">
        <v>115</v>
      </c>
      <c r="D325" s="33" t="s">
        <v>54</v>
      </c>
      <c r="E325" s="33" t="s">
        <v>74</v>
      </c>
      <c r="F325" s="33" t="s">
        <v>40</v>
      </c>
      <c r="G325" s="33" t="s">
        <v>41</v>
      </c>
      <c r="H325" s="33" t="s">
        <v>170</v>
      </c>
      <c r="I325" s="33" t="s">
        <v>1032</v>
      </c>
      <c r="J325" s="33">
        <v>318</v>
      </c>
      <c r="K325" s="33">
        <v>1594</v>
      </c>
      <c r="L325" s="33">
        <v>212.95</v>
      </c>
      <c r="M325" s="33" t="s">
        <v>44</v>
      </c>
      <c r="N325" s="33">
        <v>290</v>
      </c>
      <c r="O325" s="33">
        <v>217</v>
      </c>
      <c r="P325" s="33" t="s">
        <v>573</v>
      </c>
      <c r="Q325" s="33">
        <v>0</v>
      </c>
    </row>
    <row r="326" spans="1:17">
      <c r="A326" s="37" t="s">
        <v>1033</v>
      </c>
      <c r="B326" s="37" t="s">
        <v>994</v>
      </c>
      <c r="C326" s="37" t="s">
        <v>73</v>
      </c>
      <c r="D326" s="37" t="s">
        <v>56</v>
      </c>
      <c r="E326" s="37" t="s">
        <v>57</v>
      </c>
      <c r="F326" s="37" t="s">
        <v>54</v>
      </c>
      <c r="G326" s="37" t="s">
        <v>74</v>
      </c>
      <c r="H326" s="37" t="s">
        <v>571</v>
      </c>
      <c r="I326" s="37" t="s">
        <v>1034</v>
      </c>
      <c r="J326" s="37">
        <v>136</v>
      </c>
      <c r="K326" s="37">
        <v>2774</v>
      </c>
      <c r="L326" s="37">
        <v>1158.75</v>
      </c>
      <c r="M326" s="37" t="s">
        <v>27</v>
      </c>
      <c r="N326" s="37">
        <v>177</v>
      </c>
      <c r="O326" s="37">
        <v>102</v>
      </c>
      <c r="P326" s="37" t="s">
        <v>70</v>
      </c>
      <c r="Q326" s="37">
        <v>131</v>
      </c>
    </row>
    <row r="327" spans="1:17">
      <c r="A327" s="33" t="s">
        <v>1035</v>
      </c>
      <c r="B327" s="33" t="s">
        <v>1036</v>
      </c>
      <c r="C327" s="33" t="s">
        <v>47</v>
      </c>
      <c r="D327" s="33" t="s">
        <v>56</v>
      </c>
      <c r="E327" s="33" t="s">
        <v>57</v>
      </c>
      <c r="F327" s="33" t="s">
        <v>21</v>
      </c>
      <c r="G327" s="33" t="s">
        <v>22</v>
      </c>
      <c r="H327" s="33" t="s">
        <v>361</v>
      </c>
      <c r="I327" s="33" t="s">
        <v>1037</v>
      </c>
      <c r="J327" s="33">
        <v>376</v>
      </c>
      <c r="K327" s="33">
        <v>2838</v>
      </c>
      <c r="L327" s="33">
        <v>751.95</v>
      </c>
      <c r="M327" s="33"/>
      <c r="N327" s="33">
        <v>268</v>
      </c>
      <c r="O327" s="33">
        <v>143</v>
      </c>
      <c r="P327" s="33" t="s">
        <v>70</v>
      </c>
      <c r="Q327" s="33">
        <v>44</v>
      </c>
    </row>
    <row r="328" spans="1:17">
      <c r="A328" s="37" t="s">
        <v>1038</v>
      </c>
      <c r="B328" s="37" t="s">
        <v>1039</v>
      </c>
      <c r="C328" s="37" t="s">
        <v>31</v>
      </c>
      <c r="D328" s="37" t="s">
        <v>174</v>
      </c>
      <c r="E328" s="37" t="s">
        <v>175</v>
      </c>
      <c r="F328" s="37" t="s">
        <v>64</v>
      </c>
      <c r="G328" s="37" t="s">
        <v>65</v>
      </c>
      <c r="H328" s="37" t="s">
        <v>162</v>
      </c>
      <c r="I328" s="37" t="s">
        <v>1040</v>
      </c>
      <c r="J328" s="37">
        <v>370</v>
      </c>
      <c r="K328" s="37">
        <v>2438</v>
      </c>
      <c r="L328" s="37">
        <v>498.76</v>
      </c>
      <c r="M328" s="37" t="s">
        <v>60</v>
      </c>
      <c r="N328" s="37">
        <v>111</v>
      </c>
      <c r="O328" s="37">
        <v>107</v>
      </c>
      <c r="P328" s="37" t="s">
        <v>28</v>
      </c>
      <c r="Q328" s="37">
        <v>0</v>
      </c>
    </row>
    <row r="329" spans="1:17">
      <c r="A329" s="33" t="s">
        <v>1041</v>
      </c>
      <c r="B329" s="33" t="s">
        <v>1042</v>
      </c>
      <c r="C329" s="33" t="s">
        <v>73</v>
      </c>
      <c r="D329" s="33" t="s">
        <v>197</v>
      </c>
      <c r="E329" s="33" t="s">
        <v>198</v>
      </c>
      <c r="F329" s="33" t="s">
        <v>95</v>
      </c>
      <c r="G329" s="33" t="s">
        <v>96</v>
      </c>
      <c r="H329" s="33" t="s">
        <v>494</v>
      </c>
      <c r="I329" s="33" t="s">
        <v>1043</v>
      </c>
      <c r="J329" s="33">
        <v>186</v>
      </c>
      <c r="K329" s="33">
        <v>794</v>
      </c>
      <c r="L329" s="33">
        <v>0.5</v>
      </c>
      <c r="M329" s="33" t="s">
        <v>44</v>
      </c>
      <c r="N329" s="33">
        <v>155</v>
      </c>
      <c r="O329" s="33">
        <v>108</v>
      </c>
      <c r="P329" s="33" t="s">
        <v>70</v>
      </c>
      <c r="Q329" s="33">
        <v>63</v>
      </c>
    </row>
    <row r="330" spans="1:17">
      <c r="A330" s="37" t="s">
        <v>1044</v>
      </c>
      <c r="B330" s="37" t="s">
        <v>1045</v>
      </c>
      <c r="C330" s="37" t="s">
        <v>94</v>
      </c>
      <c r="D330" s="37" t="s">
        <v>129</v>
      </c>
      <c r="E330" s="37" t="s">
        <v>130</v>
      </c>
      <c r="F330" s="37" t="s">
        <v>56</v>
      </c>
      <c r="G330" s="37" t="s">
        <v>57</v>
      </c>
      <c r="H330" s="37" t="s">
        <v>499</v>
      </c>
      <c r="I330" s="37" t="s">
        <v>339</v>
      </c>
      <c r="J330" s="37">
        <v>320</v>
      </c>
      <c r="K330" s="37">
        <v>2173</v>
      </c>
      <c r="L330" s="37">
        <v>817.47</v>
      </c>
      <c r="M330" s="37" t="s">
        <v>27</v>
      </c>
      <c r="N330" s="37">
        <v>134</v>
      </c>
      <c r="O330" s="37">
        <v>113</v>
      </c>
      <c r="P330" s="37" t="s">
        <v>28</v>
      </c>
      <c r="Q330" s="37">
        <v>0</v>
      </c>
    </row>
    <row r="331" spans="1:17">
      <c r="A331" s="33" t="s">
        <v>1046</v>
      </c>
      <c r="B331" s="33" t="s">
        <v>1047</v>
      </c>
      <c r="C331" s="33" t="s">
        <v>73</v>
      </c>
      <c r="D331" s="33" t="s">
        <v>54</v>
      </c>
      <c r="E331" s="33" t="s">
        <v>74</v>
      </c>
      <c r="F331" s="33" t="s">
        <v>79</v>
      </c>
      <c r="G331" s="33" t="s">
        <v>80</v>
      </c>
      <c r="H331" s="33" t="s">
        <v>469</v>
      </c>
      <c r="I331" s="33" t="s">
        <v>1048</v>
      </c>
      <c r="J331" s="33">
        <v>444</v>
      </c>
      <c r="K331" s="33">
        <v>2669</v>
      </c>
      <c r="L331" s="33">
        <v>274.49</v>
      </c>
      <c r="M331" s="33" t="s">
        <v>60</v>
      </c>
      <c r="N331" s="33">
        <v>126</v>
      </c>
      <c r="O331" s="33">
        <v>99</v>
      </c>
      <c r="P331" s="33" t="s">
        <v>70</v>
      </c>
      <c r="Q331" s="33">
        <v>170</v>
      </c>
    </row>
    <row r="332" spans="1:17">
      <c r="A332" s="37" t="s">
        <v>1049</v>
      </c>
      <c r="B332" s="37" t="s">
        <v>212</v>
      </c>
      <c r="C332" s="37" t="s">
        <v>73</v>
      </c>
      <c r="D332" s="37" t="s">
        <v>129</v>
      </c>
      <c r="E332" s="37" t="s">
        <v>130</v>
      </c>
      <c r="F332" s="37" t="s">
        <v>23</v>
      </c>
      <c r="G332" s="37" t="s">
        <v>24</v>
      </c>
      <c r="H332" s="37" t="s">
        <v>140</v>
      </c>
      <c r="I332" s="37" t="s">
        <v>1050</v>
      </c>
      <c r="J332" s="37">
        <v>265</v>
      </c>
      <c r="K332" s="37">
        <v>1504</v>
      </c>
      <c r="L332" s="37">
        <v>587.19000000000005</v>
      </c>
      <c r="M332" s="37" t="s">
        <v>60</v>
      </c>
      <c r="N332" s="37">
        <v>135</v>
      </c>
      <c r="O332" s="37">
        <v>102</v>
      </c>
      <c r="P332" s="37" t="s">
        <v>28</v>
      </c>
      <c r="Q332" s="37">
        <v>0</v>
      </c>
    </row>
    <row r="333" spans="1:17">
      <c r="A333" s="33" t="s">
        <v>1051</v>
      </c>
      <c r="B333" s="33" t="s">
        <v>1052</v>
      </c>
      <c r="C333" s="33" t="s">
        <v>192</v>
      </c>
      <c r="D333" s="33" t="s">
        <v>32</v>
      </c>
      <c r="E333" s="33" t="s">
        <v>33</v>
      </c>
      <c r="F333" s="33" t="s">
        <v>156</v>
      </c>
      <c r="G333" s="33" t="s">
        <v>157</v>
      </c>
      <c r="H333" s="33" t="s">
        <v>600</v>
      </c>
      <c r="I333" s="33" t="s">
        <v>1053</v>
      </c>
      <c r="J333" s="33">
        <v>192</v>
      </c>
      <c r="K333" s="33">
        <v>1158</v>
      </c>
      <c r="L333" s="33">
        <v>779.07</v>
      </c>
      <c r="M333" s="33" t="s">
        <v>44</v>
      </c>
      <c r="N333" s="33">
        <v>275</v>
      </c>
      <c r="O333" s="33">
        <v>138</v>
      </c>
      <c r="P333" s="33" t="s">
        <v>70</v>
      </c>
      <c r="Q333" s="33">
        <v>48</v>
      </c>
    </row>
    <row r="334" spans="1:17">
      <c r="A334" s="37" t="s">
        <v>1054</v>
      </c>
      <c r="B334" s="37" t="s">
        <v>1055</v>
      </c>
      <c r="C334" s="37" t="s">
        <v>47</v>
      </c>
      <c r="D334" s="37" t="s">
        <v>197</v>
      </c>
      <c r="E334" s="37" t="s">
        <v>198</v>
      </c>
      <c r="F334" s="37" t="s">
        <v>66</v>
      </c>
      <c r="G334" s="37" t="s">
        <v>67</v>
      </c>
      <c r="H334" s="37" t="s">
        <v>476</v>
      </c>
      <c r="I334" s="37" t="s">
        <v>1056</v>
      </c>
      <c r="J334" s="37">
        <v>388</v>
      </c>
      <c r="K334" s="37">
        <v>2637</v>
      </c>
      <c r="L334" s="37">
        <v>0.5</v>
      </c>
      <c r="M334" s="37" t="s">
        <v>27</v>
      </c>
      <c r="N334" s="37">
        <v>206</v>
      </c>
      <c r="O334" s="37">
        <v>186</v>
      </c>
      <c r="P334" s="37" t="s">
        <v>28</v>
      </c>
      <c r="Q334" s="37">
        <v>0</v>
      </c>
    </row>
    <row r="335" spans="1:17">
      <c r="A335" s="33" t="s">
        <v>1057</v>
      </c>
      <c r="B335" s="33" t="s">
        <v>1058</v>
      </c>
      <c r="C335" s="33" t="s">
        <v>20</v>
      </c>
      <c r="D335" s="33" t="s">
        <v>116</v>
      </c>
      <c r="E335" s="33" t="s">
        <v>117</v>
      </c>
      <c r="F335" s="33" t="s">
        <v>197</v>
      </c>
      <c r="G335" s="33" t="s">
        <v>198</v>
      </c>
      <c r="H335" s="33" t="s">
        <v>158</v>
      </c>
      <c r="I335" s="33" t="s">
        <v>1059</v>
      </c>
      <c r="J335" s="33">
        <v>164</v>
      </c>
      <c r="K335" s="33">
        <v>517</v>
      </c>
      <c r="L335" s="33">
        <v>830.68</v>
      </c>
      <c r="M335" s="33" t="s">
        <v>60</v>
      </c>
      <c r="N335" s="33">
        <v>168</v>
      </c>
      <c r="O335" s="33">
        <v>146</v>
      </c>
      <c r="P335" s="33" t="s">
        <v>70</v>
      </c>
      <c r="Q335" s="33">
        <v>88</v>
      </c>
    </row>
    <row r="336" spans="1:17">
      <c r="A336" s="37" t="s">
        <v>1060</v>
      </c>
      <c r="B336" s="37" t="s">
        <v>559</v>
      </c>
      <c r="C336" s="37" t="s">
        <v>63</v>
      </c>
      <c r="D336" s="37" t="s">
        <v>56</v>
      </c>
      <c r="E336" s="37" t="s">
        <v>57</v>
      </c>
      <c r="F336" s="37" t="s">
        <v>156</v>
      </c>
      <c r="G336" s="37" t="s">
        <v>157</v>
      </c>
      <c r="H336" s="37" t="s">
        <v>231</v>
      </c>
      <c r="I336" s="37" t="s">
        <v>1061</v>
      </c>
      <c r="J336" s="37">
        <v>273</v>
      </c>
      <c r="K336" s="37">
        <v>2153</v>
      </c>
      <c r="L336" s="37">
        <v>194.78</v>
      </c>
      <c r="M336" s="37" t="s">
        <v>27</v>
      </c>
      <c r="N336" s="37">
        <v>289</v>
      </c>
      <c r="O336" s="37">
        <v>193</v>
      </c>
      <c r="P336" s="37" t="s">
        <v>70</v>
      </c>
      <c r="Q336" s="37">
        <v>180</v>
      </c>
    </row>
    <row r="337" spans="1:17">
      <c r="A337" s="33" t="s">
        <v>1062</v>
      </c>
      <c r="B337" s="33" t="s">
        <v>1063</v>
      </c>
      <c r="C337" s="33" t="s">
        <v>1064</v>
      </c>
      <c r="D337" s="33" t="s">
        <v>116</v>
      </c>
      <c r="E337" s="33" t="s">
        <v>117</v>
      </c>
      <c r="F337" s="33" t="s">
        <v>95</v>
      </c>
      <c r="G337" s="33" t="s">
        <v>96</v>
      </c>
      <c r="H337" s="33" t="s">
        <v>545</v>
      </c>
      <c r="I337" s="33" t="s">
        <v>170</v>
      </c>
      <c r="J337" s="33">
        <v>285</v>
      </c>
      <c r="K337" s="33">
        <v>1887</v>
      </c>
      <c r="L337" s="33">
        <v>546.54999999999995</v>
      </c>
      <c r="M337" s="33" t="s">
        <v>27</v>
      </c>
      <c r="N337" s="33">
        <v>180</v>
      </c>
      <c r="O337" s="33">
        <v>63</v>
      </c>
      <c r="P337" s="33" t="s">
        <v>28</v>
      </c>
      <c r="Q337" s="33">
        <v>0</v>
      </c>
    </row>
    <row r="338" spans="1:17">
      <c r="A338" s="37" t="s">
        <v>1065</v>
      </c>
      <c r="B338" s="37" t="s">
        <v>1066</v>
      </c>
      <c r="C338" s="37" t="s">
        <v>1064</v>
      </c>
      <c r="D338" s="37" t="s">
        <v>48</v>
      </c>
      <c r="E338" s="37" t="s">
        <v>49</v>
      </c>
      <c r="F338" s="37" t="s">
        <v>40</v>
      </c>
      <c r="G338" s="37" t="s">
        <v>41</v>
      </c>
      <c r="H338" s="37" t="s">
        <v>75</v>
      </c>
      <c r="I338" s="37" t="s">
        <v>1067</v>
      </c>
      <c r="J338" s="37">
        <v>476</v>
      </c>
      <c r="K338" s="37">
        <v>2710</v>
      </c>
      <c r="L338" s="37">
        <v>692.21</v>
      </c>
      <c r="M338" s="37" t="s">
        <v>27</v>
      </c>
      <c r="N338" s="37">
        <v>150</v>
      </c>
      <c r="O338" s="37">
        <v>149</v>
      </c>
      <c r="P338" s="37" t="s">
        <v>70</v>
      </c>
      <c r="Q338" s="37">
        <v>64</v>
      </c>
    </row>
    <row r="339" spans="1:17">
      <c r="A339" s="33" t="s">
        <v>1068</v>
      </c>
      <c r="B339" s="33" t="s">
        <v>1069</v>
      </c>
      <c r="C339" s="33" t="s">
        <v>115</v>
      </c>
      <c r="D339" s="33" t="s">
        <v>38</v>
      </c>
      <c r="E339" s="33" t="s">
        <v>39</v>
      </c>
      <c r="F339" s="33" t="s">
        <v>54</v>
      </c>
      <c r="G339" s="33" t="s">
        <v>55</v>
      </c>
      <c r="H339" s="33" t="s">
        <v>303</v>
      </c>
      <c r="I339" s="33" t="s">
        <v>1070</v>
      </c>
      <c r="J339" s="33">
        <v>466</v>
      </c>
      <c r="K339" s="33">
        <v>2404</v>
      </c>
      <c r="L339" s="33">
        <v>213.68</v>
      </c>
      <c r="M339" s="33" t="s">
        <v>60</v>
      </c>
      <c r="N339" s="33">
        <v>209</v>
      </c>
      <c r="O339" s="33">
        <v>121</v>
      </c>
      <c r="P339" s="33" t="s">
        <v>28</v>
      </c>
      <c r="Q339" s="33">
        <v>0</v>
      </c>
    </row>
    <row r="340" spans="1:17">
      <c r="A340" s="37" t="s">
        <v>1071</v>
      </c>
      <c r="B340" s="37" t="s">
        <v>1072</v>
      </c>
      <c r="C340" s="37" t="s">
        <v>63</v>
      </c>
      <c r="D340" s="37" t="s">
        <v>54</v>
      </c>
      <c r="E340" s="37" t="s">
        <v>74</v>
      </c>
      <c r="F340" s="37" t="s">
        <v>21</v>
      </c>
      <c r="G340" s="37" t="s">
        <v>22</v>
      </c>
      <c r="H340" s="37" t="s">
        <v>382</v>
      </c>
      <c r="I340" s="37" t="s">
        <v>314</v>
      </c>
      <c r="J340" s="37">
        <v>328</v>
      </c>
      <c r="K340" s="37">
        <v>934</v>
      </c>
      <c r="L340" s="37">
        <v>124.73</v>
      </c>
      <c r="M340" s="37" t="s">
        <v>44</v>
      </c>
      <c r="N340" s="37">
        <v>252</v>
      </c>
      <c r="O340" s="37">
        <v>63</v>
      </c>
      <c r="P340" s="37" t="s">
        <v>70</v>
      </c>
      <c r="Q340" s="37">
        <v>175</v>
      </c>
    </row>
    <row r="341" spans="1:17">
      <c r="A341" s="33" t="s">
        <v>1073</v>
      </c>
      <c r="B341" s="33" t="s">
        <v>1074</v>
      </c>
      <c r="C341" s="33" t="s">
        <v>115</v>
      </c>
      <c r="D341" s="33" t="s">
        <v>54</v>
      </c>
      <c r="E341" s="33" t="s">
        <v>74</v>
      </c>
      <c r="F341" s="33" t="s">
        <v>32</v>
      </c>
      <c r="G341" s="33" t="s">
        <v>33</v>
      </c>
      <c r="H341" s="33" t="s">
        <v>1075</v>
      </c>
      <c r="I341" s="33" t="s">
        <v>1076</v>
      </c>
      <c r="J341" s="33">
        <v>452</v>
      </c>
      <c r="K341" s="33">
        <v>1601</v>
      </c>
      <c r="L341" s="33">
        <v>668.44</v>
      </c>
      <c r="M341" s="33" t="s">
        <v>60</v>
      </c>
      <c r="N341" s="33">
        <v>233</v>
      </c>
      <c r="O341" s="33">
        <v>67</v>
      </c>
      <c r="P341" s="33" t="s">
        <v>70</v>
      </c>
      <c r="Q341" s="33">
        <v>55</v>
      </c>
    </row>
    <row r="342" spans="1:17">
      <c r="A342" s="37" t="s">
        <v>1077</v>
      </c>
      <c r="B342" s="37" t="s">
        <v>1078</v>
      </c>
      <c r="C342" s="37" t="s">
        <v>73</v>
      </c>
      <c r="D342" s="37" t="s">
        <v>54</v>
      </c>
      <c r="E342" s="37" t="s">
        <v>55</v>
      </c>
      <c r="F342" s="37" t="s">
        <v>66</v>
      </c>
      <c r="G342" s="37" t="s">
        <v>67</v>
      </c>
      <c r="H342" s="37" t="s">
        <v>25</v>
      </c>
      <c r="I342" s="37" t="s">
        <v>1079</v>
      </c>
      <c r="J342" s="37">
        <v>429</v>
      </c>
      <c r="K342" s="37">
        <v>1659</v>
      </c>
      <c r="L342" s="37">
        <v>450.79</v>
      </c>
      <c r="M342" s="37" t="s">
        <v>44</v>
      </c>
      <c r="N342" s="37">
        <v>155</v>
      </c>
      <c r="O342" s="37">
        <v>146</v>
      </c>
      <c r="P342" s="37" t="s">
        <v>28</v>
      </c>
      <c r="Q342" s="37">
        <v>0</v>
      </c>
    </row>
    <row r="343" spans="1:17">
      <c r="A343" s="33" t="s">
        <v>1080</v>
      </c>
      <c r="B343" s="33" t="s">
        <v>1081</v>
      </c>
      <c r="C343" s="33" t="s">
        <v>20</v>
      </c>
      <c r="D343" s="33" t="s">
        <v>197</v>
      </c>
      <c r="E343" s="33" t="s">
        <v>198</v>
      </c>
      <c r="F343" s="33" t="s">
        <v>66</v>
      </c>
      <c r="G343" s="33" t="s">
        <v>67</v>
      </c>
      <c r="H343" s="33" t="s">
        <v>473</v>
      </c>
      <c r="I343" s="33" t="s">
        <v>572</v>
      </c>
      <c r="J343" s="33">
        <v>418</v>
      </c>
      <c r="K343" s="33">
        <v>2813</v>
      </c>
      <c r="L343" s="33">
        <v>1108.8399999999999</v>
      </c>
      <c r="M343" s="33" t="s">
        <v>60</v>
      </c>
      <c r="N343" s="33">
        <v>345</v>
      </c>
      <c r="O343" s="33">
        <v>70</v>
      </c>
      <c r="P343" s="33" t="s">
        <v>70</v>
      </c>
      <c r="Q343" s="33">
        <v>97</v>
      </c>
    </row>
    <row r="344" spans="1:17">
      <c r="A344" s="37" t="s">
        <v>1082</v>
      </c>
      <c r="B344" s="37" t="s">
        <v>1083</v>
      </c>
      <c r="C344" s="37" t="s">
        <v>94</v>
      </c>
      <c r="D344" s="37" t="s">
        <v>66</v>
      </c>
      <c r="E344" s="37" t="s">
        <v>67</v>
      </c>
      <c r="F344" s="37" t="s">
        <v>21</v>
      </c>
      <c r="G344" s="37" t="s">
        <v>22</v>
      </c>
      <c r="H344" s="37" t="s">
        <v>528</v>
      </c>
      <c r="I344" s="37" t="s">
        <v>466</v>
      </c>
      <c r="J344" s="37">
        <v>102</v>
      </c>
      <c r="K344" s="37">
        <v>2417</v>
      </c>
      <c r="L344" s="37">
        <v>1000.76</v>
      </c>
      <c r="M344" s="37" t="s">
        <v>44</v>
      </c>
      <c r="N344" s="37">
        <v>231</v>
      </c>
      <c r="O344" s="37">
        <v>180</v>
      </c>
      <c r="P344" s="37" t="s">
        <v>28</v>
      </c>
      <c r="Q344" s="37">
        <v>0</v>
      </c>
    </row>
    <row r="345" spans="1:17">
      <c r="A345" s="33" t="s">
        <v>1084</v>
      </c>
      <c r="B345" s="33" t="s">
        <v>1085</v>
      </c>
      <c r="C345" s="33" t="s">
        <v>192</v>
      </c>
      <c r="D345" s="33" t="s">
        <v>183</v>
      </c>
      <c r="E345" s="33" t="s">
        <v>184</v>
      </c>
      <c r="F345" s="33" t="s">
        <v>64</v>
      </c>
      <c r="G345" s="33" t="s">
        <v>65</v>
      </c>
      <c r="H345" s="33" t="s">
        <v>712</v>
      </c>
      <c r="I345" s="33" t="s">
        <v>1086</v>
      </c>
      <c r="J345" s="33">
        <v>139</v>
      </c>
      <c r="K345" s="33">
        <v>985</v>
      </c>
      <c r="L345" s="33">
        <v>1168.22</v>
      </c>
      <c r="M345" s="33" t="s">
        <v>27</v>
      </c>
      <c r="N345" s="33">
        <v>236</v>
      </c>
      <c r="O345" s="33">
        <v>51</v>
      </c>
      <c r="P345" s="33" t="s">
        <v>28</v>
      </c>
      <c r="Q345" s="33">
        <v>0</v>
      </c>
    </row>
    <row r="346" spans="1:17">
      <c r="A346" s="37" t="s">
        <v>1087</v>
      </c>
      <c r="B346" s="37" t="s">
        <v>565</v>
      </c>
      <c r="C346" s="37" t="s">
        <v>31</v>
      </c>
      <c r="D346" s="37" t="s">
        <v>129</v>
      </c>
      <c r="E346" s="37" t="s">
        <v>130</v>
      </c>
      <c r="F346" s="37" t="s">
        <v>197</v>
      </c>
      <c r="G346" s="37" t="s">
        <v>198</v>
      </c>
      <c r="H346" s="37" t="s">
        <v>139</v>
      </c>
      <c r="I346" s="37" t="s">
        <v>1088</v>
      </c>
      <c r="J346" s="37">
        <v>421</v>
      </c>
      <c r="K346" s="37">
        <v>595</v>
      </c>
      <c r="L346" s="37">
        <v>916.52</v>
      </c>
      <c r="M346" s="37" t="s">
        <v>60</v>
      </c>
      <c r="N346" s="37">
        <v>106</v>
      </c>
      <c r="O346" s="37">
        <v>79</v>
      </c>
      <c r="P346" s="37" t="s">
        <v>70</v>
      </c>
      <c r="Q346" s="37">
        <v>24</v>
      </c>
    </row>
    <row r="347" spans="1:17">
      <c r="A347" s="33" t="s">
        <v>1089</v>
      </c>
      <c r="B347" s="33" t="s">
        <v>1090</v>
      </c>
      <c r="C347" s="33" t="s">
        <v>94</v>
      </c>
      <c r="D347" s="33" t="s">
        <v>56</v>
      </c>
      <c r="E347" s="33" t="s">
        <v>57</v>
      </c>
      <c r="F347" s="33" t="s">
        <v>183</v>
      </c>
      <c r="G347" s="33" t="s">
        <v>184</v>
      </c>
      <c r="H347" s="33" t="s">
        <v>378</v>
      </c>
      <c r="I347" s="33" t="s">
        <v>1079</v>
      </c>
      <c r="J347" s="33">
        <v>384</v>
      </c>
      <c r="K347" s="33">
        <v>1232</v>
      </c>
      <c r="L347" s="33">
        <v>1100.3</v>
      </c>
      <c r="M347" s="33" t="s">
        <v>44</v>
      </c>
      <c r="N347" s="33">
        <v>199</v>
      </c>
      <c r="O347" s="33">
        <v>165</v>
      </c>
      <c r="P347" s="33" t="s">
        <v>28</v>
      </c>
      <c r="Q347" s="33">
        <v>0</v>
      </c>
    </row>
    <row r="348" spans="1:17">
      <c r="A348" s="37" t="s">
        <v>1091</v>
      </c>
      <c r="B348" s="37" t="s">
        <v>1092</v>
      </c>
      <c r="C348" s="37" t="s">
        <v>47</v>
      </c>
      <c r="D348" s="37" t="s">
        <v>174</v>
      </c>
      <c r="E348" s="37" t="s">
        <v>175</v>
      </c>
      <c r="F348" s="37" t="s">
        <v>129</v>
      </c>
      <c r="G348" s="37" t="s">
        <v>130</v>
      </c>
      <c r="H348" s="37" t="s">
        <v>266</v>
      </c>
      <c r="I348" s="37" t="s">
        <v>1093</v>
      </c>
      <c r="J348" s="37">
        <v>363</v>
      </c>
      <c r="K348" s="37">
        <v>324</v>
      </c>
      <c r="L348" s="37">
        <v>798.39</v>
      </c>
      <c r="M348" s="37" t="s">
        <v>27</v>
      </c>
      <c r="N348" s="37">
        <v>116</v>
      </c>
      <c r="O348" s="37">
        <v>55</v>
      </c>
      <c r="P348" s="37" t="s">
        <v>70</v>
      </c>
      <c r="Q348" s="37"/>
    </row>
    <row r="349" spans="1:17">
      <c r="A349" s="33" t="s">
        <v>1094</v>
      </c>
      <c r="B349" s="33" t="s">
        <v>1095</v>
      </c>
      <c r="C349" s="33" t="s">
        <v>94</v>
      </c>
      <c r="D349" s="33" t="s">
        <v>95</v>
      </c>
      <c r="E349" s="33" t="s">
        <v>96</v>
      </c>
      <c r="F349" s="33" t="s">
        <v>156</v>
      </c>
      <c r="G349" s="33" t="s">
        <v>157</v>
      </c>
      <c r="H349" s="33" t="s">
        <v>34</v>
      </c>
      <c r="I349" s="33" t="s">
        <v>1096</v>
      </c>
      <c r="J349" s="33">
        <v>234</v>
      </c>
      <c r="K349" s="33">
        <v>2092</v>
      </c>
      <c r="L349" s="33">
        <v>507.18</v>
      </c>
      <c r="M349" s="33" t="s">
        <v>27</v>
      </c>
      <c r="N349" s="33">
        <v>107</v>
      </c>
      <c r="O349" s="33">
        <v>80</v>
      </c>
      <c r="P349" s="33" t="s">
        <v>28</v>
      </c>
      <c r="Q349" s="33">
        <v>0</v>
      </c>
    </row>
    <row r="350" spans="1:17">
      <c r="A350" s="37" t="s">
        <v>1097</v>
      </c>
      <c r="B350" s="37" t="s">
        <v>1098</v>
      </c>
      <c r="C350" s="37" t="s">
        <v>63</v>
      </c>
      <c r="D350" s="37" t="s">
        <v>66</v>
      </c>
      <c r="E350" s="37" t="s">
        <v>67</v>
      </c>
      <c r="F350" s="37" t="s">
        <v>54</v>
      </c>
      <c r="G350" s="37" t="s">
        <v>74</v>
      </c>
      <c r="H350" s="37" t="s">
        <v>143</v>
      </c>
      <c r="I350" s="37" t="s">
        <v>1099</v>
      </c>
      <c r="J350" s="37">
        <v>242</v>
      </c>
      <c r="K350" s="37">
        <v>2953</v>
      </c>
      <c r="L350" s="37">
        <v>497.91</v>
      </c>
      <c r="M350" s="37" t="s">
        <v>60</v>
      </c>
      <c r="N350" s="37">
        <v>241</v>
      </c>
      <c r="O350" s="37">
        <v>192</v>
      </c>
      <c r="P350" s="37" t="s">
        <v>28</v>
      </c>
      <c r="Q350" s="37">
        <v>0</v>
      </c>
    </row>
    <row r="351" spans="1:17">
      <c r="A351" s="33" t="s">
        <v>1100</v>
      </c>
      <c r="B351" s="33" t="s">
        <v>1101</v>
      </c>
      <c r="C351" s="33" t="s">
        <v>20</v>
      </c>
      <c r="D351" s="33" t="s">
        <v>54</v>
      </c>
      <c r="E351" s="33" t="s">
        <v>74</v>
      </c>
      <c r="F351" s="33" t="s">
        <v>66</v>
      </c>
      <c r="G351" s="33" t="s">
        <v>67</v>
      </c>
      <c r="H351" s="33" t="s">
        <v>571</v>
      </c>
      <c r="I351" s="33" t="s">
        <v>1102</v>
      </c>
      <c r="J351" s="33">
        <v>246</v>
      </c>
      <c r="K351" s="33">
        <v>1160</v>
      </c>
      <c r="L351" s="33">
        <v>918.09</v>
      </c>
      <c r="M351" s="33" t="s">
        <v>27</v>
      </c>
      <c r="N351" s="33">
        <v>188</v>
      </c>
      <c r="O351" s="33">
        <v>104</v>
      </c>
      <c r="P351" s="33" t="s">
        <v>28</v>
      </c>
      <c r="Q351" s="33">
        <v>0</v>
      </c>
    </row>
    <row r="352" spans="1:17">
      <c r="A352" s="37" t="s">
        <v>1103</v>
      </c>
      <c r="B352" s="37" t="s">
        <v>1052</v>
      </c>
      <c r="C352" s="37" t="s">
        <v>63</v>
      </c>
      <c r="D352" s="37" t="s">
        <v>38</v>
      </c>
      <c r="E352" s="37" t="s">
        <v>39</v>
      </c>
      <c r="F352" s="37" t="s">
        <v>183</v>
      </c>
      <c r="G352" s="37" t="s">
        <v>184</v>
      </c>
      <c r="H352" s="37" t="s">
        <v>75</v>
      </c>
      <c r="I352" s="37" t="s">
        <v>1104</v>
      </c>
      <c r="J352" s="37">
        <v>189</v>
      </c>
      <c r="K352" s="37">
        <v>769</v>
      </c>
      <c r="L352" s="37">
        <v>283.12</v>
      </c>
      <c r="M352" s="37" t="s">
        <v>27</v>
      </c>
      <c r="N352" s="37">
        <v>318</v>
      </c>
      <c r="O352" s="37">
        <v>77</v>
      </c>
      <c r="P352" s="37" t="s">
        <v>70</v>
      </c>
      <c r="Q352" s="37">
        <v>155</v>
      </c>
    </row>
    <row r="353" spans="1:17">
      <c r="A353" s="33" t="s">
        <v>1105</v>
      </c>
      <c r="B353" s="33" t="s">
        <v>1106</v>
      </c>
      <c r="C353" s="33" t="s">
        <v>94</v>
      </c>
      <c r="D353" s="33" t="s">
        <v>95</v>
      </c>
      <c r="E353" s="33" t="s">
        <v>96</v>
      </c>
      <c r="F353" s="33" t="s">
        <v>54</v>
      </c>
      <c r="G353" s="33" t="s">
        <v>55</v>
      </c>
      <c r="H353" s="33" t="s">
        <v>378</v>
      </c>
      <c r="I353" s="33" t="s">
        <v>1107</v>
      </c>
      <c r="J353" s="33">
        <v>191</v>
      </c>
      <c r="K353" s="33">
        <v>2678</v>
      </c>
      <c r="L353" s="33">
        <v>625.65</v>
      </c>
      <c r="M353" s="33" t="s">
        <v>44</v>
      </c>
      <c r="N353" s="33">
        <v>191</v>
      </c>
      <c r="O353" s="33">
        <v>82</v>
      </c>
      <c r="P353" s="33" t="s">
        <v>70</v>
      </c>
      <c r="Q353" s="33">
        <v>75</v>
      </c>
    </row>
    <row r="354" spans="1:17">
      <c r="A354" s="37" t="s">
        <v>1108</v>
      </c>
      <c r="B354" s="37" t="s">
        <v>1109</v>
      </c>
      <c r="C354" s="37" t="s">
        <v>192</v>
      </c>
      <c r="D354" s="37" t="s">
        <v>48</v>
      </c>
      <c r="E354" s="37" t="s">
        <v>49</v>
      </c>
      <c r="F354" s="37" t="s">
        <v>54</v>
      </c>
      <c r="G354" s="37" t="s">
        <v>55</v>
      </c>
      <c r="H354" s="37" t="s">
        <v>68</v>
      </c>
      <c r="I354" s="37" t="s">
        <v>418</v>
      </c>
      <c r="J354" s="37">
        <v>338</v>
      </c>
      <c r="K354" s="37">
        <v>2145</v>
      </c>
      <c r="L354" s="37">
        <v>447.75</v>
      </c>
      <c r="M354" s="37" t="s">
        <v>27</v>
      </c>
      <c r="N354" s="37">
        <v>178</v>
      </c>
      <c r="O354" s="37">
        <v>89</v>
      </c>
      <c r="P354" s="37" t="s">
        <v>28</v>
      </c>
      <c r="Q354" s="37">
        <v>0</v>
      </c>
    </row>
    <row r="355" spans="1:17">
      <c r="A355" s="33" t="s">
        <v>1110</v>
      </c>
      <c r="B355" s="33" t="s">
        <v>1111</v>
      </c>
      <c r="C355" s="33" t="s">
        <v>47</v>
      </c>
      <c r="D355" s="33" t="s">
        <v>129</v>
      </c>
      <c r="E355" s="33" t="s">
        <v>130</v>
      </c>
      <c r="F355" s="33" t="s">
        <v>38</v>
      </c>
      <c r="G355" s="33" t="s">
        <v>39</v>
      </c>
      <c r="H355" s="33" t="s">
        <v>382</v>
      </c>
      <c r="I355" s="33" t="s">
        <v>370</v>
      </c>
      <c r="J355" s="33">
        <v>216</v>
      </c>
      <c r="K355" s="33">
        <v>1207</v>
      </c>
      <c r="L355" s="33">
        <v>877.66</v>
      </c>
      <c r="M355" s="33" t="s">
        <v>27</v>
      </c>
      <c r="N355" s="33">
        <v>211</v>
      </c>
      <c r="O355" s="33">
        <v>120</v>
      </c>
      <c r="P355" s="33" t="s">
        <v>70</v>
      </c>
      <c r="Q355" s="33">
        <v>49</v>
      </c>
    </row>
    <row r="356" spans="1:17">
      <c r="A356" s="37" t="s">
        <v>1112</v>
      </c>
      <c r="B356" s="37" t="s">
        <v>755</v>
      </c>
      <c r="C356" s="37" t="s">
        <v>115</v>
      </c>
      <c r="D356" s="37" t="s">
        <v>40</v>
      </c>
      <c r="E356" s="37" t="s">
        <v>41</v>
      </c>
      <c r="F356" s="37" t="s">
        <v>79</v>
      </c>
      <c r="G356" s="37" t="s">
        <v>80</v>
      </c>
      <c r="H356" s="37" t="s">
        <v>162</v>
      </c>
      <c r="I356" s="37" t="s">
        <v>1113</v>
      </c>
      <c r="J356" s="37">
        <v>339</v>
      </c>
      <c r="K356" s="37">
        <v>2559</v>
      </c>
      <c r="L356" s="37">
        <v>201.89</v>
      </c>
      <c r="M356" s="37" t="s">
        <v>27</v>
      </c>
      <c r="N356" s="37">
        <v>255</v>
      </c>
      <c r="O356" s="37">
        <v>70</v>
      </c>
      <c r="P356" s="37" t="s">
        <v>70</v>
      </c>
      <c r="Q356" s="37">
        <v>50</v>
      </c>
    </row>
    <row r="357" spans="1:17">
      <c r="A357" s="33" t="s">
        <v>1114</v>
      </c>
      <c r="B357" s="33" t="s">
        <v>1115</v>
      </c>
      <c r="C357" s="33" t="s">
        <v>192</v>
      </c>
      <c r="D357" s="33" t="s">
        <v>54</v>
      </c>
      <c r="E357" s="33" t="s">
        <v>55</v>
      </c>
      <c r="F357" s="33" t="s">
        <v>197</v>
      </c>
      <c r="G357" s="33" t="s">
        <v>198</v>
      </c>
      <c r="H357" s="33" t="s">
        <v>317</v>
      </c>
      <c r="I357" s="33" t="s">
        <v>1023</v>
      </c>
      <c r="J357" s="33">
        <v>387</v>
      </c>
      <c r="K357" s="33">
        <v>2671</v>
      </c>
      <c r="L357" s="33">
        <v>533.75</v>
      </c>
      <c r="M357" s="33" t="s">
        <v>27</v>
      </c>
      <c r="N357" s="33">
        <v>154</v>
      </c>
      <c r="O357" s="33">
        <v>54</v>
      </c>
      <c r="P357" s="33" t="s">
        <v>28</v>
      </c>
      <c r="Q357" s="33">
        <v>0</v>
      </c>
    </row>
    <row r="358" spans="1:17">
      <c r="A358" s="37" t="s">
        <v>1116</v>
      </c>
      <c r="B358" s="37" t="s">
        <v>1117</v>
      </c>
      <c r="C358" s="37" t="s">
        <v>63</v>
      </c>
      <c r="D358" s="37" t="s">
        <v>64</v>
      </c>
      <c r="E358" s="37" t="s">
        <v>65</v>
      </c>
      <c r="F358" s="37" t="s">
        <v>129</v>
      </c>
      <c r="G358" s="37" t="s">
        <v>130</v>
      </c>
      <c r="H358" s="37" t="s">
        <v>75</v>
      </c>
      <c r="I358" s="37" t="s">
        <v>485</v>
      </c>
      <c r="J358" s="37">
        <v>158</v>
      </c>
      <c r="K358" s="37">
        <v>2203</v>
      </c>
      <c r="L358" s="37">
        <v>641.26</v>
      </c>
      <c r="M358" s="37" t="s">
        <v>60</v>
      </c>
      <c r="N358" s="37">
        <v>201</v>
      </c>
      <c r="O358" s="37">
        <v>143</v>
      </c>
      <c r="P358" s="37" t="s">
        <v>28</v>
      </c>
      <c r="Q358" s="37">
        <v>0</v>
      </c>
    </row>
    <row r="359" spans="1:17">
      <c r="A359" s="33" t="s">
        <v>1118</v>
      </c>
      <c r="B359" s="33" t="s">
        <v>1119</v>
      </c>
      <c r="C359" s="33" t="s">
        <v>63</v>
      </c>
      <c r="D359" s="33" t="s">
        <v>116</v>
      </c>
      <c r="E359" s="33" t="s">
        <v>117</v>
      </c>
      <c r="F359" s="33" t="s">
        <v>101</v>
      </c>
      <c r="G359" s="33" t="s">
        <v>102</v>
      </c>
      <c r="H359" s="33" t="s">
        <v>473</v>
      </c>
      <c r="I359" s="33" t="s">
        <v>579</v>
      </c>
      <c r="J359" s="33">
        <v>181</v>
      </c>
      <c r="K359" s="33">
        <v>2619</v>
      </c>
      <c r="L359" s="33">
        <v>1142.56</v>
      </c>
      <c r="M359" s="33" t="s">
        <v>27</v>
      </c>
      <c r="N359" s="33">
        <v>323</v>
      </c>
      <c r="O359" s="33">
        <v>124</v>
      </c>
      <c r="P359" s="33" t="s">
        <v>70</v>
      </c>
      <c r="Q359" s="33">
        <v>138</v>
      </c>
    </row>
    <row r="360" spans="1:17">
      <c r="A360" s="37" t="s">
        <v>1120</v>
      </c>
      <c r="B360" s="37" t="s">
        <v>1121</v>
      </c>
      <c r="C360" s="37" t="s">
        <v>20</v>
      </c>
      <c r="D360" s="37" t="s">
        <v>23</v>
      </c>
      <c r="E360" s="37" t="s">
        <v>24</v>
      </c>
      <c r="F360" s="37" t="s">
        <v>116</v>
      </c>
      <c r="G360" s="37" t="s">
        <v>117</v>
      </c>
      <c r="H360" s="37" t="s">
        <v>426</v>
      </c>
      <c r="I360" s="37" t="s">
        <v>248</v>
      </c>
      <c r="J360" s="37">
        <v>225</v>
      </c>
      <c r="K360" s="37">
        <v>1813</v>
      </c>
      <c r="L360" s="37">
        <v>342.1</v>
      </c>
      <c r="M360" s="37" t="s">
        <v>27</v>
      </c>
      <c r="N360" s="37">
        <v>152</v>
      </c>
      <c r="O360" s="37">
        <v>116</v>
      </c>
      <c r="P360" s="37" t="s">
        <v>70</v>
      </c>
      <c r="Q360" s="37">
        <v>107</v>
      </c>
    </row>
    <row r="361" spans="1:17">
      <c r="A361" s="33" t="s">
        <v>1122</v>
      </c>
      <c r="B361" s="33" t="s">
        <v>1123</v>
      </c>
      <c r="C361" s="33" t="s">
        <v>115</v>
      </c>
      <c r="D361" s="33" t="s">
        <v>40</v>
      </c>
      <c r="E361" s="33" t="s">
        <v>41</v>
      </c>
      <c r="F361" s="33" t="s">
        <v>56</v>
      </c>
      <c r="G361" s="33" t="s">
        <v>57</v>
      </c>
      <c r="H361" s="33" t="s">
        <v>179</v>
      </c>
      <c r="I361" s="33" t="s">
        <v>1124</v>
      </c>
      <c r="J361" s="33">
        <v>142</v>
      </c>
      <c r="K361" s="33">
        <v>2435</v>
      </c>
      <c r="L361" s="33">
        <v>789.6</v>
      </c>
      <c r="M361" s="33" t="s">
        <v>44</v>
      </c>
      <c r="N361" s="33">
        <v>313</v>
      </c>
      <c r="O361" s="33">
        <v>184</v>
      </c>
      <c r="P361" s="33" t="s">
        <v>28</v>
      </c>
      <c r="Q361" s="33">
        <v>0</v>
      </c>
    </row>
    <row r="362" spans="1:17">
      <c r="A362" s="37" t="s">
        <v>1125</v>
      </c>
      <c r="B362" s="37" t="s">
        <v>548</v>
      </c>
      <c r="C362" s="37" t="s">
        <v>73</v>
      </c>
      <c r="D362" s="37" t="s">
        <v>66</v>
      </c>
      <c r="E362" s="37" t="s">
        <v>67</v>
      </c>
      <c r="F362" s="37" t="s">
        <v>64</v>
      </c>
      <c r="G362" s="37" t="s">
        <v>65</v>
      </c>
      <c r="H362" s="37" t="s">
        <v>244</v>
      </c>
      <c r="I362" s="37" t="s">
        <v>1126</v>
      </c>
      <c r="J362" s="37">
        <v>354</v>
      </c>
      <c r="K362" s="37">
        <v>1330</v>
      </c>
      <c r="L362" s="37">
        <v>501.49</v>
      </c>
      <c r="M362" s="37" t="s">
        <v>60</v>
      </c>
      <c r="N362" s="37">
        <v>232</v>
      </c>
      <c r="O362" s="37">
        <v>153</v>
      </c>
      <c r="P362" s="37" t="s">
        <v>28</v>
      </c>
      <c r="Q362" s="37">
        <v>0</v>
      </c>
    </row>
    <row r="363" spans="1:17">
      <c r="A363" s="33" t="s">
        <v>1127</v>
      </c>
      <c r="B363" s="33" t="s">
        <v>1128</v>
      </c>
      <c r="C363" s="33" t="s">
        <v>115</v>
      </c>
      <c r="D363" s="33" t="s">
        <v>79</v>
      </c>
      <c r="E363" s="33" t="s">
        <v>80</v>
      </c>
      <c r="F363" s="33" t="s">
        <v>174</v>
      </c>
      <c r="G363" s="33" t="s">
        <v>175</v>
      </c>
      <c r="H363" s="33" t="s">
        <v>469</v>
      </c>
      <c r="I363" s="33" t="s">
        <v>216</v>
      </c>
      <c r="J363" s="33">
        <v>315</v>
      </c>
      <c r="K363" s="33">
        <v>978</v>
      </c>
      <c r="L363" s="33">
        <v>337.59</v>
      </c>
      <c r="M363" s="33" t="s">
        <v>27</v>
      </c>
      <c r="N363" s="33">
        <v>264</v>
      </c>
      <c r="O363" s="33">
        <v>121</v>
      </c>
      <c r="P363" s="33" t="s">
        <v>28</v>
      </c>
      <c r="Q363" s="33">
        <v>0</v>
      </c>
    </row>
    <row r="364" spans="1:17">
      <c r="A364" s="37" t="s">
        <v>1129</v>
      </c>
      <c r="B364" s="37" t="s">
        <v>768</v>
      </c>
      <c r="C364" s="37" t="s">
        <v>63</v>
      </c>
      <c r="D364" s="37" t="s">
        <v>64</v>
      </c>
      <c r="E364" s="37" t="s">
        <v>65</v>
      </c>
      <c r="F364" s="37" t="s">
        <v>197</v>
      </c>
      <c r="G364" s="37" t="s">
        <v>198</v>
      </c>
      <c r="H364" s="37" t="s">
        <v>58</v>
      </c>
      <c r="I364" s="37" t="s">
        <v>1130</v>
      </c>
      <c r="J364" s="37">
        <v>302</v>
      </c>
      <c r="K364" s="37">
        <v>1652</v>
      </c>
      <c r="L364" s="37"/>
      <c r="M364" s="37" t="s">
        <v>44</v>
      </c>
      <c r="N364" s="37">
        <v>272</v>
      </c>
      <c r="O364" s="37">
        <v>172</v>
      </c>
      <c r="P364" s="37" t="s">
        <v>28</v>
      </c>
      <c r="Q364" s="37">
        <v>0</v>
      </c>
    </row>
    <row r="365" spans="1:17">
      <c r="A365" s="33" t="s">
        <v>1131</v>
      </c>
      <c r="B365" s="33" t="s">
        <v>1132</v>
      </c>
      <c r="C365" s="33" t="s">
        <v>73</v>
      </c>
      <c r="D365" s="33" t="s">
        <v>174</v>
      </c>
      <c r="E365" s="33" t="s">
        <v>175</v>
      </c>
      <c r="F365" s="33" t="s">
        <v>21</v>
      </c>
      <c r="G365" s="33" t="s">
        <v>22</v>
      </c>
      <c r="H365" s="33" t="s">
        <v>855</v>
      </c>
      <c r="I365" s="33" t="s">
        <v>1133</v>
      </c>
      <c r="J365" s="33">
        <v>383</v>
      </c>
      <c r="K365" s="33">
        <v>2726</v>
      </c>
      <c r="L365" s="33">
        <v>260.45999999999998</v>
      </c>
      <c r="M365" s="33" t="s">
        <v>27</v>
      </c>
      <c r="N365" s="33">
        <v>231</v>
      </c>
      <c r="O365" s="33">
        <v>60</v>
      </c>
      <c r="P365" s="33" t="s">
        <v>70</v>
      </c>
      <c r="Q365" s="33">
        <v>52</v>
      </c>
    </row>
    <row r="366" spans="1:17">
      <c r="A366" s="37" t="s">
        <v>1134</v>
      </c>
      <c r="B366" s="37" t="s">
        <v>1135</v>
      </c>
      <c r="C366" s="37" t="s">
        <v>63</v>
      </c>
      <c r="D366" s="37" t="s">
        <v>21</v>
      </c>
      <c r="E366" s="37" t="s">
        <v>22</v>
      </c>
      <c r="F366" s="37" t="s">
        <v>38</v>
      </c>
      <c r="G366" s="37" t="s">
        <v>39</v>
      </c>
      <c r="H366" s="37" t="s">
        <v>626</v>
      </c>
      <c r="I366" s="37" t="s">
        <v>1136</v>
      </c>
      <c r="J366" s="37">
        <v>396</v>
      </c>
      <c r="K366" s="37">
        <v>2608</v>
      </c>
      <c r="L366" s="37">
        <v>794.14</v>
      </c>
      <c r="M366" s="37" t="s">
        <v>27</v>
      </c>
      <c r="N366" s="37">
        <v>286</v>
      </c>
      <c r="O366" s="37">
        <v>219</v>
      </c>
      <c r="P366" s="37" t="s">
        <v>70</v>
      </c>
      <c r="Q366" s="37">
        <v>36</v>
      </c>
    </row>
    <row r="367" spans="1:17">
      <c r="A367" s="33" t="s">
        <v>1137</v>
      </c>
      <c r="B367" s="33" t="s">
        <v>1138</v>
      </c>
      <c r="C367" s="33" t="s">
        <v>115</v>
      </c>
      <c r="D367" s="33" t="s">
        <v>48</v>
      </c>
      <c r="E367" s="33" t="s">
        <v>49</v>
      </c>
      <c r="F367" s="33" t="s">
        <v>79</v>
      </c>
      <c r="G367" s="33" t="s">
        <v>80</v>
      </c>
      <c r="H367" s="33" t="s">
        <v>642</v>
      </c>
      <c r="I367" s="33" t="s">
        <v>1139</v>
      </c>
      <c r="J367" s="33">
        <v>202</v>
      </c>
      <c r="K367" s="33">
        <v>1982</v>
      </c>
      <c r="L367" s="33">
        <v>752.94</v>
      </c>
      <c r="M367" s="33" t="s">
        <v>27</v>
      </c>
      <c r="N367" s="33">
        <v>310</v>
      </c>
      <c r="O367" s="33">
        <v>143</v>
      </c>
      <c r="P367" s="33" t="s">
        <v>28</v>
      </c>
      <c r="Q367" s="33">
        <v>0</v>
      </c>
    </row>
    <row r="368" spans="1:17">
      <c r="A368" s="37" t="s">
        <v>1140</v>
      </c>
      <c r="B368" s="37" t="s">
        <v>784</v>
      </c>
      <c r="C368" s="37" t="s">
        <v>192</v>
      </c>
      <c r="D368" s="37" t="s">
        <v>38</v>
      </c>
      <c r="E368" s="37" t="s">
        <v>39</v>
      </c>
      <c r="F368" s="37" t="s">
        <v>64</v>
      </c>
      <c r="G368" s="37" t="s">
        <v>65</v>
      </c>
      <c r="H368" s="37" t="s">
        <v>135</v>
      </c>
      <c r="I368" s="37" t="s">
        <v>1141</v>
      </c>
      <c r="J368" s="37">
        <v>207</v>
      </c>
      <c r="K368" s="37">
        <v>1849</v>
      </c>
      <c r="L368" s="37">
        <v>511.72</v>
      </c>
      <c r="M368" s="37" t="s">
        <v>60</v>
      </c>
      <c r="N368" s="37">
        <v>104</v>
      </c>
      <c r="O368" s="37">
        <v>62</v>
      </c>
      <c r="P368" s="37" t="s">
        <v>28</v>
      </c>
      <c r="Q368" s="37">
        <v>0</v>
      </c>
    </row>
    <row r="369" spans="1:17">
      <c r="A369" s="33" t="s">
        <v>1142</v>
      </c>
      <c r="B369" s="33" t="s">
        <v>1143</v>
      </c>
      <c r="C369" s="33" t="s">
        <v>73</v>
      </c>
      <c r="D369" s="33" t="s">
        <v>101</v>
      </c>
      <c r="E369" s="33" t="s">
        <v>102</v>
      </c>
      <c r="F369" s="33" t="s">
        <v>197</v>
      </c>
      <c r="G369" s="33" t="s">
        <v>198</v>
      </c>
      <c r="H369" s="33" t="s">
        <v>97</v>
      </c>
      <c r="I369" s="33" t="s">
        <v>270</v>
      </c>
      <c r="J369" s="33">
        <v>404</v>
      </c>
      <c r="K369" s="33">
        <v>2756</v>
      </c>
      <c r="L369" s="33">
        <v>123.72</v>
      </c>
      <c r="M369" s="33" t="s">
        <v>27</v>
      </c>
      <c r="N369" s="33">
        <v>228</v>
      </c>
      <c r="O369" s="33">
        <v>80</v>
      </c>
      <c r="P369" s="33" t="s">
        <v>28</v>
      </c>
      <c r="Q369" s="33">
        <v>0</v>
      </c>
    </row>
    <row r="370" spans="1:17">
      <c r="A370" s="37" t="s">
        <v>1144</v>
      </c>
      <c r="B370" s="37" t="s">
        <v>1072</v>
      </c>
      <c r="C370" s="37" t="s">
        <v>20</v>
      </c>
      <c r="D370" s="37" t="s">
        <v>129</v>
      </c>
      <c r="E370" s="37" t="s">
        <v>130</v>
      </c>
      <c r="F370" s="37" t="s">
        <v>32</v>
      </c>
      <c r="G370" s="37" t="s">
        <v>33</v>
      </c>
      <c r="H370" s="37" t="s">
        <v>152</v>
      </c>
      <c r="I370" s="37" t="s">
        <v>1145</v>
      </c>
      <c r="J370" s="37">
        <v>112</v>
      </c>
      <c r="K370" s="37">
        <v>2470</v>
      </c>
      <c r="L370" s="37">
        <v>560.42999999999995</v>
      </c>
      <c r="M370" s="37"/>
      <c r="N370" s="37">
        <v>302</v>
      </c>
      <c r="O370" s="37">
        <v>246</v>
      </c>
      <c r="P370" s="37" t="s">
        <v>28</v>
      </c>
      <c r="Q370" s="37">
        <v>0</v>
      </c>
    </row>
    <row r="371" spans="1:17">
      <c r="A371" s="33" t="s">
        <v>1146</v>
      </c>
      <c r="B371" s="33" t="s">
        <v>1147</v>
      </c>
      <c r="C371" s="33" t="s">
        <v>73</v>
      </c>
      <c r="D371" s="33" t="s">
        <v>101</v>
      </c>
      <c r="E371" s="33" t="s">
        <v>102</v>
      </c>
      <c r="F371" s="33" t="s">
        <v>95</v>
      </c>
      <c r="G371" s="33" t="s">
        <v>96</v>
      </c>
      <c r="H371" s="33" t="s">
        <v>642</v>
      </c>
      <c r="I371" s="33" t="s">
        <v>1141</v>
      </c>
      <c r="J371" s="33">
        <v>132</v>
      </c>
      <c r="K371" s="33">
        <v>1460</v>
      </c>
      <c r="L371" s="33">
        <v>750.09</v>
      </c>
      <c r="M371" s="33" t="s">
        <v>27</v>
      </c>
      <c r="N371" s="33">
        <v>204</v>
      </c>
      <c r="O371" s="33">
        <v>115</v>
      </c>
      <c r="P371" s="33" t="s">
        <v>28</v>
      </c>
      <c r="Q371" s="33">
        <v>0</v>
      </c>
    </row>
    <row r="372" spans="1:17">
      <c r="A372" s="37" t="s">
        <v>1148</v>
      </c>
      <c r="B372" s="37" t="s">
        <v>121</v>
      </c>
      <c r="C372" s="37" t="s">
        <v>94</v>
      </c>
      <c r="D372" s="37" t="s">
        <v>116</v>
      </c>
      <c r="E372" s="37" t="s">
        <v>117</v>
      </c>
      <c r="F372" s="37" t="s">
        <v>174</v>
      </c>
      <c r="G372" s="37" t="s">
        <v>175</v>
      </c>
      <c r="H372" s="37" t="s">
        <v>279</v>
      </c>
      <c r="I372" s="37" t="s">
        <v>1149</v>
      </c>
      <c r="J372" s="37">
        <v>442</v>
      </c>
      <c r="K372" s="37">
        <v>1593</v>
      </c>
      <c r="L372" s="37">
        <v>537.91</v>
      </c>
      <c r="M372" s="37"/>
      <c r="N372" s="37">
        <v>139</v>
      </c>
      <c r="O372" s="37">
        <v>104</v>
      </c>
      <c r="P372" s="37" t="s">
        <v>70</v>
      </c>
      <c r="Q372" s="37">
        <v>79</v>
      </c>
    </row>
    <row r="373" spans="1:17">
      <c r="A373" s="33" t="s">
        <v>1150</v>
      </c>
      <c r="B373" s="33" t="s">
        <v>1151</v>
      </c>
      <c r="C373" s="33" t="s">
        <v>73</v>
      </c>
      <c r="D373" s="33" t="s">
        <v>54</v>
      </c>
      <c r="E373" s="33" t="s">
        <v>74</v>
      </c>
      <c r="F373" s="33" t="s">
        <v>64</v>
      </c>
      <c r="G373" s="33" t="s">
        <v>65</v>
      </c>
      <c r="H373" s="33" t="s">
        <v>414</v>
      </c>
      <c r="I373" s="33" t="s">
        <v>1152</v>
      </c>
      <c r="J373" s="33">
        <v>438</v>
      </c>
      <c r="K373" s="33">
        <v>1927</v>
      </c>
      <c r="L373" s="33">
        <v>925.57</v>
      </c>
      <c r="M373" s="33" t="s">
        <v>44</v>
      </c>
      <c r="N373" s="33">
        <v>241</v>
      </c>
      <c r="O373" s="33">
        <v>192</v>
      </c>
      <c r="P373" s="33" t="s">
        <v>28</v>
      </c>
      <c r="Q373" s="33">
        <v>0</v>
      </c>
    </row>
    <row r="374" spans="1:17">
      <c r="A374" s="37" t="s">
        <v>1153</v>
      </c>
      <c r="B374" s="37" t="s">
        <v>1154</v>
      </c>
      <c r="C374" s="37" t="s">
        <v>115</v>
      </c>
      <c r="D374" s="37" t="s">
        <v>21</v>
      </c>
      <c r="E374" s="37" t="s">
        <v>22</v>
      </c>
      <c r="F374" s="37" t="s">
        <v>156</v>
      </c>
      <c r="G374" s="37" t="s">
        <v>157</v>
      </c>
      <c r="H374" s="37" t="s">
        <v>591</v>
      </c>
      <c r="I374" s="37" t="s">
        <v>1155</v>
      </c>
      <c r="J374" s="37">
        <v>451</v>
      </c>
      <c r="K374" s="37">
        <v>1930</v>
      </c>
      <c r="L374" s="37"/>
      <c r="M374" s="37" t="s">
        <v>27</v>
      </c>
      <c r="N374" s="37">
        <v>130</v>
      </c>
      <c r="O374" s="37">
        <v>79</v>
      </c>
      <c r="P374" s="37" t="s">
        <v>28</v>
      </c>
      <c r="Q374" s="37">
        <v>0</v>
      </c>
    </row>
    <row r="375" spans="1:17">
      <c r="A375" s="33" t="s">
        <v>1156</v>
      </c>
      <c r="B375" s="33" t="s">
        <v>1157</v>
      </c>
      <c r="C375" s="33" t="s">
        <v>94</v>
      </c>
      <c r="D375" s="33" t="s">
        <v>183</v>
      </c>
      <c r="E375" s="33" t="s">
        <v>184</v>
      </c>
      <c r="F375" s="33" t="s">
        <v>32</v>
      </c>
      <c r="G375" s="33" t="s">
        <v>33</v>
      </c>
      <c r="H375" s="33" t="s">
        <v>462</v>
      </c>
      <c r="I375" s="33" t="s">
        <v>1158</v>
      </c>
      <c r="J375" s="33">
        <v>371</v>
      </c>
      <c r="K375" s="33">
        <v>2815</v>
      </c>
      <c r="L375" s="33">
        <v>860.7</v>
      </c>
      <c r="M375" s="33" t="s">
        <v>27</v>
      </c>
      <c r="N375" s="33">
        <v>113</v>
      </c>
      <c r="O375" s="33">
        <v>70</v>
      </c>
      <c r="P375" s="33" t="s">
        <v>28</v>
      </c>
      <c r="Q375" s="33">
        <v>0</v>
      </c>
    </row>
    <row r="376" spans="1:17">
      <c r="A376" s="37" t="s">
        <v>1159</v>
      </c>
      <c r="B376" s="37" t="s">
        <v>728</v>
      </c>
      <c r="C376" s="37" t="s">
        <v>94</v>
      </c>
      <c r="D376" s="37" t="s">
        <v>101</v>
      </c>
      <c r="E376" s="37" t="s">
        <v>102</v>
      </c>
      <c r="F376" s="37" t="s">
        <v>116</v>
      </c>
      <c r="G376" s="37" t="s">
        <v>117</v>
      </c>
      <c r="H376" s="37" t="s">
        <v>111</v>
      </c>
      <c r="I376" s="37" t="s">
        <v>545</v>
      </c>
      <c r="J376" s="37">
        <v>135</v>
      </c>
      <c r="K376" s="37">
        <v>562</v>
      </c>
      <c r="L376" s="37">
        <v>374.66</v>
      </c>
      <c r="M376" s="37" t="s">
        <v>44</v>
      </c>
      <c r="N376" s="37">
        <v>120</v>
      </c>
      <c r="O376" s="37">
        <v>54</v>
      </c>
      <c r="P376" s="37" t="s">
        <v>70</v>
      </c>
      <c r="Q376" s="37">
        <v>117</v>
      </c>
    </row>
    <row r="377" spans="1:17">
      <c r="A377" s="33" t="s">
        <v>1160</v>
      </c>
      <c r="B377" s="33" t="s">
        <v>1161</v>
      </c>
      <c r="C377" s="33" t="s">
        <v>192</v>
      </c>
      <c r="D377" s="33" t="s">
        <v>48</v>
      </c>
      <c r="E377" s="33" t="s">
        <v>49</v>
      </c>
      <c r="F377" s="33" t="s">
        <v>56</v>
      </c>
      <c r="G377" s="33" t="s">
        <v>57</v>
      </c>
      <c r="H377" s="33" t="s">
        <v>97</v>
      </c>
      <c r="I377" s="33" t="s">
        <v>1162</v>
      </c>
      <c r="J377" s="33">
        <v>314</v>
      </c>
      <c r="K377" s="33">
        <v>343</v>
      </c>
      <c r="L377" s="33"/>
      <c r="M377" s="33" t="s">
        <v>27</v>
      </c>
      <c r="N377" s="33">
        <v>338</v>
      </c>
      <c r="O377" s="33">
        <v>315</v>
      </c>
      <c r="P377" s="33" t="s">
        <v>28</v>
      </c>
      <c r="Q377" s="33">
        <v>0</v>
      </c>
    </row>
    <row r="378" spans="1:17">
      <c r="A378" s="37" t="s">
        <v>1163</v>
      </c>
      <c r="B378" s="37" t="s">
        <v>666</v>
      </c>
      <c r="C378" s="37" t="s">
        <v>31</v>
      </c>
      <c r="D378" s="37" t="s">
        <v>48</v>
      </c>
      <c r="E378" s="37" t="s">
        <v>49</v>
      </c>
      <c r="F378" s="37" t="s">
        <v>38</v>
      </c>
      <c r="G378" s="37" t="s">
        <v>39</v>
      </c>
      <c r="H378" s="37" t="s">
        <v>266</v>
      </c>
      <c r="I378" s="37" t="s">
        <v>1164</v>
      </c>
      <c r="J378" s="37">
        <v>274</v>
      </c>
      <c r="K378" s="37">
        <v>1279</v>
      </c>
      <c r="L378" s="37">
        <v>813.62</v>
      </c>
      <c r="M378" s="37" t="s">
        <v>60</v>
      </c>
      <c r="N378" s="37">
        <v>122</v>
      </c>
      <c r="O378" s="37">
        <v>85</v>
      </c>
      <c r="P378" s="37" t="s">
        <v>70</v>
      </c>
      <c r="Q378" s="37">
        <v>105</v>
      </c>
    </row>
    <row r="379" spans="1:17">
      <c r="A379" s="33" t="s">
        <v>1165</v>
      </c>
      <c r="B379" s="33" t="s">
        <v>1166</v>
      </c>
      <c r="C379" s="33" t="s">
        <v>73</v>
      </c>
      <c r="D379" s="33" t="s">
        <v>54</v>
      </c>
      <c r="E379" s="33" t="s">
        <v>74</v>
      </c>
      <c r="F379" s="33" t="s">
        <v>183</v>
      </c>
      <c r="G379" s="33" t="s">
        <v>184</v>
      </c>
      <c r="H379" s="33" t="s">
        <v>712</v>
      </c>
      <c r="I379" s="33" t="s">
        <v>1167</v>
      </c>
      <c r="J379" s="33">
        <v>467</v>
      </c>
      <c r="K379" s="33">
        <v>581</v>
      </c>
      <c r="L379" s="33">
        <v>1109.48</v>
      </c>
      <c r="M379" s="33" t="s">
        <v>27</v>
      </c>
      <c r="N379" s="33">
        <v>172</v>
      </c>
      <c r="O379" s="33">
        <v>142</v>
      </c>
      <c r="P379" s="33" t="s">
        <v>70</v>
      </c>
      <c r="Q379" s="33">
        <v>164</v>
      </c>
    </row>
    <row r="380" spans="1:17">
      <c r="A380" s="37" t="s">
        <v>1168</v>
      </c>
      <c r="B380" s="37" t="s">
        <v>1169</v>
      </c>
      <c r="C380" s="37" t="s">
        <v>47</v>
      </c>
      <c r="D380" s="37" t="s">
        <v>21</v>
      </c>
      <c r="E380" s="37" t="s">
        <v>22</v>
      </c>
      <c r="F380" s="37" t="s">
        <v>23</v>
      </c>
      <c r="G380" s="37" t="s">
        <v>24</v>
      </c>
      <c r="H380" s="37" t="s">
        <v>494</v>
      </c>
      <c r="I380" s="37" t="s">
        <v>320</v>
      </c>
      <c r="J380" s="37">
        <v>322</v>
      </c>
      <c r="K380" s="37">
        <v>1954</v>
      </c>
      <c r="L380" s="37"/>
      <c r="M380" s="37" t="s">
        <v>44</v>
      </c>
      <c r="N380" s="37">
        <v>144</v>
      </c>
      <c r="O380" s="37">
        <v>102</v>
      </c>
      <c r="P380" s="37" t="s">
        <v>28</v>
      </c>
      <c r="Q380" s="37">
        <v>0</v>
      </c>
    </row>
    <row r="381" spans="1:17">
      <c r="A381" s="33" t="s">
        <v>1170</v>
      </c>
      <c r="B381" s="33" t="s">
        <v>1171</v>
      </c>
      <c r="C381" s="33" t="s">
        <v>192</v>
      </c>
      <c r="D381" s="33" t="s">
        <v>156</v>
      </c>
      <c r="E381" s="33" t="s">
        <v>157</v>
      </c>
      <c r="F381" s="33" t="s">
        <v>197</v>
      </c>
      <c r="G381" s="33" t="s">
        <v>198</v>
      </c>
      <c r="H381" s="33" t="s">
        <v>90</v>
      </c>
      <c r="I381" s="33" t="s">
        <v>1172</v>
      </c>
      <c r="J381" s="33">
        <v>365</v>
      </c>
      <c r="K381" s="33">
        <v>2654</v>
      </c>
      <c r="L381" s="33">
        <v>360.16</v>
      </c>
      <c r="M381" s="33" t="s">
        <v>44</v>
      </c>
      <c r="N381" s="33">
        <v>347</v>
      </c>
      <c r="O381" s="33">
        <v>243</v>
      </c>
      <c r="P381" s="33" t="s">
        <v>28</v>
      </c>
      <c r="Q381" s="33">
        <v>0</v>
      </c>
    </row>
    <row r="382" spans="1:17">
      <c r="A382" s="37" t="s">
        <v>1173</v>
      </c>
      <c r="B382" s="37" t="s">
        <v>1174</v>
      </c>
      <c r="C382" s="37" t="s">
        <v>47</v>
      </c>
      <c r="D382" s="37" t="s">
        <v>40</v>
      </c>
      <c r="E382" s="37" t="s">
        <v>41</v>
      </c>
      <c r="F382" s="37" t="s">
        <v>79</v>
      </c>
      <c r="G382" s="37" t="s">
        <v>80</v>
      </c>
      <c r="H382" s="37" t="s">
        <v>244</v>
      </c>
      <c r="I382" s="37" t="s">
        <v>1175</v>
      </c>
      <c r="J382" s="37">
        <v>336</v>
      </c>
      <c r="K382" s="37">
        <v>776</v>
      </c>
      <c r="L382" s="37">
        <v>368.76</v>
      </c>
      <c r="M382" s="37" t="s">
        <v>44</v>
      </c>
      <c r="N382" s="37">
        <v>262</v>
      </c>
      <c r="O382" s="37">
        <v>251</v>
      </c>
      <c r="P382" s="37" t="s">
        <v>149</v>
      </c>
      <c r="Q382" s="37">
        <v>0</v>
      </c>
    </row>
    <row r="383" spans="1:17">
      <c r="A383" s="33" t="s">
        <v>1176</v>
      </c>
      <c r="B383" s="33" t="s">
        <v>1177</v>
      </c>
      <c r="C383" s="33" t="s">
        <v>47</v>
      </c>
      <c r="D383" s="33" t="s">
        <v>129</v>
      </c>
      <c r="E383" s="33" t="s">
        <v>130</v>
      </c>
      <c r="F383" s="33" t="s">
        <v>64</v>
      </c>
      <c r="G383" s="33" t="s">
        <v>65</v>
      </c>
      <c r="H383" s="33" t="s">
        <v>712</v>
      </c>
      <c r="I383" s="33" t="s">
        <v>82</v>
      </c>
      <c r="J383" s="33">
        <v>448</v>
      </c>
      <c r="K383" s="33">
        <v>1378</v>
      </c>
      <c r="L383" s="33">
        <v>358.05</v>
      </c>
      <c r="M383" s="33" t="s">
        <v>60</v>
      </c>
      <c r="N383" s="33">
        <v>202</v>
      </c>
      <c r="O383" s="33">
        <v>137</v>
      </c>
      <c r="P383" s="33" t="s">
        <v>28</v>
      </c>
      <c r="Q383" s="33">
        <v>0</v>
      </c>
    </row>
    <row r="384" spans="1:17">
      <c r="A384" s="37" t="s">
        <v>1178</v>
      </c>
      <c r="B384" s="37" t="s">
        <v>1179</v>
      </c>
      <c r="C384" s="37" t="s">
        <v>606</v>
      </c>
      <c r="D384" s="37" t="s">
        <v>156</v>
      </c>
      <c r="E384" s="37" t="s">
        <v>157</v>
      </c>
      <c r="F384" s="37" t="s">
        <v>66</v>
      </c>
      <c r="G384" s="37" t="s">
        <v>67</v>
      </c>
      <c r="H384" s="37" t="s">
        <v>68</v>
      </c>
      <c r="I384" s="37" t="s">
        <v>1180</v>
      </c>
      <c r="J384" s="37">
        <v>183</v>
      </c>
      <c r="K384" s="37">
        <v>1078</v>
      </c>
      <c r="L384" s="37">
        <v>638.88</v>
      </c>
      <c r="M384" s="37" t="s">
        <v>60</v>
      </c>
      <c r="N384" s="37">
        <v>160</v>
      </c>
      <c r="O384" s="37">
        <v>144</v>
      </c>
      <c r="P384" s="37" t="s">
        <v>28</v>
      </c>
      <c r="Q384" s="37">
        <v>0</v>
      </c>
    </row>
    <row r="385" spans="1:17">
      <c r="A385" s="33" t="s">
        <v>1181</v>
      </c>
      <c r="B385" s="33" t="s">
        <v>196</v>
      </c>
      <c r="C385" s="33" t="s">
        <v>31</v>
      </c>
      <c r="D385" s="33" t="s">
        <v>23</v>
      </c>
      <c r="E385" s="33" t="s">
        <v>24</v>
      </c>
      <c r="F385" s="33" t="s">
        <v>183</v>
      </c>
      <c r="G385" s="33" t="s">
        <v>184</v>
      </c>
      <c r="H385" s="33" t="s">
        <v>75</v>
      </c>
      <c r="I385" s="33" t="s">
        <v>1182</v>
      </c>
      <c r="J385" s="33">
        <v>169</v>
      </c>
      <c r="K385" s="33">
        <v>736</v>
      </c>
      <c r="L385" s="33">
        <v>214.26</v>
      </c>
      <c r="M385" s="33" t="s">
        <v>60</v>
      </c>
      <c r="N385" s="33">
        <v>273</v>
      </c>
      <c r="O385" s="33">
        <v>219</v>
      </c>
      <c r="P385" s="33" t="s">
        <v>28</v>
      </c>
      <c r="Q385" s="33">
        <v>0</v>
      </c>
    </row>
    <row r="386" spans="1:17">
      <c r="A386" s="37" t="s">
        <v>1183</v>
      </c>
      <c r="B386" s="37" t="s">
        <v>1184</v>
      </c>
      <c r="C386" s="37" t="s">
        <v>20</v>
      </c>
      <c r="D386" s="37" t="s">
        <v>79</v>
      </c>
      <c r="E386" s="37" t="s">
        <v>80</v>
      </c>
      <c r="F386" s="37" t="s">
        <v>64</v>
      </c>
      <c r="G386" s="37" t="s">
        <v>65</v>
      </c>
      <c r="H386" s="37" t="s">
        <v>414</v>
      </c>
      <c r="I386" s="37" t="s">
        <v>1185</v>
      </c>
      <c r="J386" s="37">
        <v>342</v>
      </c>
      <c r="K386" s="37">
        <v>2653</v>
      </c>
      <c r="L386" s="37">
        <v>1053.02</v>
      </c>
      <c r="M386" s="37" t="s">
        <v>44</v>
      </c>
      <c r="N386" s="37">
        <v>146</v>
      </c>
      <c r="O386" s="37">
        <v>115</v>
      </c>
      <c r="P386" s="37" t="s">
        <v>28</v>
      </c>
      <c r="Q386" s="37">
        <v>0</v>
      </c>
    </row>
    <row r="387" spans="1:17">
      <c r="A387" s="33" t="s">
        <v>1186</v>
      </c>
      <c r="B387" s="33" t="s">
        <v>1187</v>
      </c>
      <c r="C387" s="33" t="s">
        <v>63</v>
      </c>
      <c r="D387" s="33" t="s">
        <v>56</v>
      </c>
      <c r="E387" s="33" t="s">
        <v>57</v>
      </c>
      <c r="F387" s="33" t="s">
        <v>32</v>
      </c>
      <c r="G387" s="33" t="s">
        <v>33</v>
      </c>
      <c r="H387" s="33" t="s">
        <v>226</v>
      </c>
      <c r="I387" s="33" t="s">
        <v>1188</v>
      </c>
      <c r="J387" s="33">
        <v>366</v>
      </c>
      <c r="K387" s="33">
        <v>433</v>
      </c>
      <c r="L387" s="33">
        <v>642.77</v>
      </c>
      <c r="M387" s="33" t="s">
        <v>44</v>
      </c>
      <c r="N387" s="33">
        <v>320</v>
      </c>
      <c r="O387" s="33">
        <v>139</v>
      </c>
      <c r="P387" s="33" t="s">
        <v>28</v>
      </c>
      <c r="Q387" s="33">
        <v>0</v>
      </c>
    </row>
    <row r="388" spans="1:17">
      <c r="A388" s="37" t="s">
        <v>1189</v>
      </c>
      <c r="B388" s="37" t="s">
        <v>1190</v>
      </c>
      <c r="C388" s="37" t="s">
        <v>115</v>
      </c>
      <c r="D388" s="37" t="s">
        <v>156</v>
      </c>
      <c r="E388" s="37" t="s">
        <v>157</v>
      </c>
      <c r="F388" s="37" t="s">
        <v>174</v>
      </c>
      <c r="G388" s="37" t="s">
        <v>175</v>
      </c>
      <c r="H388" s="37" t="s">
        <v>252</v>
      </c>
      <c r="I388" s="37" t="s">
        <v>1191</v>
      </c>
      <c r="J388" s="37">
        <v>284</v>
      </c>
      <c r="K388" s="37">
        <v>2679</v>
      </c>
      <c r="L388" s="37">
        <v>192.84</v>
      </c>
      <c r="M388" s="37" t="s">
        <v>44</v>
      </c>
      <c r="N388" s="37">
        <v>256</v>
      </c>
      <c r="O388" s="37">
        <v>116</v>
      </c>
      <c r="P388" s="37" t="s">
        <v>28</v>
      </c>
      <c r="Q388" s="37">
        <v>0</v>
      </c>
    </row>
    <row r="389" spans="1:17">
      <c r="A389" s="33" t="s">
        <v>1192</v>
      </c>
      <c r="B389" s="33" t="s">
        <v>1193</v>
      </c>
      <c r="C389" s="33" t="s">
        <v>31</v>
      </c>
      <c r="D389" s="33" t="s">
        <v>21</v>
      </c>
      <c r="E389" s="33" t="s">
        <v>22</v>
      </c>
      <c r="F389" s="33" t="s">
        <v>116</v>
      </c>
      <c r="G389" s="33" t="s">
        <v>117</v>
      </c>
      <c r="H389" s="33" t="s">
        <v>414</v>
      </c>
      <c r="I389" s="33" t="s">
        <v>539</v>
      </c>
      <c r="J389" s="33">
        <v>277</v>
      </c>
      <c r="K389" s="33">
        <v>1053</v>
      </c>
      <c r="L389" s="33">
        <v>638.62</v>
      </c>
      <c r="M389" s="33" t="s">
        <v>60</v>
      </c>
      <c r="N389" s="33">
        <v>207</v>
      </c>
      <c r="O389" s="33">
        <v>145</v>
      </c>
      <c r="P389" s="33" t="s">
        <v>28</v>
      </c>
      <c r="Q389" s="33">
        <v>0</v>
      </c>
    </row>
    <row r="390" spans="1:17">
      <c r="A390" s="37" t="s">
        <v>1194</v>
      </c>
      <c r="B390" s="37" t="s">
        <v>325</v>
      </c>
      <c r="C390" s="37" t="s">
        <v>192</v>
      </c>
      <c r="D390" s="37" t="s">
        <v>40</v>
      </c>
      <c r="E390" s="37" t="s">
        <v>41</v>
      </c>
      <c r="F390" s="37" t="s">
        <v>38</v>
      </c>
      <c r="G390" s="37" t="s">
        <v>39</v>
      </c>
      <c r="H390" s="37" t="s">
        <v>259</v>
      </c>
      <c r="I390" s="37" t="s">
        <v>1195</v>
      </c>
      <c r="J390" s="37">
        <v>384</v>
      </c>
      <c r="K390" s="37">
        <v>1236</v>
      </c>
      <c r="L390" s="37">
        <v>991.89</v>
      </c>
      <c r="M390" s="37" t="s">
        <v>27</v>
      </c>
      <c r="N390" s="37">
        <v>169</v>
      </c>
      <c r="O390" s="37">
        <v>152</v>
      </c>
      <c r="P390" s="37" t="s">
        <v>28</v>
      </c>
      <c r="Q390" s="37">
        <v>0</v>
      </c>
    </row>
    <row r="391" spans="1:17">
      <c r="A391" s="33" t="s">
        <v>1196</v>
      </c>
      <c r="B391" s="33" t="s">
        <v>1197</v>
      </c>
      <c r="C391" s="33" t="s">
        <v>73</v>
      </c>
      <c r="D391" s="33" t="s">
        <v>183</v>
      </c>
      <c r="E391" s="33" t="s">
        <v>184</v>
      </c>
      <c r="F391" s="33" t="s">
        <v>101</v>
      </c>
      <c r="G391" s="33" t="s">
        <v>102</v>
      </c>
      <c r="H391" s="33" t="s">
        <v>338</v>
      </c>
      <c r="I391" s="33" t="s">
        <v>180</v>
      </c>
      <c r="J391" s="33">
        <v>332</v>
      </c>
      <c r="K391" s="33">
        <v>339</v>
      </c>
      <c r="L391" s="33"/>
      <c r="M391" s="33" t="s">
        <v>44</v>
      </c>
      <c r="N391" s="33">
        <v>134</v>
      </c>
      <c r="O391" s="33">
        <v>130</v>
      </c>
      <c r="P391" s="33" t="s">
        <v>28</v>
      </c>
      <c r="Q391" s="33">
        <v>0</v>
      </c>
    </row>
    <row r="392" spans="1:17">
      <c r="A392" s="37" t="s">
        <v>1198</v>
      </c>
      <c r="B392" s="37" t="s">
        <v>1199</v>
      </c>
      <c r="C392" s="37" t="s">
        <v>115</v>
      </c>
      <c r="D392" s="37" t="s">
        <v>95</v>
      </c>
      <c r="E392" s="37" t="s">
        <v>96</v>
      </c>
      <c r="F392" s="37" t="s">
        <v>21</v>
      </c>
      <c r="G392" s="37" t="s">
        <v>22</v>
      </c>
      <c r="H392" s="37" t="s">
        <v>571</v>
      </c>
      <c r="I392" s="37" t="s">
        <v>1200</v>
      </c>
      <c r="J392" s="37">
        <v>293</v>
      </c>
      <c r="K392" s="37">
        <v>705</v>
      </c>
      <c r="L392" s="37">
        <v>853.41</v>
      </c>
      <c r="M392" s="37" t="s">
        <v>60</v>
      </c>
      <c r="N392" s="37">
        <v>155</v>
      </c>
      <c r="O392" s="37">
        <v>154</v>
      </c>
      <c r="P392" s="37" t="s">
        <v>28</v>
      </c>
      <c r="Q392" s="37">
        <v>0</v>
      </c>
    </row>
    <row r="393" spans="1:17">
      <c r="A393" s="33" t="s">
        <v>1201</v>
      </c>
      <c r="B393" s="33" t="s">
        <v>1202</v>
      </c>
      <c r="C393" s="33" t="s">
        <v>115</v>
      </c>
      <c r="D393" s="33" t="s">
        <v>156</v>
      </c>
      <c r="E393" s="33" t="s">
        <v>157</v>
      </c>
      <c r="F393" s="33" t="s">
        <v>21</v>
      </c>
      <c r="G393" s="33" t="s">
        <v>22</v>
      </c>
      <c r="H393" s="33" t="s">
        <v>162</v>
      </c>
      <c r="I393" s="33" t="s">
        <v>1203</v>
      </c>
      <c r="J393" s="33">
        <v>376</v>
      </c>
      <c r="K393" s="33">
        <v>2583</v>
      </c>
      <c r="L393" s="33">
        <v>1123.67</v>
      </c>
      <c r="M393" s="33" t="s">
        <v>44</v>
      </c>
      <c r="N393" s="33">
        <v>188</v>
      </c>
      <c r="O393" s="33">
        <v>55</v>
      </c>
      <c r="P393" s="33" t="s">
        <v>28</v>
      </c>
      <c r="Q393" s="33">
        <v>0</v>
      </c>
    </row>
    <row r="394" spans="1:17">
      <c r="A394" s="37" t="s">
        <v>1204</v>
      </c>
      <c r="B394" s="37" t="s">
        <v>1205</v>
      </c>
      <c r="C394" s="37" t="s">
        <v>31</v>
      </c>
      <c r="D394" s="37" t="s">
        <v>54</v>
      </c>
      <c r="E394" s="37" t="s">
        <v>74</v>
      </c>
      <c r="F394" s="37" t="s">
        <v>48</v>
      </c>
      <c r="G394" s="37" t="s">
        <v>49</v>
      </c>
      <c r="H394" s="37" t="s">
        <v>223</v>
      </c>
      <c r="I394" s="37" t="s">
        <v>1206</v>
      </c>
      <c r="J394" s="37">
        <v>235</v>
      </c>
      <c r="K394" s="37">
        <v>1754</v>
      </c>
      <c r="L394" s="37">
        <v>444.1</v>
      </c>
      <c r="M394" s="37" t="s">
        <v>27</v>
      </c>
      <c r="N394" s="37">
        <v>224</v>
      </c>
      <c r="O394" s="37">
        <v>164</v>
      </c>
      <c r="P394" s="37" t="s">
        <v>70</v>
      </c>
      <c r="Q394" s="37">
        <v>112</v>
      </c>
    </row>
    <row r="395" spans="1:17">
      <c r="A395" s="33" t="s">
        <v>1207</v>
      </c>
      <c r="B395" s="33" t="s">
        <v>1208</v>
      </c>
      <c r="C395" s="33" t="s">
        <v>115</v>
      </c>
      <c r="D395" s="33" t="s">
        <v>101</v>
      </c>
      <c r="E395" s="33" t="s">
        <v>102</v>
      </c>
      <c r="F395" s="33" t="s">
        <v>183</v>
      </c>
      <c r="G395" s="33" t="s">
        <v>184</v>
      </c>
      <c r="H395" s="33" t="s">
        <v>393</v>
      </c>
      <c r="I395" s="33" t="s">
        <v>1209</v>
      </c>
      <c r="J395" s="33">
        <v>305</v>
      </c>
      <c r="K395" s="33">
        <v>2885</v>
      </c>
      <c r="L395" s="33">
        <v>765.79</v>
      </c>
      <c r="M395" s="33"/>
      <c r="N395" s="33">
        <v>317</v>
      </c>
      <c r="O395" s="33">
        <v>86</v>
      </c>
      <c r="P395" s="33" t="s">
        <v>28</v>
      </c>
      <c r="Q395" s="33">
        <v>0</v>
      </c>
    </row>
    <row r="396" spans="1:17">
      <c r="A396" s="37" t="s">
        <v>1210</v>
      </c>
      <c r="B396" s="37" t="s">
        <v>1211</v>
      </c>
      <c r="C396" s="37" t="s">
        <v>31</v>
      </c>
      <c r="D396" s="37" t="s">
        <v>156</v>
      </c>
      <c r="E396" s="37" t="s">
        <v>157</v>
      </c>
      <c r="F396" s="37" t="s">
        <v>64</v>
      </c>
      <c r="G396" s="37" t="s">
        <v>65</v>
      </c>
      <c r="H396" s="37" t="s">
        <v>393</v>
      </c>
      <c r="I396" s="37" t="s">
        <v>1212</v>
      </c>
      <c r="J396" s="37">
        <v>453</v>
      </c>
      <c r="K396" s="37">
        <v>1395</v>
      </c>
      <c r="L396" s="37">
        <v>758.03</v>
      </c>
      <c r="M396" s="37" t="s">
        <v>44</v>
      </c>
      <c r="N396" s="37">
        <v>169</v>
      </c>
      <c r="O396" s="37">
        <v>163</v>
      </c>
      <c r="P396" s="37" t="s">
        <v>28</v>
      </c>
      <c r="Q396" s="37">
        <v>0</v>
      </c>
    </row>
    <row r="397" spans="1:17">
      <c r="A397" s="33" t="s">
        <v>1213</v>
      </c>
      <c r="B397" s="33" t="s">
        <v>1214</v>
      </c>
      <c r="C397" s="33" t="s">
        <v>115</v>
      </c>
      <c r="D397" s="33" t="s">
        <v>129</v>
      </c>
      <c r="E397" s="33" t="s">
        <v>130</v>
      </c>
      <c r="F397" s="33" t="s">
        <v>38</v>
      </c>
      <c r="G397" s="33" t="s">
        <v>39</v>
      </c>
      <c r="H397" s="33" t="s">
        <v>103</v>
      </c>
      <c r="I397" s="33" t="s">
        <v>1215</v>
      </c>
      <c r="J397" s="33">
        <v>154</v>
      </c>
      <c r="K397" s="33">
        <v>1261</v>
      </c>
      <c r="L397" s="33"/>
      <c r="M397" s="33" t="s">
        <v>27</v>
      </c>
      <c r="N397" s="33">
        <v>279</v>
      </c>
      <c r="O397" s="33">
        <v>241</v>
      </c>
      <c r="P397" s="33" t="s">
        <v>28</v>
      </c>
      <c r="Q397" s="33"/>
    </row>
    <row r="398" spans="1:17">
      <c r="A398" s="37" t="s">
        <v>1216</v>
      </c>
      <c r="B398" s="37" t="s">
        <v>1217</v>
      </c>
      <c r="C398" s="37" t="s">
        <v>73</v>
      </c>
      <c r="D398" s="37" t="s">
        <v>197</v>
      </c>
      <c r="E398" s="37" t="s">
        <v>198</v>
      </c>
      <c r="F398" s="37" t="s">
        <v>101</v>
      </c>
      <c r="G398" s="37" t="s">
        <v>102</v>
      </c>
      <c r="H398" s="37" t="s">
        <v>170</v>
      </c>
      <c r="I398" s="37" t="s">
        <v>1218</v>
      </c>
      <c r="J398" s="37">
        <v>370</v>
      </c>
      <c r="K398" s="37">
        <v>520</v>
      </c>
      <c r="L398" s="37">
        <v>109.53</v>
      </c>
      <c r="M398" s="37" t="s">
        <v>44</v>
      </c>
      <c r="N398" s="37">
        <v>234</v>
      </c>
      <c r="O398" s="37">
        <v>71</v>
      </c>
      <c r="P398" s="37" t="s">
        <v>28</v>
      </c>
      <c r="Q398" s="37">
        <v>0</v>
      </c>
    </row>
    <row r="399" spans="1:17">
      <c r="A399" s="33" t="s">
        <v>1219</v>
      </c>
      <c r="B399" s="33" t="s">
        <v>1220</v>
      </c>
      <c r="C399" s="33" t="s">
        <v>94</v>
      </c>
      <c r="D399" s="33" t="s">
        <v>66</v>
      </c>
      <c r="E399" s="33" t="s">
        <v>67</v>
      </c>
      <c r="F399" s="33" t="s">
        <v>95</v>
      </c>
      <c r="G399" s="33" t="s">
        <v>96</v>
      </c>
      <c r="H399" s="33" t="s">
        <v>25</v>
      </c>
      <c r="I399" s="33" t="s">
        <v>26</v>
      </c>
      <c r="J399" s="33">
        <v>467</v>
      </c>
      <c r="K399" s="33">
        <v>1463</v>
      </c>
      <c r="L399" s="33">
        <v>576.34</v>
      </c>
      <c r="M399" s="33" t="s">
        <v>60</v>
      </c>
      <c r="N399" s="33">
        <v>133</v>
      </c>
      <c r="O399" s="33">
        <v>117</v>
      </c>
      <c r="P399" s="33" t="s">
        <v>70</v>
      </c>
      <c r="Q399" s="33">
        <v>22</v>
      </c>
    </row>
    <row r="400" spans="1:17">
      <c r="A400" s="37" t="s">
        <v>1221</v>
      </c>
      <c r="B400" s="37" t="s">
        <v>1222</v>
      </c>
      <c r="C400" s="37" t="s">
        <v>47</v>
      </c>
      <c r="D400" s="37" t="s">
        <v>156</v>
      </c>
      <c r="E400" s="37" t="s">
        <v>157</v>
      </c>
      <c r="F400" s="37" t="s">
        <v>116</v>
      </c>
      <c r="G400" s="37" t="s">
        <v>117</v>
      </c>
      <c r="H400" s="37" t="s">
        <v>361</v>
      </c>
      <c r="I400" s="37" t="s">
        <v>1223</v>
      </c>
      <c r="J400" s="37">
        <v>370</v>
      </c>
      <c r="K400" s="37">
        <v>2122</v>
      </c>
      <c r="L400" s="37">
        <v>231.33</v>
      </c>
      <c r="M400" s="37" t="s">
        <v>27</v>
      </c>
      <c r="N400" s="37">
        <v>238</v>
      </c>
      <c r="O400" s="37">
        <v>95</v>
      </c>
      <c r="P400" s="37" t="s">
        <v>28</v>
      </c>
      <c r="Q400" s="37">
        <v>0</v>
      </c>
    </row>
    <row r="401" spans="1:17">
      <c r="A401" s="33" t="s">
        <v>1224</v>
      </c>
      <c r="B401" s="33" t="s">
        <v>651</v>
      </c>
      <c r="C401" s="33" t="s">
        <v>73</v>
      </c>
      <c r="D401" s="33" t="s">
        <v>116</v>
      </c>
      <c r="E401" s="33" t="s">
        <v>117</v>
      </c>
      <c r="F401" s="33" t="s">
        <v>54</v>
      </c>
      <c r="G401" s="33" t="s">
        <v>74</v>
      </c>
      <c r="H401" s="33" t="s">
        <v>283</v>
      </c>
      <c r="I401" s="33" t="s">
        <v>1225</v>
      </c>
      <c r="J401" s="33">
        <v>336</v>
      </c>
      <c r="K401" s="33">
        <v>2510</v>
      </c>
      <c r="L401" s="33">
        <v>334.38</v>
      </c>
      <c r="M401" s="33" t="s">
        <v>60</v>
      </c>
      <c r="N401" s="33">
        <v>213</v>
      </c>
      <c r="O401" s="33">
        <v>128</v>
      </c>
      <c r="P401" s="33" t="s">
        <v>28</v>
      </c>
      <c r="Q401" s="33">
        <v>0</v>
      </c>
    </row>
    <row r="402" spans="1:17">
      <c r="A402" s="37" t="s">
        <v>1226</v>
      </c>
      <c r="B402" s="37" t="s">
        <v>1227</v>
      </c>
      <c r="C402" s="37" t="s">
        <v>63</v>
      </c>
      <c r="D402" s="37" t="s">
        <v>95</v>
      </c>
      <c r="E402" s="37" t="s">
        <v>96</v>
      </c>
      <c r="F402" s="37" t="s">
        <v>174</v>
      </c>
      <c r="G402" s="37" t="s">
        <v>175</v>
      </c>
      <c r="H402" s="37" t="s">
        <v>252</v>
      </c>
      <c r="I402" s="37" t="s">
        <v>1228</v>
      </c>
      <c r="J402" s="37">
        <v>266</v>
      </c>
      <c r="K402" s="37">
        <v>1474</v>
      </c>
      <c r="L402" s="37">
        <v>605.5</v>
      </c>
      <c r="M402" s="37" t="s">
        <v>60</v>
      </c>
      <c r="N402" s="37">
        <v>276</v>
      </c>
      <c r="O402" s="37">
        <v>175</v>
      </c>
      <c r="P402" s="37" t="s">
        <v>149</v>
      </c>
      <c r="Q402" s="37">
        <v>0</v>
      </c>
    </row>
    <row r="403" spans="1:17">
      <c r="A403" s="33" t="s">
        <v>1229</v>
      </c>
      <c r="B403" s="33" t="s">
        <v>1230</v>
      </c>
      <c r="C403" s="33" t="s">
        <v>192</v>
      </c>
      <c r="D403" s="33" t="s">
        <v>174</v>
      </c>
      <c r="E403" s="33" t="s">
        <v>175</v>
      </c>
      <c r="F403" s="33" t="s">
        <v>40</v>
      </c>
      <c r="G403" s="33" t="s">
        <v>41</v>
      </c>
      <c r="H403" s="33" t="s">
        <v>143</v>
      </c>
      <c r="I403" s="33" t="s">
        <v>1231</v>
      </c>
      <c r="J403" s="33">
        <v>93</v>
      </c>
      <c r="K403" s="33">
        <v>2545</v>
      </c>
      <c r="L403" s="33">
        <v>498.48</v>
      </c>
      <c r="M403" s="33"/>
      <c r="N403" s="33">
        <v>325</v>
      </c>
      <c r="O403" s="33">
        <v>273</v>
      </c>
      <c r="P403" s="33" t="s">
        <v>28</v>
      </c>
      <c r="Q403" s="33">
        <v>0</v>
      </c>
    </row>
    <row r="404" spans="1:17">
      <c r="A404" s="37" t="s">
        <v>1232</v>
      </c>
      <c r="B404" s="37" t="s">
        <v>1233</v>
      </c>
      <c r="C404" s="37" t="s">
        <v>73</v>
      </c>
      <c r="D404" s="37" t="s">
        <v>66</v>
      </c>
      <c r="E404" s="37" t="s">
        <v>67</v>
      </c>
      <c r="F404" s="37" t="s">
        <v>23</v>
      </c>
      <c r="G404" s="37" t="s">
        <v>24</v>
      </c>
      <c r="H404" s="37" t="s">
        <v>378</v>
      </c>
      <c r="I404" s="37" t="s">
        <v>1234</v>
      </c>
      <c r="J404" s="37">
        <v>306</v>
      </c>
      <c r="K404" s="37">
        <v>2861</v>
      </c>
      <c r="L404" s="37">
        <v>348.31</v>
      </c>
      <c r="M404" s="37" t="s">
        <v>27</v>
      </c>
      <c r="N404" s="37">
        <v>306</v>
      </c>
      <c r="O404" s="37">
        <v>189</v>
      </c>
      <c r="P404" s="37" t="s">
        <v>28</v>
      </c>
      <c r="Q404" s="37">
        <v>0</v>
      </c>
    </row>
    <row r="405" spans="1:17">
      <c r="A405" s="33" t="s">
        <v>1235</v>
      </c>
      <c r="B405" s="33" t="s">
        <v>1236</v>
      </c>
      <c r="C405" s="33" t="s">
        <v>705</v>
      </c>
      <c r="D405" s="33" t="s">
        <v>129</v>
      </c>
      <c r="E405" s="33" t="s">
        <v>130</v>
      </c>
      <c r="F405" s="33" t="s">
        <v>183</v>
      </c>
      <c r="G405" s="33" t="s">
        <v>184</v>
      </c>
      <c r="H405" s="33" t="s">
        <v>147</v>
      </c>
      <c r="I405" s="33" t="s">
        <v>907</v>
      </c>
      <c r="J405" s="33">
        <v>159</v>
      </c>
      <c r="K405" s="33">
        <v>1486</v>
      </c>
      <c r="L405" s="33">
        <v>203.6</v>
      </c>
      <c r="M405" s="33" t="s">
        <v>44</v>
      </c>
      <c r="N405" s="33">
        <v>258</v>
      </c>
      <c r="O405" s="33">
        <v>165</v>
      </c>
      <c r="P405" s="33" t="s">
        <v>28</v>
      </c>
      <c r="Q405" s="33">
        <v>0</v>
      </c>
    </row>
    <row r="406" spans="1:17">
      <c r="A406" s="37" t="s">
        <v>1237</v>
      </c>
      <c r="B406" s="37" t="s">
        <v>1238</v>
      </c>
      <c r="C406" s="37" t="s">
        <v>31</v>
      </c>
      <c r="D406" s="37" t="s">
        <v>156</v>
      </c>
      <c r="E406" s="37" t="s">
        <v>157</v>
      </c>
      <c r="F406" s="37" t="s">
        <v>174</v>
      </c>
      <c r="G406" s="37" t="s">
        <v>175</v>
      </c>
      <c r="H406" s="37" t="s">
        <v>403</v>
      </c>
      <c r="I406" s="37" t="s">
        <v>1239</v>
      </c>
      <c r="J406" s="37">
        <v>363</v>
      </c>
      <c r="K406" s="37">
        <v>390</v>
      </c>
      <c r="L406" s="37">
        <v>288.25</v>
      </c>
      <c r="M406" s="37" t="s">
        <v>60</v>
      </c>
      <c r="N406" s="37">
        <v>172</v>
      </c>
      <c r="O406" s="37">
        <v>84</v>
      </c>
      <c r="P406" s="37" t="s">
        <v>28</v>
      </c>
      <c r="Q406" s="37">
        <v>0</v>
      </c>
    </row>
    <row r="407" spans="1:17">
      <c r="A407" s="33" t="s">
        <v>1240</v>
      </c>
      <c r="B407" s="33" t="s">
        <v>1241</v>
      </c>
      <c r="C407" s="33" t="s">
        <v>20</v>
      </c>
      <c r="D407" s="33" t="s">
        <v>23</v>
      </c>
      <c r="E407" s="33" t="s">
        <v>24</v>
      </c>
      <c r="F407" s="33" t="s">
        <v>54</v>
      </c>
      <c r="G407" s="33" t="s">
        <v>55</v>
      </c>
      <c r="H407" s="33" t="s">
        <v>403</v>
      </c>
      <c r="I407" s="33" t="s">
        <v>1242</v>
      </c>
      <c r="J407" s="33">
        <v>342</v>
      </c>
      <c r="K407" s="33">
        <v>1189</v>
      </c>
      <c r="L407" s="33">
        <v>462.94</v>
      </c>
      <c r="M407" s="33" t="s">
        <v>44</v>
      </c>
      <c r="N407" s="33">
        <v>301</v>
      </c>
      <c r="O407" s="33">
        <v>254</v>
      </c>
      <c r="P407" s="33" t="s">
        <v>28</v>
      </c>
      <c r="Q407" s="33">
        <v>0</v>
      </c>
    </row>
    <row r="408" spans="1:17">
      <c r="A408" s="37" t="s">
        <v>1243</v>
      </c>
      <c r="B408" s="37" t="s">
        <v>381</v>
      </c>
      <c r="C408" s="37" t="s">
        <v>115</v>
      </c>
      <c r="D408" s="37" t="s">
        <v>56</v>
      </c>
      <c r="E408" s="37" t="s">
        <v>57</v>
      </c>
      <c r="F408" s="37" t="s">
        <v>64</v>
      </c>
      <c r="G408" s="37" t="s">
        <v>65</v>
      </c>
      <c r="H408" s="37" t="s">
        <v>147</v>
      </c>
      <c r="I408" s="37" t="s">
        <v>421</v>
      </c>
      <c r="J408" s="37">
        <v>118</v>
      </c>
      <c r="K408" s="37">
        <v>1391</v>
      </c>
      <c r="L408" s="37">
        <v>948.73</v>
      </c>
      <c r="M408" s="37" t="s">
        <v>60</v>
      </c>
      <c r="N408" s="37">
        <v>239</v>
      </c>
      <c r="O408" s="37">
        <v>170</v>
      </c>
      <c r="P408" s="37" t="s">
        <v>28</v>
      </c>
      <c r="Q408" s="37">
        <v>0</v>
      </c>
    </row>
    <row r="409" spans="1:17">
      <c r="A409" s="33" t="s">
        <v>1244</v>
      </c>
      <c r="B409" s="33" t="s">
        <v>1245</v>
      </c>
      <c r="C409" s="33" t="s">
        <v>73</v>
      </c>
      <c r="D409" s="33" t="s">
        <v>174</v>
      </c>
      <c r="E409" s="33" t="s">
        <v>175</v>
      </c>
      <c r="F409" s="33" t="s">
        <v>101</v>
      </c>
      <c r="G409" s="33" t="s">
        <v>102</v>
      </c>
      <c r="H409" s="33" t="s">
        <v>600</v>
      </c>
      <c r="I409" s="33" t="s">
        <v>1246</v>
      </c>
      <c r="J409" s="33">
        <v>287</v>
      </c>
      <c r="K409" s="33">
        <v>2114</v>
      </c>
      <c r="L409" s="33"/>
      <c r="M409" s="33" t="s">
        <v>60</v>
      </c>
      <c r="N409" s="33">
        <v>150</v>
      </c>
      <c r="O409" s="33">
        <v>108</v>
      </c>
      <c r="P409" s="33" t="s">
        <v>70</v>
      </c>
      <c r="Q409" s="33">
        <v>39</v>
      </c>
    </row>
    <row r="410" spans="1:17">
      <c r="A410" s="37" t="s">
        <v>1247</v>
      </c>
      <c r="B410" s="37" t="s">
        <v>1161</v>
      </c>
      <c r="C410" s="37" t="s">
        <v>31</v>
      </c>
      <c r="D410" s="37" t="s">
        <v>79</v>
      </c>
      <c r="E410" s="37" t="s">
        <v>80</v>
      </c>
      <c r="F410" s="37" t="s">
        <v>66</v>
      </c>
      <c r="G410" s="37" t="s">
        <v>67</v>
      </c>
      <c r="H410" s="37" t="s">
        <v>216</v>
      </c>
      <c r="I410" s="37" t="s">
        <v>50</v>
      </c>
      <c r="J410" s="37">
        <v>255</v>
      </c>
      <c r="K410" s="37">
        <v>949</v>
      </c>
      <c r="L410" s="37">
        <v>784.66</v>
      </c>
      <c r="M410" s="37" t="s">
        <v>60</v>
      </c>
      <c r="N410" s="37">
        <v>290</v>
      </c>
      <c r="O410" s="37">
        <v>289</v>
      </c>
      <c r="P410" s="37" t="s">
        <v>28</v>
      </c>
      <c r="Q410" s="37">
        <v>0</v>
      </c>
    </row>
    <row r="411" spans="1:17">
      <c r="A411" s="33" t="s">
        <v>1248</v>
      </c>
      <c r="B411" s="33" t="s">
        <v>1249</v>
      </c>
      <c r="C411" s="33" t="s">
        <v>705</v>
      </c>
      <c r="D411" s="33" t="s">
        <v>79</v>
      </c>
      <c r="E411" s="33" t="s">
        <v>80</v>
      </c>
      <c r="F411" s="33" t="s">
        <v>95</v>
      </c>
      <c r="G411" s="33" t="s">
        <v>96</v>
      </c>
      <c r="H411" s="33" t="s">
        <v>68</v>
      </c>
      <c r="I411" s="33" t="s">
        <v>1250</v>
      </c>
      <c r="J411" s="33">
        <v>116</v>
      </c>
      <c r="K411" s="33">
        <v>1192</v>
      </c>
      <c r="L411" s="33"/>
      <c r="M411" s="33" t="s">
        <v>60</v>
      </c>
      <c r="N411" s="33">
        <v>262</v>
      </c>
      <c r="O411" s="33">
        <v>161</v>
      </c>
      <c r="P411" s="33" t="s">
        <v>28</v>
      </c>
      <c r="Q411" s="33">
        <v>0</v>
      </c>
    </row>
    <row r="412" spans="1:17">
      <c r="A412" s="37" t="s">
        <v>1251</v>
      </c>
      <c r="B412" s="37" t="s">
        <v>1252</v>
      </c>
      <c r="C412" s="37" t="s">
        <v>192</v>
      </c>
      <c r="D412" s="37" t="s">
        <v>54</v>
      </c>
      <c r="E412" s="37" t="s">
        <v>74</v>
      </c>
      <c r="F412" s="37" t="s">
        <v>197</v>
      </c>
      <c r="G412" s="37" t="s">
        <v>198</v>
      </c>
      <c r="H412" s="37" t="s">
        <v>279</v>
      </c>
      <c r="I412" s="37" t="s">
        <v>1253</v>
      </c>
      <c r="J412" s="37">
        <v>94</v>
      </c>
      <c r="K412" s="37">
        <v>472</v>
      </c>
      <c r="L412" s="37">
        <v>730.81</v>
      </c>
      <c r="M412" s="37" t="s">
        <v>27</v>
      </c>
      <c r="N412" s="37">
        <v>221</v>
      </c>
      <c r="O412" s="37">
        <v>202</v>
      </c>
      <c r="P412" s="37" t="s">
        <v>28</v>
      </c>
      <c r="Q412" s="37">
        <v>0</v>
      </c>
    </row>
    <row r="413" spans="1:17">
      <c r="A413" s="33" t="s">
        <v>1254</v>
      </c>
      <c r="B413" s="33" t="s">
        <v>1255</v>
      </c>
      <c r="C413" s="33" t="s">
        <v>31</v>
      </c>
      <c r="D413" s="33" t="s">
        <v>38</v>
      </c>
      <c r="E413" s="33" t="s">
        <v>39</v>
      </c>
      <c r="F413" s="33" t="s">
        <v>116</v>
      </c>
      <c r="G413" s="33" t="s">
        <v>117</v>
      </c>
      <c r="H413" s="33" t="s">
        <v>230</v>
      </c>
      <c r="I413" s="33" t="s">
        <v>1256</v>
      </c>
      <c r="J413" s="33">
        <v>478</v>
      </c>
      <c r="K413" s="33">
        <v>2860</v>
      </c>
      <c r="L413" s="33">
        <v>147.26</v>
      </c>
      <c r="M413" s="33" t="s">
        <v>44</v>
      </c>
      <c r="N413" s="33">
        <v>265</v>
      </c>
      <c r="O413" s="33">
        <v>89</v>
      </c>
      <c r="P413" s="33" t="s">
        <v>70</v>
      </c>
      <c r="Q413" s="33">
        <v>42</v>
      </c>
    </row>
    <row r="414" spans="1:17">
      <c r="A414" s="37" t="s">
        <v>1257</v>
      </c>
      <c r="B414" s="37" t="s">
        <v>1258</v>
      </c>
      <c r="C414" s="37" t="s">
        <v>115</v>
      </c>
      <c r="D414" s="37" t="s">
        <v>23</v>
      </c>
      <c r="E414" s="37" t="s">
        <v>24</v>
      </c>
      <c r="F414" s="37" t="s">
        <v>64</v>
      </c>
      <c r="G414" s="37" t="s">
        <v>65</v>
      </c>
      <c r="H414" s="37" t="s">
        <v>528</v>
      </c>
      <c r="I414" s="37" t="s">
        <v>780</v>
      </c>
      <c r="J414" s="37">
        <v>314</v>
      </c>
      <c r="K414" s="37">
        <v>1090</v>
      </c>
      <c r="L414" s="37">
        <v>103.92</v>
      </c>
      <c r="M414" s="37" t="s">
        <v>44</v>
      </c>
      <c r="N414" s="37">
        <v>191</v>
      </c>
      <c r="O414" s="37">
        <v>84</v>
      </c>
      <c r="P414" s="37" t="s">
        <v>28</v>
      </c>
      <c r="Q414" s="37">
        <v>0</v>
      </c>
    </row>
    <row r="415" spans="1:17">
      <c r="A415" s="33" t="s">
        <v>1259</v>
      </c>
      <c r="B415" s="33" t="s">
        <v>1260</v>
      </c>
      <c r="C415" s="33" t="s">
        <v>115</v>
      </c>
      <c r="D415" s="33" t="s">
        <v>40</v>
      </c>
      <c r="E415" s="33" t="s">
        <v>41</v>
      </c>
      <c r="F415" s="33" t="s">
        <v>54</v>
      </c>
      <c r="G415" s="33" t="s">
        <v>74</v>
      </c>
      <c r="H415" s="33" t="s">
        <v>210</v>
      </c>
      <c r="I415" s="33" t="s">
        <v>1261</v>
      </c>
      <c r="J415" s="33">
        <v>187</v>
      </c>
      <c r="K415" s="33">
        <v>2621</v>
      </c>
      <c r="L415" s="33">
        <v>289.02</v>
      </c>
      <c r="M415" s="33" t="s">
        <v>44</v>
      </c>
      <c r="N415" s="33">
        <v>182</v>
      </c>
      <c r="O415" s="33">
        <v>169</v>
      </c>
      <c r="P415" s="33" t="s">
        <v>28</v>
      </c>
      <c r="Q415" s="33">
        <v>0</v>
      </c>
    </row>
    <row r="416" spans="1:17">
      <c r="A416" s="37" t="s">
        <v>1262</v>
      </c>
      <c r="B416" s="37" t="s">
        <v>1263</v>
      </c>
      <c r="C416" s="37" t="s">
        <v>94</v>
      </c>
      <c r="D416" s="37" t="s">
        <v>116</v>
      </c>
      <c r="E416" s="37" t="s">
        <v>117</v>
      </c>
      <c r="F416" s="37" t="s">
        <v>101</v>
      </c>
      <c r="G416" s="37" t="s">
        <v>102</v>
      </c>
      <c r="H416" s="37" t="s">
        <v>361</v>
      </c>
      <c r="I416" s="37" t="s">
        <v>1264</v>
      </c>
      <c r="J416" s="37">
        <v>224</v>
      </c>
      <c r="K416" s="37">
        <v>2518</v>
      </c>
      <c r="L416" s="37">
        <v>491.17</v>
      </c>
      <c r="M416" s="37" t="s">
        <v>60</v>
      </c>
      <c r="N416" s="37">
        <v>298</v>
      </c>
      <c r="O416" s="37">
        <v>213</v>
      </c>
      <c r="P416" s="37" t="s">
        <v>28</v>
      </c>
      <c r="Q416" s="37">
        <v>0</v>
      </c>
    </row>
    <row r="417" spans="1:17">
      <c r="A417" s="33" t="s">
        <v>1265</v>
      </c>
      <c r="B417" s="33" t="s">
        <v>286</v>
      </c>
      <c r="C417" s="33" t="s">
        <v>20</v>
      </c>
      <c r="D417" s="33" t="s">
        <v>48</v>
      </c>
      <c r="E417" s="33" t="s">
        <v>49</v>
      </c>
      <c r="F417" s="33" t="s">
        <v>64</v>
      </c>
      <c r="G417" s="33" t="s">
        <v>65</v>
      </c>
      <c r="H417" s="33" t="s">
        <v>494</v>
      </c>
      <c r="I417" s="33" t="s">
        <v>1266</v>
      </c>
      <c r="J417" s="33">
        <v>254</v>
      </c>
      <c r="K417" s="33">
        <v>559</v>
      </c>
      <c r="L417" s="33">
        <v>817.28</v>
      </c>
      <c r="M417" s="33" t="s">
        <v>27</v>
      </c>
      <c r="N417" s="33">
        <v>309</v>
      </c>
      <c r="O417" s="33">
        <v>248</v>
      </c>
      <c r="P417" s="33" t="s">
        <v>28</v>
      </c>
      <c r="Q417" s="33">
        <v>0</v>
      </c>
    </row>
    <row r="418" spans="1:17">
      <c r="A418" s="37" t="s">
        <v>1267</v>
      </c>
      <c r="B418" s="37" t="s">
        <v>1268</v>
      </c>
      <c r="C418" s="37" t="s">
        <v>63</v>
      </c>
      <c r="D418" s="37" t="s">
        <v>48</v>
      </c>
      <c r="E418" s="37" t="s">
        <v>49</v>
      </c>
      <c r="F418" s="37" t="s">
        <v>95</v>
      </c>
      <c r="G418" s="37" t="s">
        <v>96</v>
      </c>
      <c r="H418" s="37" t="s">
        <v>248</v>
      </c>
      <c r="I418" s="37" t="s">
        <v>323</v>
      </c>
      <c r="J418" s="37">
        <v>418</v>
      </c>
      <c r="K418" s="37">
        <v>1619</v>
      </c>
      <c r="L418" s="37">
        <v>203.72</v>
      </c>
      <c r="M418" s="37" t="s">
        <v>27</v>
      </c>
      <c r="N418" s="37">
        <v>268</v>
      </c>
      <c r="O418" s="37">
        <v>67</v>
      </c>
      <c r="P418" s="37" t="s">
        <v>28</v>
      </c>
      <c r="Q418" s="37">
        <v>0</v>
      </c>
    </row>
    <row r="419" spans="1:17">
      <c r="A419" s="33" t="s">
        <v>1269</v>
      </c>
      <c r="B419" s="33" t="s">
        <v>1270</v>
      </c>
      <c r="C419" s="33" t="s">
        <v>63</v>
      </c>
      <c r="D419" s="33" t="s">
        <v>56</v>
      </c>
      <c r="E419" s="33" t="s">
        <v>57</v>
      </c>
      <c r="F419" s="33" t="s">
        <v>23</v>
      </c>
      <c r="G419" s="33" t="s">
        <v>24</v>
      </c>
      <c r="H419" s="33" t="s">
        <v>406</v>
      </c>
      <c r="I419" s="33" t="s">
        <v>756</v>
      </c>
      <c r="J419" s="33">
        <v>188</v>
      </c>
      <c r="K419" s="33">
        <v>704</v>
      </c>
      <c r="L419" s="33">
        <v>115.64</v>
      </c>
      <c r="M419" s="33"/>
      <c r="N419" s="33">
        <v>314</v>
      </c>
      <c r="O419" s="33">
        <v>248</v>
      </c>
      <c r="P419" s="33" t="s">
        <v>70</v>
      </c>
      <c r="Q419" s="33">
        <v>149</v>
      </c>
    </row>
    <row r="420" spans="1:17">
      <c r="A420" s="37" t="s">
        <v>1271</v>
      </c>
      <c r="B420" s="37" t="s">
        <v>1272</v>
      </c>
      <c r="C420" s="37" t="s">
        <v>20</v>
      </c>
      <c r="D420" s="37" t="s">
        <v>64</v>
      </c>
      <c r="E420" s="37" t="s">
        <v>65</v>
      </c>
      <c r="F420" s="37" t="s">
        <v>23</v>
      </c>
      <c r="G420" s="37" t="s">
        <v>24</v>
      </c>
      <c r="H420" s="37" t="s">
        <v>34</v>
      </c>
      <c r="I420" s="37" t="s">
        <v>1273</v>
      </c>
      <c r="J420" s="37">
        <v>96</v>
      </c>
      <c r="K420" s="37">
        <v>1154</v>
      </c>
      <c r="L420" s="37">
        <v>814.44</v>
      </c>
      <c r="M420" s="37" t="s">
        <v>60</v>
      </c>
      <c r="N420" s="37">
        <v>219</v>
      </c>
      <c r="O420" s="37">
        <v>213</v>
      </c>
      <c r="P420" s="37" t="s">
        <v>28</v>
      </c>
      <c r="Q420" s="37">
        <v>0</v>
      </c>
    </row>
    <row r="421" spans="1:17">
      <c r="A421" s="33" t="s">
        <v>1274</v>
      </c>
      <c r="B421" s="33" t="s">
        <v>1078</v>
      </c>
      <c r="C421" s="33" t="s">
        <v>47</v>
      </c>
      <c r="D421" s="33" t="s">
        <v>56</v>
      </c>
      <c r="E421" s="33" t="s">
        <v>57</v>
      </c>
      <c r="F421" s="33" t="s">
        <v>95</v>
      </c>
      <c r="G421" s="33" t="s">
        <v>96</v>
      </c>
      <c r="H421" s="33" t="s">
        <v>712</v>
      </c>
      <c r="I421" s="33" t="s">
        <v>275</v>
      </c>
      <c r="J421" s="33">
        <v>465</v>
      </c>
      <c r="K421" s="33">
        <v>588</v>
      </c>
      <c r="L421" s="33">
        <v>1014.59</v>
      </c>
      <c r="M421" s="33" t="s">
        <v>60</v>
      </c>
      <c r="N421" s="33">
        <v>341</v>
      </c>
      <c r="O421" s="33">
        <v>160</v>
      </c>
      <c r="P421" s="33" t="s">
        <v>149</v>
      </c>
      <c r="Q421" s="33">
        <v>0</v>
      </c>
    </row>
    <row r="422" spans="1:17">
      <c r="A422" s="37" t="s">
        <v>1275</v>
      </c>
      <c r="B422" s="37" t="s">
        <v>1276</v>
      </c>
      <c r="C422" s="37" t="s">
        <v>94</v>
      </c>
      <c r="D422" s="37" t="s">
        <v>23</v>
      </c>
      <c r="E422" s="37" t="s">
        <v>24</v>
      </c>
      <c r="F422" s="37" t="s">
        <v>54</v>
      </c>
      <c r="G422" s="37" t="s">
        <v>74</v>
      </c>
      <c r="H422" s="37" t="s">
        <v>279</v>
      </c>
      <c r="I422" s="37" t="s">
        <v>610</v>
      </c>
      <c r="J422" s="37">
        <v>188</v>
      </c>
      <c r="K422" s="37">
        <v>2455</v>
      </c>
      <c r="L422" s="37">
        <v>815.7</v>
      </c>
      <c r="M422" s="37" t="s">
        <v>27</v>
      </c>
      <c r="N422" s="37">
        <v>260</v>
      </c>
      <c r="O422" s="37">
        <v>95</v>
      </c>
      <c r="P422" s="37" t="s">
        <v>28</v>
      </c>
      <c r="Q422" s="37">
        <v>0</v>
      </c>
    </row>
    <row r="423" spans="1:17">
      <c r="A423" s="33" t="s">
        <v>1277</v>
      </c>
      <c r="B423" s="33" t="s">
        <v>1278</v>
      </c>
      <c r="C423" s="33" t="s">
        <v>94</v>
      </c>
      <c r="D423" s="33" t="s">
        <v>54</v>
      </c>
      <c r="E423" s="33" t="s">
        <v>74</v>
      </c>
      <c r="F423" s="33" t="s">
        <v>64</v>
      </c>
      <c r="G423" s="33" t="s">
        <v>65</v>
      </c>
      <c r="H423" s="33" t="s">
        <v>206</v>
      </c>
      <c r="I423" s="33" t="s">
        <v>832</v>
      </c>
      <c r="J423" s="33">
        <v>449</v>
      </c>
      <c r="K423" s="33">
        <v>2049</v>
      </c>
      <c r="L423" s="33">
        <v>1068.76</v>
      </c>
      <c r="M423" s="33" t="s">
        <v>60</v>
      </c>
      <c r="N423" s="33">
        <v>302</v>
      </c>
      <c r="O423" s="33">
        <v>96</v>
      </c>
      <c r="P423" s="33" t="s">
        <v>28</v>
      </c>
      <c r="Q423" s="33">
        <v>0</v>
      </c>
    </row>
    <row r="424" spans="1:17">
      <c r="A424" s="37" t="s">
        <v>1279</v>
      </c>
      <c r="B424" s="37" t="s">
        <v>1280</v>
      </c>
      <c r="C424" s="37" t="s">
        <v>47</v>
      </c>
      <c r="D424" s="37" t="s">
        <v>38</v>
      </c>
      <c r="E424" s="37" t="s">
        <v>39</v>
      </c>
      <c r="F424" s="37" t="s">
        <v>54</v>
      </c>
      <c r="G424" s="37" t="s">
        <v>74</v>
      </c>
      <c r="H424" s="37" t="s">
        <v>111</v>
      </c>
      <c r="I424" s="37" t="s">
        <v>252</v>
      </c>
      <c r="J424" s="37">
        <v>270</v>
      </c>
      <c r="K424" s="37">
        <v>1590</v>
      </c>
      <c r="L424" s="37">
        <v>696.09</v>
      </c>
      <c r="M424" s="37"/>
      <c r="N424" s="37">
        <v>316</v>
      </c>
      <c r="O424" s="37"/>
      <c r="P424" s="37" t="s">
        <v>28</v>
      </c>
      <c r="Q424" s="37">
        <v>0</v>
      </c>
    </row>
    <row r="425" spans="1:17">
      <c r="A425" s="33" t="s">
        <v>1281</v>
      </c>
      <c r="B425" s="33" t="s">
        <v>741</v>
      </c>
      <c r="C425" s="33" t="s">
        <v>47</v>
      </c>
      <c r="D425" s="33" t="s">
        <v>48</v>
      </c>
      <c r="E425" s="33" t="s">
        <v>49</v>
      </c>
      <c r="F425" s="33" t="s">
        <v>23</v>
      </c>
      <c r="G425" s="33" t="s">
        <v>24</v>
      </c>
      <c r="H425" s="33" t="s">
        <v>259</v>
      </c>
      <c r="I425" s="33" t="s">
        <v>1282</v>
      </c>
      <c r="J425" s="33">
        <v>282</v>
      </c>
      <c r="K425" s="33">
        <v>2553</v>
      </c>
      <c r="L425" s="33">
        <v>1117.28</v>
      </c>
      <c r="M425" s="33" t="s">
        <v>44</v>
      </c>
      <c r="N425" s="33">
        <v>192</v>
      </c>
      <c r="O425" s="33">
        <v>165</v>
      </c>
      <c r="P425" s="33" t="s">
        <v>28</v>
      </c>
      <c r="Q425" s="33">
        <v>0</v>
      </c>
    </row>
    <row r="426" spans="1:17">
      <c r="A426" s="37" t="s">
        <v>1283</v>
      </c>
      <c r="B426" s="37" t="s">
        <v>1284</v>
      </c>
      <c r="C426" s="37" t="s">
        <v>20</v>
      </c>
      <c r="D426" s="37" t="s">
        <v>56</v>
      </c>
      <c r="E426" s="37" t="s">
        <v>57</v>
      </c>
      <c r="F426" s="37" t="s">
        <v>156</v>
      </c>
      <c r="G426" s="37" t="s">
        <v>157</v>
      </c>
      <c r="H426" s="37" t="s">
        <v>34</v>
      </c>
      <c r="I426" s="37" t="s">
        <v>217</v>
      </c>
      <c r="J426" s="37">
        <v>355</v>
      </c>
      <c r="K426" s="37">
        <v>853</v>
      </c>
      <c r="L426" s="37">
        <v>1192.6199999999999</v>
      </c>
      <c r="M426" s="37" t="s">
        <v>44</v>
      </c>
      <c r="N426" s="37">
        <v>101</v>
      </c>
      <c r="O426" s="37">
        <v>69</v>
      </c>
      <c r="P426" s="37" t="s">
        <v>149</v>
      </c>
      <c r="Q426" s="37">
        <v>0</v>
      </c>
    </row>
    <row r="427" spans="1:17">
      <c r="A427" s="33" t="s">
        <v>1285</v>
      </c>
      <c r="B427" s="33" t="s">
        <v>1286</v>
      </c>
      <c r="C427" s="33" t="s">
        <v>47</v>
      </c>
      <c r="D427" s="33" t="s">
        <v>174</v>
      </c>
      <c r="E427" s="33" t="s">
        <v>175</v>
      </c>
      <c r="F427" s="33" t="s">
        <v>95</v>
      </c>
      <c r="G427" s="33" t="s">
        <v>96</v>
      </c>
      <c r="H427" s="33" t="s">
        <v>202</v>
      </c>
      <c r="I427" s="33" t="s">
        <v>1287</v>
      </c>
      <c r="J427" s="33">
        <v>138</v>
      </c>
      <c r="K427" s="33">
        <v>454</v>
      </c>
      <c r="L427" s="33">
        <v>595.61</v>
      </c>
      <c r="M427" s="33" t="s">
        <v>60</v>
      </c>
      <c r="N427" s="33">
        <v>135</v>
      </c>
      <c r="O427" s="33">
        <v>83</v>
      </c>
      <c r="P427" s="33" t="s">
        <v>573</v>
      </c>
      <c r="Q427" s="33">
        <v>0</v>
      </c>
    </row>
    <row r="428" spans="1:17">
      <c r="A428" s="37" t="s">
        <v>1288</v>
      </c>
      <c r="B428" s="37" t="s">
        <v>794</v>
      </c>
      <c r="C428" s="37" t="s">
        <v>31</v>
      </c>
      <c r="D428" s="37" t="s">
        <v>21</v>
      </c>
      <c r="E428" s="37" t="s">
        <v>22</v>
      </c>
      <c r="F428" s="37" t="s">
        <v>156</v>
      </c>
      <c r="G428" s="37" t="s">
        <v>157</v>
      </c>
      <c r="H428" s="37" t="s">
        <v>170</v>
      </c>
      <c r="I428" s="37" t="s">
        <v>1289</v>
      </c>
      <c r="J428" s="37">
        <v>381</v>
      </c>
      <c r="K428" s="37">
        <v>1190</v>
      </c>
      <c r="L428" s="37">
        <v>902.38</v>
      </c>
      <c r="M428" s="37" t="s">
        <v>27</v>
      </c>
      <c r="N428" s="37">
        <v>183</v>
      </c>
      <c r="O428" s="37">
        <v>173</v>
      </c>
      <c r="P428" s="37" t="s">
        <v>28</v>
      </c>
      <c r="Q428" s="37">
        <v>0</v>
      </c>
    </row>
    <row r="429" spans="1:17">
      <c r="A429" s="33" t="s">
        <v>1290</v>
      </c>
      <c r="B429" s="33" t="s">
        <v>1291</v>
      </c>
      <c r="C429" s="33" t="s">
        <v>192</v>
      </c>
      <c r="D429" s="33" t="s">
        <v>56</v>
      </c>
      <c r="E429" s="33" t="s">
        <v>57</v>
      </c>
      <c r="F429" s="33" t="s">
        <v>48</v>
      </c>
      <c r="G429" s="33" t="s">
        <v>49</v>
      </c>
      <c r="H429" s="33" t="s">
        <v>453</v>
      </c>
      <c r="I429" s="33" t="s">
        <v>1292</v>
      </c>
      <c r="J429" s="33">
        <v>118</v>
      </c>
      <c r="K429" s="33">
        <v>1669</v>
      </c>
      <c r="L429" s="33">
        <v>469.68</v>
      </c>
      <c r="M429" s="33" t="s">
        <v>44</v>
      </c>
      <c r="N429" s="33">
        <v>206</v>
      </c>
      <c r="O429" s="33">
        <v>80</v>
      </c>
      <c r="P429" s="33" t="s">
        <v>70</v>
      </c>
      <c r="Q429" s="33">
        <v>73</v>
      </c>
    </row>
    <row r="430" spans="1:17">
      <c r="A430" s="37" t="s">
        <v>1293</v>
      </c>
      <c r="B430" s="37" t="s">
        <v>1294</v>
      </c>
      <c r="C430" s="37" t="s">
        <v>73</v>
      </c>
      <c r="D430" s="37" t="s">
        <v>56</v>
      </c>
      <c r="E430" s="37" t="s">
        <v>57</v>
      </c>
      <c r="F430" s="37" t="s">
        <v>156</v>
      </c>
      <c r="G430" s="37" t="s">
        <v>157</v>
      </c>
      <c r="H430" s="37" t="s">
        <v>712</v>
      </c>
      <c r="I430" s="37" t="s">
        <v>1295</v>
      </c>
      <c r="J430" s="37">
        <v>253</v>
      </c>
      <c r="K430" s="37">
        <v>2511</v>
      </c>
      <c r="L430" s="37">
        <v>712.7</v>
      </c>
      <c r="M430" s="37" t="s">
        <v>44</v>
      </c>
      <c r="N430" s="37">
        <v>228</v>
      </c>
      <c r="O430" s="37">
        <v>228</v>
      </c>
      <c r="P430" s="37" t="s">
        <v>28</v>
      </c>
      <c r="Q430" s="37">
        <v>0</v>
      </c>
    </row>
    <row r="431" spans="1:17">
      <c r="A431" s="33" t="s">
        <v>1296</v>
      </c>
      <c r="B431" s="33" t="s">
        <v>575</v>
      </c>
      <c r="C431" s="33" t="s">
        <v>73</v>
      </c>
      <c r="D431" s="33" t="s">
        <v>40</v>
      </c>
      <c r="E431" s="33" t="s">
        <v>41</v>
      </c>
      <c r="F431" s="33" t="s">
        <v>48</v>
      </c>
      <c r="G431" s="33" t="s">
        <v>49</v>
      </c>
      <c r="H431" s="33" t="s">
        <v>712</v>
      </c>
      <c r="I431" s="33" t="s">
        <v>627</v>
      </c>
      <c r="J431" s="33">
        <v>203</v>
      </c>
      <c r="K431" s="33">
        <v>2069</v>
      </c>
      <c r="L431" s="33">
        <v>404.56</v>
      </c>
      <c r="M431" s="33" t="s">
        <v>44</v>
      </c>
      <c r="N431" s="33">
        <v>137</v>
      </c>
      <c r="O431" s="33">
        <v>66</v>
      </c>
      <c r="P431" s="33" t="s">
        <v>28</v>
      </c>
      <c r="Q431" s="33">
        <v>0</v>
      </c>
    </row>
    <row r="432" spans="1:17">
      <c r="A432" s="37" t="s">
        <v>1297</v>
      </c>
      <c r="B432" s="37" t="s">
        <v>1298</v>
      </c>
      <c r="C432" s="37" t="s">
        <v>20</v>
      </c>
      <c r="D432" s="37" t="s">
        <v>32</v>
      </c>
      <c r="E432" s="37" t="s">
        <v>33</v>
      </c>
      <c r="F432" s="37" t="s">
        <v>66</v>
      </c>
      <c r="G432" s="37" t="s">
        <v>67</v>
      </c>
      <c r="H432" s="37" t="s">
        <v>378</v>
      </c>
      <c r="I432" s="37" t="s">
        <v>491</v>
      </c>
      <c r="J432" s="37">
        <v>294</v>
      </c>
      <c r="K432" s="37">
        <v>2355</v>
      </c>
      <c r="L432" s="37">
        <v>566.63</v>
      </c>
      <c r="M432" s="37" t="s">
        <v>27</v>
      </c>
      <c r="N432" s="37">
        <v>133</v>
      </c>
      <c r="O432" s="37">
        <v>67</v>
      </c>
      <c r="P432" s="37" t="s">
        <v>28</v>
      </c>
      <c r="Q432" s="37">
        <v>0</v>
      </c>
    </row>
    <row r="433" spans="1:17">
      <c r="A433" s="33" t="s">
        <v>1299</v>
      </c>
      <c r="B433" s="33" t="s">
        <v>310</v>
      </c>
      <c r="C433" s="33" t="s">
        <v>115</v>
      </c>
      <c r="D433" s="33" t="s">
        <v>66</v>
      </c>
      <c r="E433" s="33" t="s">
        <v>67</v>
      </c>
      <c r="F433" s="33" t="s">
        <v>48</v>
      </c>
      <c r="G433" s="33" t="s">
        <v>49</v>
      </c>
      <c r="H433" s="33" t="s">
        <v>790</v>
      </c>
      <c r="I433" s="33" t="s">
        <v>1300</v>
      </c>
      <c r="J433" s="33">
        <v>214</v>
      </c>
      <c r="K433" s="33">
        <v>593</v>
      </c>
      <c r="L433" s="33">
        <v>378.21</v>
      </c>
      <c r="M433" s="33" t="s">
        <v>44</v>
      </c>
      <c r="N433" s="33">
        <v>182</v>
      </c>
      <c r="O433" s="33">
        <v>72</v>
      </c>
      <c r="P433" s="33" t="s">
        <v>28</v>
      </c>
      <c r="Q433" s="33"/>
    </row>
    <row r="434" spans="1:17">
      <c r="A434" s="37" t="s">
        <v>1301</v>
      </c>
      <c r="B434" s="37" t="s">
        <v>1302</v>
      </c>
      <c r="C434" s="37" t="s">
        <v>73</v>
      </c>
      <c r="D434" s="37" t="s">
        <v>64</v>
      </c>
      <c r="E434" s="37" t="s">
        <v>65</v>
      </c>
      <c r="F434" s="37" t="s">
        <v>66</v>
      </c>
      <c r="G434" s="37" t="s">
        <v>67</v>
      </c>
      <c r="H434" s="37" t="s">
        <v>68</v>
      </c>
      <c r="I434" s="37" t="s">
        <v>352</v>
      </c>
      <c r="J434" s="37">
        <v>266</v>
      </c>
      <c r="K434" s="37">
        <v>2732</v>
      </c>
      <c r="L434" s="37">
        <v>814.06</v>
      </c>
      <c r="M434" s="37" t="s">
        <v>44</v>
      </c>
      <c r="N434" s="37">
        <v>143</v>
      </c>
      <c r="O434" s="37">
        <v>94</v>
      </c>
      <c r="P434" s="37" t="s">
        <v>28</v>
      </c>
      <c r="Q434" s="37">
        <v>0</v>
      </c>
    </row>
    <row r="435" spans="1:17">
      <c r="A435" s="33" t="s">
        <v>1303</v>
      </c>
      <c r="B435" s="33" t="s">
        <v>1304</v>
      </c>
      <c r="C435" s="33" t="s">
        <v>63</v>
      </c>
      <c r="D435" s="33" t="s">
        <v>40</v>
      </c>
      <c r="E435" s="33" t="s">
        <v>41</v>
      </c>
      <c r="F435" s="33" t="s">
        <v>56</v>
      </c>
      <c r="G435" s="33" t="s">
        <v>57</v>
      </c>
      <c r="H435" s="33" t="s">
        <v>25</v>
      </c>
      <c r="I435" s="33" t="s">
        <v>1305</v>
      </c>
      <c r="J435" s="33">
        <v>440</v>
      </c>
      <c r="K435" s="33">
        <v>1831</v>
      </c>
      <c r="L435" s="33">
        <v>254.71</v>
      </c>
      <c r="M435" s="33" t="s">
        <v>27</v>
      </c>
      <c r="N435" s="33">
        <v>318</v>
      </c>
      <c r="O435" s="33">
        <v>93</v>
      </c>
      <c r="P435" s="33" t="s">
        <v>28</v>
      </c>
      <c r="Q435" s="33">
        <v>0</v>
      </c>
    </row>
    <row r="436" spans="1:17">
      <c r="A436" s="37" t="s">
        <v>1306</v>
      </c>
      <c r="B436" s="37" t="s">
        <v>1307</v>
      </c>
      <c r="C436" s="37" t="s">
        <v>31</v>
      </c>
      <c r="D436" s="37" t="s">
        <v>48</v>
      </c>
      <c r="E436" s="37" t="s">
        <v>49</v>
      </c>
      <c r="F436" s="37" t="s">
        <v>101</v>
      </c>
      <c r="G436" s="37" t="s">
        <v>102</v>
      </c>
      <c r="H436" s="37" t="s">
        <v>296</v>
      </c>
      <c r="I436" s="37" t="s">
        <v>1308</v>
      </c>
      <c r="J436" s="37">
        <v>265</v>
      </c>
      <c r="K436" s="37">
        <v>755</v>
      </c>
      <c r="L436" s="37">
        <v>421.73</v>
      </c>
      <c r="M436" s="37" t="s">
        <v>44</v>
      </c>
      <c r="N436" s="37">
        <v>105</v>
      </c>
      <c r="O436" s="37">
        <v>71</v>
      </c>
      <c r="P436" s="37" t="s">
        <v>28</v>
      </c>
      <c r="Q436" s="37">
        <v>0</v>
      </c>
    </row>
    <row r="437" spans="1:17">
      <c r="A437" s="33" t="s">
        <v>1309</v>
      </c>
      <c r="B437" s="33" t="s">
        <v>1310</v>
      </c>
      <c r="C437" s="33" t="s">
        <v>31</v>
      </c>
      <c r="D437" s="33" t="s">
        <v>32</v>
      </c>
      <c r="E437" s="33" t="s">
        <v>33</v>
      </c>
      <c r="F437" s="33" t="s">
        <v>116</v>
      </c>
      <c r="G437" s="33" t="s">
        <v>117</v>
      </c>
      <c r="H437" s="33" t="s">
        <v>140</v>
      </c>
      <c r="I437" s="33" t="s">
        <v>126</v>
      </c>
      <c r="J437" s="33">
        <v>408</v>
      </c>
      <c r="K437" s="33">
        <v>878</v>
      </c>
      <c r="L437" s="33">
        <v>858.48</v>
      </c>
      <c r="M437" s="33" t="s">
        <v>27</v>
      </c>
      <c r="N437" s="33">
        <v>104</v>
      </c>
      <c r="O437" s="33">
        <v>74</v>
      </c>
      <c r="P437" s="33" t="s">
        <v>28</v>
      </c>
      <c r="Q437" s="33">
        <v>0</v>
      </c>
    </row>
    <row r="438" spans="1:17">
      <c r="A438" s="37" t="s">
        <v>1311</v>
      </c>
      <c r="B438" s="37" t="s">
        <v>1312</v>
      </c>
      <c r="C438" s="37" t="s">
        <v>20</v>
      </c>
      <c r="D438" s="37" t="s">
        <v>21</v>
      </c>
      <c r="E438" s="37" t="s">
        <v>22</v>
      </c>
      <c r="F438" s="37" t="s">
        <v>38</v>
      </c>
      <c r="G438" s="37" t="s">
        <v>39</v>
      </c>
      <c r="H438" s="37" t="s">
        <v>179</v>
      </c>
      <c r="I438" s="37" t="s">
        <v>992</v>
      </c>
      <c r="J438" s="37">
        <v>192</v>
      </c>
      <c r="K438" s="37">
        <v>2831</v>
      </c>
      <c r="L438" s="37">
        <v>383.84</v>
      </c>
      <c r="M438" s="37" t="s">
        <v>44</v>
      </c>
      <c r="N438" s="37">
        <v>267</v>
      </c>
      <c r="O438" s="37"/>
      <c r="P438" s="37" t="s">
        <v>28</v>
      </c>
      <c r="Q438" s="37">
        <v>0</v>
      </c>
    </row>
    <row r="439" spans="1:17">
      <c r="A439" s="33" t="s">
        <v>1313</v>
      </c>
      <c r="B439" s="33" t="s">
        <v>615</v>
      </c>
      <c r="C439" s="33" t="s">
        <v>47</v>
      </c>
      <c r="D439" s="33" t="s">
        <v>197</v>
      </c>
      <c r="E439" s="33" t="s">
        <v>198</v>
      </c>
      <c r="F439" s="33" t="s">
        <v>174</v>
      </c>
      <c r="G439" s="33" t="s">
        <v>175</v>
      </c>
      <c r="H439" s="33" t="s">
        <v>210</v>
      </c>
      <c r="I439" s="33" t="s">
        <v>1314</v>
      </c>
      <c r="J439" s="33">
        <v>208</v>
      </c>
      <c r="K439" s="33">
        <v>1859</v>
      </c>
      <c r="L439" s="33">
        <v>649.57000000000005</v>
      </c>
      <c r="M439" s="33" t="s">
        <v>27</v>
      </c>
      <c r="N439" s="33">
        <v>125</v>
      </c>
      <c r="O439" s="33">
        <v>90</v>
      </c>
      <c r="P439" s="33" t="s">
        <v>28</v>
      </c>
      <c r="Q439" s="33">
        <v>0</v>
      </c>
    </row>
    <row r="440" spans="1:17">
      <c r="A440" s="37" t="s">
        <v>1315</v>
      </c>
      <c r="B440" s="37" t="s">
        <v>1316</v>
      </c>
      <c r="C440" s="37" t="s">
        <v>94</v>
      </c>
      <c r="D440" s="37" t="s">
        <v>38</v>
      </c>
      <c r="E440" s="37" t="s">
        <v>39</v>
      </c>
      <c r="F440" s="37" t="s">
        <v>23</v>
      </c>
      <c r="G440" s="37" t="s">
        <v>24</v>
      </c>
      <c r="H440" s="37" t="s">
        <v>626</v>
      </c>
      <c r="I440" s="37" t="s">
        <v>1317</v>
      </c>
      <c r="J440" s="37">
        <v>377</v>
      </c>
      <c r="K440" s="37">
        <v>388</v>
      </c>
      <c r="L440" s="37">
        <v>124.52</v>
      </c>
      <c r="M440" s="37" t="s">
        <v>27</v>
      </c>
      <c r="N440" s="37">
        <v>178</v>
      </c>
      <c r="O440" s="37">
        <v>135</v>
      </c>
      <c r="P440" s="37" t="s">
        <v>28</v>
      </c>
      <c r="Q440" s="37">
        <v>0</v>
      </c>
    </row>
    <row r="441" spans="1:17">
      <c r="A441" s="33" t="s">
        <v>1318</v>
      </c>
      <c r="B441" s="33" t="s">
        <v>1319</v>
      </c>
      <c r="C441" s="33" t="s">
        <v>671</v>
      </c>
      <c r="D441" s="33" t="s">
        <v>64</v>
      </c>
      <c r="E441" s="33" t="s">
        <v>65</v>
      </c>
      <c r="F441" s="33" t="s">
        <v>66</v>
      </c>
      <c r="G441" s="33" t="s">
        <v>67</v>
      </c>
      <c r="H441" s="33" t="s">
        <v>162</v>
      </c>
      <c r="I441" s="33" t="s">
        <v>240</v>
      </c>
      <c r="J441" s="33">
        <v>210</v>
      </c>
      <c r="K441" s="33">
        <v>2353</v>
      </c>
      <c r="L441" s="33">
        <v>388.98</v>
      </c>
      <c r="M441" s="33" t="s">
        <v>60</v>
      </c>
      <c r="N441" s="33">
        <v>260</v>
      </c>
      <c r="O441" s="33">
        <v>115</v>
      </c>
      <c r="P441" s="33" t="s">
        <v>70</v>
      </c>
      <c r="Q441" s="33">
        <v>22</v>
      </c>
    </row>
    <row r="442" spans="1:17">
      <c r="A442" s="37" t="s">
        <v>1320</v>
      </c>
      <c r="B442" s="37" t="s">
        <v>1321</v>
      </c>
      <c r="C442" s="37" t="s">
        <v>31</v>
      </c>
      <c r="D442" s="37" t="s">
        <v>101</v>
      </c>
      <c r="E442" s="37" t="s">
        <v>102</v>
      </c>
      <c r="F442" s="37" t="s">
        <v>64</v>
      </c>
      <c r="G442" s="37" t="s">
        <v>65</v>
      </c>
      <c r="H442" s="37" t="s">
        <v>279</v>
      </c>
      <c r="I442" s="37" t="s">
        <v>1322</v>
      </c>
      <c r="J442" s="37">
        <v>134</v>
      </c>
      <c r="K442" s="37">
        <v>1865</v>
      </c>
      <c r="L442" s="37">
        <v>663.2</v>
      </c>
      <c r="M442" s="37" t="s">
        <v>27</v>
      </c>
      <c r="N442" s="37">
        <v>256</v>
      </c>
      <c r="O442" s="37">
        <v>210</v>
      </c>
      <c r="P442" s="37" t="s">
        <v>70</v>
      </c>
      <c r="Q442" s="37">
        <v>121</v>
      </c>
    </row>
    <row r="443" spans="1:17">
      <c r="A443" s="33" t="s">
        <v>1323</v>
      </c>
      <c r="B443" s="33" t="s">
        <v>1324</v>
      </c>
      <c r="C443" s="33" t="s">
        <v>63</v>
      </c>
      <c r="D443" s="33" t="s">
        <v>129</v>
      </c>
      <c r="E443" s="33" t="s">
        <v>130</v>
      </c>
      <c r="F443" s="33" t="s">
        <v>95</v>
      </c>
      <c r="G443" s="33" t="s">
        <v>96</v>
      </c>
      <c r="H443" s="33" t="s">
        <v>414</v>
      </c>
      <c r="I443" s="33" t="s">
        <v>1325</v>
      </c>
      <c r="J443" s="33">
        <v>319</v>
      </c>
      <c r="K443" s="33">
        <v>2520</v>
      </c>
      <c r="L443" s="33">
        <v>227.58</v>
      </c>
      <c r="M443" s="33" t="s">
        <v>27</v>
      </c>
      <c r="N443" s="33">
        <v>135</v>
      </c>
      <c r="O443" s="33">
        <v>124</v>
      </c>
      <c r="P443" s="33" t="s">
        <v>28</v>
      </c>
      <c r="Q443" s="33">
        <v>0</v>
      </c>
    </row>
    <row r="444" spans="1:17">
      <c r="A444" s="37" t="s">
        <v>1326</v>
      </c>
      <c r="B444" s="37" t="s">
        <v>1327</v>
      </c>
      <c r="C444" s="37" t="s">
        <v>63</v>
      </c>
      <c r="D444" s="37" t="s">
        <v>95</v>
      </c>
      <c r="E444" s="37" t="s">
        <v>96</v>
      </c>
      <c r="F444" s="37" t="s">
        <v>32</v>
      </c>
      <c r="G444" s="37" t="s">
        <v>33</v>
      </c>
      <c r="H444" s="37" t="s">
        <v>86</v>
      </c>
      <c r="I444" s="37" t="s">
        <v>1328</v>
      </c>
      <c r="J444" s="37">
        <v>164</v>
      </c>
      <c r="K444" s="37">
        <v>2987</v>
      </c>
      <c r="L444" s="37">
        <v>1124.99</v>
      </c>
      <c r="M444" s="37" t="s">
        <v>60</v>
      </c>
      <c r="N444" s="37">
        <v>181</v>
      </c>
      <c r="O444" s="37">
        <v>67</v>
      </c>
      <c r="P444" s="37" t="s">
        <v>28</v>
      </c>
      <c r="Q444" s="37">
        <v>0</v>
      </c>
    </row>
    <row r="445" spans="1:17">
      <c r="A445" s="33" t="s">
        <v>1329</v>
      </c>
      <c r="B445" s="33" t="s">
        <v>1330</v>
      </c>
      <c r="C445" s="33" t="s">
        <v>63</v>
      </c>
      <c r="D445" s="33" t="s">
        <v>156</v>
      </c>
      <c r="E445" s="33" t="s">
        <v>157</v>
      </c>
      <c r="F445" s="33" t="s">
        <v>101</v>
      </c>
      <c r="G445" s="33" t="s">
        <v>102</v>
      </c>
      <c r="H445" s="33" t="s">
        <v>663</v>
      </c>
      <c r="I445" s="33" t="s">
        <v>1331</v>
      </c>
      <c r="J445" s="33">
        <v>253</v>
      </c>
      <c r="K445" s="33">
        <v>1995</v>
      </c>
      <c r="L445" s="33">
        <v>1156.54</v>
      </c>
      <c r="M445" s="33"/>
      <c r="N445" s="33">
        <v>213</v>
      </c>
      <c r="O445" s="33">
        <v>213</v>
      </c>
      <c r="P445" s="33" t="s">
        <v>149</v>
      </c>
      <c r="Q445" s="33">
        <v>0</v>
      </c>
    </row>
    <row r="446" spans="1:17">
      <c r="A446" s="37" t="s">
        <v>1332</v>
      </c>
      <c r="B446" s="37" t="s">
        <v>1333</v>
      </c>
      <c r="C446" s="37" t="s">
        <v>63</v>
      </c>
      <c r="D446" s="37" t="s">
        <v>183</v>
      </c>
      <c r="E446" s="37" t="s">
        <v>184</v>
      </c>
      <c r="F446" s="37" t="s">
        <v>197</v>
      </c>
      <c r="G446" s="37" t="s">
        <v>198</v>
      </c>
      <c r="H446" s="37" t="s">
        <v>939</v>
      </c>
      <c r="I446" s="37" t="s">
        <v>314</v>
      </c>
      <c r="J446" s="37">
        <v>103</v>
      </c>
      <c r="K446" s="37">
        <v>2806</v>
      </c>
      <c r="L446" s="37">
        <v>770.98</v>
      </c>
      <c r="M446" s="37" t="s">
        <v>27</v>
      </c>
      <c r="N446" s="37">
        <v>245</v>
      </c>
      <c r="O446" s="37">
        <v>206</v>
      </c>
      <c r="P446" s="37" t="s">
        <v>28</v>
      </c>
      <c r="Q446" s="37">
        <v>0</v>
      </c>
    </row>
    <row r="447" spans="1:17">
      <c r="A447" s="33" t="s">
        <v>1334</v>
      </c>
      <c r="B447" s="33" t="s">
        <v>1335</v>
      </c>
      <c r="C447" s="33" t="s">
        <v>31</v>
      </c>
      <c r="D447" s="33" t="s">
        <v>174</v>
      </c>
      <c r="E447" s="33" t="s">
        <v>175</v>
      </c>
      <c r="F447" s="33" t="s">
        <v>66</v>
      </c>
      <c r="G447" s="33" t="s">
        <v>67</v>
      </c>
      <c r="H447" s="33" t="s">
        <v>170</v>
      </c>
      <c r="I447" s="33" t="s">
        <v>1336</v>
      </c>
      <c r="J447" s="33">
        <v>158</v>
      </c>
      <c r="K447" s="33">
        <v>2357</v>
      </c>
      <c r="L447" s="33">
        <v>1027.67</v>
      </c>
      <c r="M447" s="33" t="s">
        <v>44</v>
      </c>
      <c r="N447" s="33">
        <v>282</v>
      </c>
      <c r="O447" s="33">
        <v>216</v>
      </c>
      <c r="P447" s="33" t="s">
        <v>28</v>
      </c>
      <c r="Q447" s="33">
        <v>0</v>
      </c>
    </row>
    <row r="448" spans="1:17">
      <c r="A448" s="37" t="s">
        <v>1337</v>
      </c>
      <c r="B448" s="37" t="s">
        <v>924</v>
      </c>
      <c r="C448" s="37" t="s">
        <v>115</v>
      </c>
      <c r="D448" s="37" t="s">
        <v>79</v>
      </c>
      <c r="E448" s="37" t="s">
        <v>80</v>
      </c>
      <c r="F448" s="37" t="s">
        <v>101</v>
      </c>
      <c r="G448" s="37" t="s">
        <v>102</v>
      </c>
      <c r="H448" s="37" t="s">
        <v>303</v>
      </c>
      <c r="I448" s="37" t="s">
        <v>439</v>
      </c>
      <c r="J448" s="37">
        <v>205</v>
      </c>
      <c r="K448" s="37">
        <v>432</v>
      </c>
      <c r="L448" s="37">
        <v>537.62</v>
      </c>
      <c r="M448" s="37" t="s">
        <v>60</v>
      </c>
      <c r="N448" s="37">
        <v>336</v>
      </c>
      <c r="O448" s="37">
        <v>188</v>
      </c>
      <c r="P448" s="37" t="s">
        <v>149</v>
      </c>
      <c r="Q448" s="37">
        <v>0</v>
      </c>
    </row>
    <row r="449" spans="1:17">
      <c r="A449" s="33" t="s">
        <v>1338</v>
      </c>
      <c r="B449" s="33" t="s">
        <v>1339</v>
      </c>
      <c r="C449" s="33" t="s">
        <v>31</v>
      </c>
      <c r="D449" s="33" t="s">
        <v>183</v>
      </c>
      <c r="E449" s="33" t="s">
        <v>184</v>
      </c>
      <c r="F449" s="33" t="s">
        <v>54</v>
      </c>
      <c r="G449" s="33" t="s">
        <v>55</v>
      </c>
      <c r="H449" s="33" t="s">
        <v>97</v>
      </c>
      <c r="I449" s="33" t="s">
        <v>462</v>
      </c>
      <c r="J449" s="33">
        <v>405</v>
      </c>
      <c r="K449" s="33">
        <v>2306</v>
      </c>
      <c r="L449" s="33">
        <v>850.41</v>
      </c>
      <c r="M449" s="33" t="s">
        <v>44</v>
      </c>
      <c r="N449" s="33">
        <v>327</v>
      </c>
      <c r="O449" s="33">
        <v>176</v>
      </c>
      <c r="P449" s="33" t="s">
        <v>28</v>
      </c>
      <c r="Q449" s="33">
        <v>0</v>
      </c>
    </row>
    <row r="450" spans="1:17">
      <c r="A450" s="37" t="s">
        <v>1340</v>
      </c>
      <c r="B450" s="37" t="s">
        <v>1101</v>
      </c>
      <c r="C450" s="37" t="s">
        <v>73</v>
      </c>
      <c r="D450" s="37" t="s">
        <v>156</v>
      </c>
      <c r="E450" s="37" t="s">
        <v>157</v>
      </c>
      <c r="F450" s="37" t="s">
        <v>129</v>
      </c>
      <c r="G450" s="37" t="s">
        <v>130</v>
      </c>
      <c r="H450" s="37" t="s">
        <v>34</v>
      </c>
      <c r="I450" s="37" t="s">
        <v>1341</v>
      </c>
      <c r="J450" s="37">
        <v>356</v>
      </c>
      <c r="K450" s="37">
        <v>747</v>
      </c>
      <c r="L450" s="37">
        <v>585.79999999999995</v>
      </c>
      <c r="M450" s="37" t="s">
        <v>60</v>
      </c>
      <c r="N450" s="37">
        <v>324</v>
      </c>
      <c r="O450" s="37">
        <v>175</v>
      </c>
      <c r="P450" s="37" t="s">
        <v>28</v>
      </c>
      <c r="Q450" s="37">
        <v>0</v>
      </c>
    </row>
    <row r="451" spans="1:17">
      <c r="A451" s="33" t="s">
        <v>1342</v>
      </c>
      <c r="B451" s="33" t="s">
        <v>1343</v>
      </c>
      <c r="C451" s="33" t="s">
        <v>20</v>
      </c>
      <c r="D451" s="33" t="s">
        <v>32</v>
      </c>
      <c r="E451" s="33" t="s">
        <v>33</v>
      </c>
      <c r="F451" s="33" t="s">
        <v>66</v>
      </c>
      <c r="G451" s="33" t="s">
        <v>67</v>
      </c>
      <c r="H451" s="33" t="s">
        <v>712</v>
      </c>
      <c r="I451" s="33" t="s">
        <v>1344</v>
      </c>
      <c r="J451" s="33">
        <v>187</v>
      </c>
      <c r="K451" s="33">
        <v>1492</v>
      </c>
      <c r="L451" s="33">
        <v>572.29999999999995</v>
      </c>
      <c r="M451" s="33" t="s">
        <v>44</v>
      </c>
      <c r="N451" s="33">
        <v>298</v>
      </c>
      <c r="O451" s="33">
        <v>261</v>
      </c>
      <c r="P451" s="33" t="s">
        <v>28</v>
      </c>
      <c r="Q451" s="33">
        <v>0</v>
      </c>
    </row>
    <row r="452" spans="1:17">
      <c r="A452" s="37" t="s">
        <v>1345</v>
      </c>
      <c r="B452" s="37" t="s">
        <v>138</v>
      </c>
      <c r="C452" s="37" t="s">
        <v>73</v>
      </c>
      <c r="D452" s="37" t="s">
        <v>95</v>
      </c>
      <c r="E452" s="37" t="s">
        <v>96</v>
      </c>
      <c r="F452" s="37" t="s">
        <v>56</v>
      </c>
      <c r="G452" s="37" t="s">
        <v>57</v>
      </c>
      <c r="H452" s="37" t="s">
        <v>600</v>
      </c>
      <c r="I452" s="37" t="s">
        <v>1346</v>
      </c>
      <c r="J452" s="37">
        <v>327</v>
      </c>
      <c r="K452" s="37">
        <v>2946</v>
      </c>
      <c r="L452" s="37">
        <v>585.9</v>
      </c>
      <c r="M452" s="37" t="s">
        <v>27</v>
      </c>
      <c r="N452" s="37">
        <v>228</v>
      </c>
      <c r="O452" s="37">
        <v>78</v>
      </c>
      <c r="P452" s="37" t="s">
        <v>28</v>
      </c>
      <c r="Q452" s="37"/>
    </row>
    <row r="453" spans="1:17">
      <c r="A453" s="33" t="s">
        <v>1347</v>
      </c>
      <c r="B453" s="33" t="s">
        <v>1348</v>
      </c>
      <c r="C453" s="33" t="s">
        <v>73</v>
      </c>
      <c r="D453" s="33" t="s">
        <v>129</v>
      </c>
      <c r="E453" s="33" t="s">
        <v>130</v>
      </c>
      <c r="F453" s="33" t="s">
        <v>156</v>
      </c>
      <c r="G453" s="33" t="s">
        <v>157</v>
      </c>
      <c r="H453" s="33" t="s">
        <v>135</v>
      </c>
      <c r="I453" s="33" t="s">
        <v>1349</v>
      </c>
      <c r="J453" s="33">
        <v>181</v>
      </c>
      <c r="K453" s="33">
        <v>2158</v>
      </c>
      <c r="L453" s="33"/>
      <c r="M453" s="33" t="s">
        <v>27</v>
      </c>
      <c r="N453" s="33">
        <v>329</v>
      </c>
      <c r="O453" s="33">
        <v>153</v>
      </c>
      <c r="P453" s="33" t="s">
        <v>70</v>
      </c>
      <c r="Q453" s="33">
        <v>38</v>
      </c>
    </row>
    <row r="454" spans="1:17">
      <c r="A454" s="37" t="s">
        <v>1350</v>
      </c>
      <c r="B454" s="37" t="s">
        <v>1245</v>
      </c>
      <c r="C454" s="37" t="s">
        <v>47</v>
      </c>
      <c r="D454" s="37" t="s">
        <v>38</v>
      </c>
      <c r="E454" s="37" t="s">
        <v>39</v>
      </c>
      <c r="F454" s="37" t="s">
        <v>197</v>
      </c>
      <c r="G454" s="37" t="s">
        <v>198</v>
      </c>
      <c r="H454" s="37" t="s">
        <v>107</v>
      </c>
      <c r="I454" s="37" t="s">
        <v>1351</v>
      </c>
      <c r="J454" s="37">
        <v>451</v>
      </c>
      <c r="K454" s="37">
        <v>2140</v>
      </c>
      <c r="L454" s="37">
        <v>790.16</v>
      </c>
      <c r="M454" s="37" t="s">
        <v>60</v>
      </c>
      <c r="N454" s="37">
        <v>234</v>
      </c>
      <c r="O454" s="37">
        <v>231</v>
      </c>
      <c r="P454" s="37" t="s">
        <v>28</v>
      </c>
      <c r="Q454" s="37">
        <v>0</v>
      </c>
    </row>
    <row r="455" spans="1:17">
      <c r="A455" s="33" t="s">
        <v>1352</v>
      </c>
      <c r="B455" s="33" t="s">
        <v>1353</v>
      </c>
      <c r="C455" s="33" t="s">
        <v>63</v>
      </c>
      <c r="D455" s="33" t="s">
        <v>66</v>
      </c>
      <c r="E455" s="33" t="s">
        <v>67</v>
      </c>
      <c r="F455" s="33" t="s">
        <v>54</v>
      </c>
      <c r="G455" s="33" t="s">
        <v>74</v>
      </c>
      <c r="H455" s="33" t="s">
        <v>453</v>
      </c>
      <c r="I455" s="33" t="s">
        <v>1009</v>
      </c>
      <c r="J455" s="33">
        <v>177</v>
      </c>
      <c r="K455" s="33">
        <v>1672</v>
      </c>
      <c r="L455" s="33">
        <v>713.35</v>
      </c>
      <c r="M455" s="33" t="s">
        <v>27</v>
      </c>
      <c r="N455" s="33">
        <v>320</v>
      </c>
      <c r="O455" s="33">
        <v>126</v>
      </c>
      <c r="P455" s="33" t="s">
        <v>28</v>
      </c>
      <c r="Q455" s="33">
        <v>0</v>
      </c>
    </row>
    <row r="456" spans="1:17">
      <c r="A456" s="37" t="s">
        <v>1354</v>
      </c>
      <c r="B456" s="37" t="s">
        <v>337</v>
      </c>
      <c r="C456" s="37" t="s">
        <v>63</v>
      </c>
      <c r="D456" s="37" t="s">
        <v>56</v>
      </c>
      <c r="E456" s="37" t="s">
        <v>57</v>
      </c>
      <c r="F456" s="37" t="s">
        <v>40</v>
      </c>
      <c r="G456" s="37" t="s">
        <v>41</v>
      </c>
      <c r="H456" s="37" t="s">
        <v>283</v>
      </c>
      <c r="I456" s="37" t="s">
        <v>153</v>
      </c>
      <c r="J456" s="37">
        <v>463</v>
      </c>
      <c r="K456" s="37">
        <v>2127</v>
      </c>
      <c r="L456" s="37">
        <v>403.43</v>
      </c>
      <c r="M456" s="37" t="s">
        <v>60</v>
      </c>
      <c r="N456" s="37">
        <v>130</v>
      </c>
      <c r="O456" s="37">
        <v>66</v>
      </c>
      <c r="P456" s="37" t="s">
        <v>149</v>
      </c>
      <c r="Q456" s="37">
        <v>0</v>
      </c>
    </row>
    <row r="457" spans="1:17">
      <c r="A457" s="33" t="s">
        <v>1355</v>
      </c>
      <c r="B457" s="33" t="s">
        <v>1356</v>
      </c>
      <c r="C457" s="33" t="s">
        <v>192</v>
      </c>
      <c r="D457" s="33" t="s">
        <v>174</v>
      </c>
      <c r="E457" s="33" t="s">
        <v>175</v>
      </c>
      <c r="F457" s="33" t="s">
        <v>79</v>
      </c>
      <c r="G457" s="33" t="s">
        <v>80</v>
      </c>
      <c r="H457" s="33" t="s">
        <v>389</v>
      </c>
      <c r="I457" s="33" t="s">
        <v>1200</v>
      </c>
      <c r="J457" s="33">
        <v>368</v>
      </c>
      <c r="K457" s="33">
        <v>323</v>
      </c>
      <c r="L457" s="33">
        <v>760.94</v>
      </c>
      <c r="M457" s="33" t="s">
        <v>44</v>
      </c>
      <c r="N457" s="33">
        <v>160</v>
      </c>
      <c r="O457" s="33">
        <v>77</v>
      </c>
      <c r="P457" s="33" t="s">
        <v>28</v>
      </c>
      <c r="Q457" s="33">
        <v>0</v>
      </c>
    </row>
    <row r="458" spans="1:17">
      <c r="A458" s="37" t="s">
        <v>1357</v>
      </c>
      <c r="B458" s="37" t="s">
        <v>1298</v>
      </c>
      <c r="C458" s="37" t="s">
        <v>115</v>
      </c>
      <c r="D458" s="37" t="s">
        <v>129</v>
      </c>
      <c r="E458" s="37" t="s">
        <v>130</v>
      </c>
      <c r="F458" s="37" t="s">
        <v>79</v>
      </c>
      <c r="G458" s="37" t="s">
        <v>80</v>
      </c>
      <c r="H458" s="37" t="s">
        <v>107</v>
      </c>
      <c r="I458" s="37" t="s">
        <v>1026</v>
      </c>
      <c r="J458" s="37">
        <v>215</v>
      </c>
      <c r="K458" s="37">
        <v>2541</v>
      </c>
      <c r="L458" s="37">
        <v>391.49</v>
      </c>
      <c r="M458" s="37" t="s">
        <v>27</v>
      </c>
      <c r="N458" s="37">
        <v>242</v>
      </c>
      <c r="O458" s="37"/>
      <c r="P458" s="37" t="s">
        <v>28</v>
      </c>
      <c r="Q458" s="37">
        <v>0</v>
      </c>
    </row>
    <row r="459" spans="1:17">
      <c r="A459" s="33" t="s">
        <v>1358</v>
      </c>
      <c r="B459" s="33" t="s">
        <v>413</v>
      </c>
      <c r="C459" s="33" t="s">
        <v>671</v>
      </c>
      <c r="D459" s="33" t="s">
        <v>64</v>
      </c>
      <c r="E459" s="33" t="s">
        <v>65</v>
      </c>
      <c r="F459" s="33" t="s">
        <v>56</v>
      </c>
      <c r="G459" s="33" t="s">
        <v>57</v>
      </c>
      <c r="H459" s="33" t="s">
        <v>403</v>
      </c>
      <c r="I459" s="33" t="s">
        <v>1107</v>
      </c>
      <c r="J459" s="33">
        <v>431</v>
      </c>
      <c r="K459" s="33">
        <v>2667</v>
      </c>
      <c r="L459" s="33">
        <v>1018.58</v>
      </c>
      <c r="M459" s="33" t="s">
        <v>44</v>
      </c>
      <c r="N459" s="33">
        <v>184</v>
      </c>
      <c r="O459" s="33">
        <v>72</v>
      </c>
      <c r="P459" s="33" t="s">
        <v>28</v>
      </c>
      <c r="Q459" s="33">
        <v>0</v>
      </c>
    </row>
    <row r="460" spans="1:17">
      <c r="A460" s="37" t="s">
        <v>1359</v>
      </c>
      <c r="B460" s="37" t="s">
        <v>949</v>
      </c>
      <c r="C460" s="37" t="s">
        <v>63</v>
      </c>
      <c r="D460" s="37" t="s">
        <v>38</v>
      </c>
      <c r="E460" s="37" t="s">
        <v>39</v>
      </c>
      <c r="F460" s="37" t="s">
        <v>156</v>
      </c>
      <c r="G460" s="37" t="s">
        <v>157</v>
      </c>
      <c r="H460" s="37" t="s">
        <v>494</v>
      </c>
      <c r="I460" s="37" t="s">
        <v>1360</v>
      </c>
      <c r="J460" s="37">
        <v>323</v>
      </c>
      <c r="K460" s="37">
        <v>2671</v>
      </c>
      <c r="L460" s="37">
        <v>483.41</v>
      </c>
      <c r="M460" s="37" t="s">
        <v>60</v>
      </c>
      <c r="N460" s="37">
        <v>123</v>
      </c>
      <c r="O460" s="37">
        <v>88</v>
      </c>
      <c r="P460" s="37" t="s">
        <v>28</v>
      </c>
      <c r="Q460" s="37">
        <v>0</v>
      </c>
    </row>
    <row r="461" spans="1:17">
      <c r="A461" s="33" t="s">
        <v>1361</v>
      </c>
      <c r="B461" s="33" t="s">
        <v>209</v>
      </c>
      <c r="C461" s="33" t="s">
        <v>94</v>
      </c>
      <c r="D461" s="33" t="s">
        <v>129</v>
      </c>
      <c r="E461" s="33" t="s">
        <v>130</v>
      </c>
      <c r="F461" s="33" t="s">
        <v>54</v>
      </c>
      <c r="G461" s="33" t="s">
        <v>74</v>
      </c>
      <c r="H461" s="33" t="s">
        <v>230</v>
      </c>
      <c r="I461" s="33" t="s">
        <v>1362</v>
      </c>
      <c r="J461" s="33">
        <v>331</v>
      </c>
      <c r="K461" s="33">
        <v>851</v>
      </c>
      <c r="L461" s="33">
        <v>216.67</v>
      </c>
      <c r="M461" s="33" t="s">
        <v>44</v>
      </c>
      <c r="N461" s="33">
        <v>184</v>
      </c>
      <c r="O461" s="33">
        <v>184</v>
      </c>
      <c r="P461" s="33" t="s">
        <v>28</v>
      </c>
      <c r="Q461" s="33">
        <v>0</v>
      </c>
    </row>
    <row r="462" spans="1:17">
      <c r="A462" s="37" t="s">
        <v>1363</v>
      </c>
      <c r="B462" s="37" t="s">
        <v>1364</v>
      </c>
      <c r="C462" s="37" t="s">
        <v>1064</v>
      </c>
      <c r="D462" s="37" t="s">
        <v>48</v>
      </c>
      <c r="E462" s="37" t="s">
        <v>49</v>
      </c>
      <c r="F462" s="37" t="s">
        <v>56</v>
      </c>
      <c r="G462" s="37" t="s">
        <v>57</v>
      </c>
      <c r="H462" s="37" t="s">
        <v>166</v>
      </c>
      <c r="I462" s="37" t="s">
        <v>1365</v>
      </c>
      <c r="J462" s="37">
        <v>337</v>
      </c>
      <c r="K462" s="37">
        <v>2777</v>
      </c>
      <c r="L462" s="37">
        <v>1125.96</v>
      </c>
      <c r="M462" s="37" t="s">
        <v>27</v>
      </c>
      <c r="N462" s="37">
        <v>173</v>
      </c>
      <c r="O462" s="37"/>
      <c r="P462" s="37" t="s">
        <v>28</v>
      </c>
      <c r="Q462" s="37">
        <v>0</v>
      </c>
    </row>
    <row r="463" spans="1:17">
      <c r="A463" s="33" t="s">
        <v>1366</v>
      </c>
      <c r="B463" s="33" t="s">
        <v>1367</v>
      </c>
      <c r="C463" s="33" t="s">
        <v>192</v>
      </c>
      <c r="D463" s="33" t="s">
        <v>116</v>
      </c>
      <c r="E463" s="33" t="s">
        <v>117</v>
      </c>
      <c r="F463" s="33" t="s">
        <v>48</v>
      </c>
      <c r="G463" s="33" t="s">
        <v>49</v>
      </c>
      <c r="H463" s="33" t="s">
        <v>414</v>
      </c>
      <c r="I463" s="33" t="s">
        <v>1368</v>
      </c>
      <c r="J463" s="33">
        <v>156</v>
      </c>
      <c r="K463" s="33">
        <v>2816</v>
      </c>
      <c r="L463" s="33">
        <v>710.15</v>
      </c>
      <c r="M463" s="33" t="s">
        <v>27</v>
      </c>
      <c r="N463" s="33">
        <v>286</v>
      </c>
      <c r="O463" s="33">
        <v>211</v>
      </c>
      <c r="P463" s="33" t="s">
        <v>28</v>
      </c>
      <c r="Q463" s="33">
        <v>0</v>
      </c>
    </row>
    <row r="464" spans="1:17">
      <c r="A464" s="37" t="s">
        <v>1369</v>
      </c>
      <c r="B464" s="37" t="s">
        <v>357</v>
      </c>
      <c r="C464" s="37" t="s">
        <v>31</v>
      </c>
      <c r="D464" s="37" t="s">
        <v>95</v>
      </c>
      <c r="E464" s="37" t="s">
        <v>96</v>
      </c>
      <c r="F464" s="37" t="s">
        <v>183</v>
      </c>
      <c r="G464" s="37" t="s">
        <v>184</v>
      </c>
      <c r="H464" s="37" t="s">
        <v>317</v>
      </c>
      <c r="I464" s="37" t="s">
        <v>1370</v>
      </c>
      <c r="J464" s="37">
        <v>102</v>
      </c>
      <c r="K464" s="37">
        <v>2204</v>
      </c>
      <c r="L464" s="37">
        <v>780.52</v>
      </c>
      <c r="M464" s="37" t="s">
        <v>60</v>
      </c>
      <c r="N464" s="37">
        <v>288</v>
      </c>
      <c r="O464" s="37">
        <v>267</v>
      </c>
      <c r="P464" s="37" t="s">
        <v>28</v>
      </c>
      <c r="Q464" s="37">
        <v>0</v>
      </c>
    </row>
    <row r="465" spans="1:17">
      <c r="A465" s="33" t="s">
        <v>1371</v>
      </c>
      <c r="B465" s="33" t="s">
        <v>1372</v>
      </c>
      <c r="C465" s="33" t="s">
        <v>73</v>
      </c>
      <c r="D465" s="33" t="s">
        <v>56</v>
      </c>
      <c r="E465" s="33" t="s">
        <v>57</v>
      </c>
      <c r="F465" s="33" t="s">
        <v>64</v>
      </c>
      <c r="G465" s="33" t="s">
        <v>65</v>
      </c>
      <c r="H465" s="33" t="s">
        <v>774</v>
      </c>
      <c r="I465" s="33" t="s">
        <v>1373</v>
      </c>
      <c r="J465" s="33">
        <v>95</v>
      </c>
      <c r="K465" s="33">
        <v>2923</v>
      </c>
      <c r="L465" s="33">
        <v>305.33</v>
      </c>
      <c r="M465" s="33" t="s">
        <v>44</v>
      </c>
      <c r="N465" s="33">
        <v>165</v>
      </c>
      <c r="O465" s="33">
        <v>151</v>
      </c>
      <c r="P465" s="33" t="s">
        <v>28</v>
      </c>
      <c r="Q465" s="33">
        <v>0</v>
      </c>
    </row>
    <row r="466" spans="1:17">
      <c r="A466" s="37" t="s">
        <v>1374</v>
      </c>
      <c r="B466" s="37" t="s">
        <v>1375</v>
      </c>
      <c r="C466" s="37" t="s">
        <v>47</v>
      </c>
      <c r="D466" s="37" t="s">
        <v>174</v>
      </c>
      <c r="E466" s="37" t="s">
        <v>175</v>
      </c>
      <c r="F466" s="37" t="s">
        <v>101</v>
      </c>
      <c r="G466" s="37" t="s">
        <v>102</v>
      </c>
      <c r="H466" s="37" t="s">
        <v>216</v>
      </c>
      <c r="I466" s="37" t="s">
        <v>1376</v>
      </c>
      <c r="J466" s="37">
        <v>264</v>
      </c>
      <c r="K466" s="37">
        <v>1922</v>
      </c>
      <c r="L466" s="37">
        <v>891.32</v>
      </c>
      <c r="M466" s="37" t="s">
        <v>27</v>
      </c>
      <c r="N466" s="37">
        <v>345</v>
      </c>
      <c r="O466" s="37">
        <v>64</v>
      </c>
      <c r="P466" s="37" t="s">
        <v>70</v>
      </c>
      <c r="Q466" s="37">
        <v>64</v>
      </c>
    </row>
    <row r="467" spans="1:17">
      <c r="A467" s="33" t="s">
        <v>1377</v>
      </c>
      <c r="B467" s="33" t="s">
        <v>1378</v>
      </c>
      <c r="C467" s="33" t="s">
        <v>47</v>
      </c>
      <c r="D467" s="33" t="s">
        <v>79</v>
      </c>
      <c r="E467" s="33" t="s">
        <v>80</v>
      </c>
      <c r="F467" s="33" t="s">
        <v>116</v>
      </c>
      <c r="G467" s="33" t="s">
        <v>117</v>
      </c>
      <c r="H467" s="33" t="s">
        <v>855</v>
      </c>
      <c r="I467" s="33" t="s">
        <v>1379</v>
      </c>
      <c r="J467" s="33">
        <v>336</v>
      </c>
      <c r="K467" s="33">
        <v>936</v>
      </c>
      <c r="L467" s="33">
        <v>782.46</v>
      </c>
      <c r="M467" s="33" t="s">
        <v>27</v>
      </c>
      <c r="N467" s="33">
        <v>329</v>
      </c>
      <c r="O467" s="33">
        <v>221</v>
      </c>
      <c r="P467" s="33" t="s">
        <v>28</v>
      </c>
      <c r="Q467" s="33">
        <v>0</v>
      </c>
    </row>
    <row r="468" spans="1:17">
      <c r="A468" s="37" t="s">
        <v>1380</v>
      </c>
      <c r="B468" s="37" t="s">
        <v>1302</v>
      </c>
      <c r="C468" s="37" t="s">
        <v>20</v>
      </c>
      <c r="D468" s="37" t="s">
        <v>116</v>
      </c>
      <c r="E468" s="37" t="s">
        <v>117</v>
      </c>
      <c r="F468" s="37" t="s">
        <v>95</v>
      </c>
      <c r="G468" s="37" t="s">
        <v>96</v>
      </c>
      <c r="H468" s="37" t="s">
        <v>591</v>
      </c>
      <c r="I468" s="37" t="s">
        <v>1381</v>
      </c>
      <c r="J468" s="37">
        <v>374</v>
      </c>
      <c r="K468" s="37">
        <v>2494</v>
      </c>
      <c r="L468" s="37">
        <v>100.96</v>
      </c>
      <c r="M468" s="37" t="s">
        <v>27</v>
      </c>
      <c r="N468" s="37">
        <v>275</v>
      </c>
      <c r="O468" s="37">
        <v>134</v>
      </c>
      <c r="P468" s="37" t="s">
        <v>70</v>
      </c>
      <c r="Q468" s="37">
        <v>105</v>
      </c>
    </row>
    <row r="469" spans="1:17">
      <c r="A469" s="33" t="s">
        <v>1382</v>
      </c>
      <c r="B469" s="33" t="s">
        <v>1383</v>
      </c>
      <c r="C469" s="33" t="s">
        <v>63</v>
      </c>
      <c r="D469" s="33" t="s">
        <v>21</v>
      </c>
      <c r="E469" s="33" t="s">
        <v>22</v>
      </c>
      <c r="F469" s="33" t="s">
        <v>174</v>
      </c>
      <c r="G469" s="33" t="s">
        <v>175</v>
      </c>
      <c r="H469" s="33" t="s">
        <v>248</v>
      </c>
      <c r="I469" s="33" t="s">
        <v>1384</v>
      </c>
      <c r="J469" s="33">
        <v>410</v>
      </c>
      <c r="K469" s="33">
        <v>2488</v>
      </c>
      <c r="L469" s="33">
        <v>1023.49</v>
      </c>
      <c r="M469" s="33" t="s">
        <v>27</v>
      </c>
      <c r="N469" s="33">
        <v>255</v>
      </c>
      <c r="O469" s="33">
        <v>149</v>
      </c>
      <c r="P469" s="33" t="s">
        <v>28</v>
      </c>
      <c r="Q469" s="33">
        <v>0</v>
      </c>
    </row>
    <row r="470" spans="1:17">
      <c r="A470" s="37" t="s">
        <v>1385</v>
      </c>
      <c r="B470" s="37" t="s">
        <v>1386</v>
      </c>
      <c r="C470" s="37" t="s">
        <v>192</v>
      </c>
      <c r="D470" s="37" t="s">
        <v>156</v>
      </c>
      <c r="E470" s="37" t="s">
        <v>157</v>
      </c>
      <c r="F470" s="37" t="s">
        <v>56</v>
      </c>
      <c r="G470" s="37" t="s">
        <v>57</v>
      </c>
      <c r="H470" s="37" t="s">
        <v>140</v>
      </c>
      <c r="I470" s="37" t="s">
        <v>1162</v>
      </c>
      <c r="J470" s="37">
        <v>134</v>
      </c>
      <c r="K470" s="37">
        <v>2335</v>
      </c>
      <c r="L470" s="37">
        <v>1062.29</v>
      </c>
      <c r="M470" s="37" t="s">
        <v>44</v>
      </c>
      <c r="N470" s="37">
        <v>215</v>
      </c>
      <c r="O470" s="37">
        <v>127</v>
      </c>
      <c r="P470" s="37" t="s">
        <v>28</v>
      </c>
      <c r="Q470" s="37">
        <v>0</v>
      </c>
    </row>
    <row r="471" spans="1:17">
      <c r="A471" s="33" t="s">
        <v>1387</v>
      </c>
      <c r="B471" s="33" t="s">
        <v>1388</v>
      </c>
      <c r="C471" s="33" t="s">
        <v>63</v>
      </c>
      <c r="D471" s="33" t="s">
        <v>197</v>
      </c>
      <c r="E471" s="33" t="s">
        <v>198</v>
      </c>
      <c r="F471" s="33" t="s">
        <v>66</v>
      </c>
      <c r="G471" s="33" t="s">
        <v>67</v>
      </c>
      <c r="H471" s="33" t="s">
        <v>855</v>
      </c>
      <c r="I471" s="33" t="s">
        <v>1389</v>
      </c>
      <c r="J471" s="33">
        <v>137</v>
      </c>
      <c r="K471" s="33">
        <v>2117</v>
      </c>
      <c r="L471" s="33">
        <v>646.71</v>
      </c>
      <c r="M471" s="33" t="s">
        <v>44</v>
      </c>
      <c r="N471" s="33">
        <v>331</v>
      </c>
      <c r="O471" s="33">
        <v>306</v>
      </c>
      <c r="P471" s="33" t="s">
        <v>28</v>
      </c>
      <c r="Q471" s="33"/>
    </row>
    <row r="472" spans="1:17">
      <c r="A472" s="37" t="s">
        <v>1390</v>
      </c>
      <c r="B472" s="37" t="s">
        <v>93</v>
      </c>
      <c r="C472" s="37" t="s">
        <v>115</v>
      </c>
      <c r="D472" s="37" t="s">
        <v>116</v>
      </c>
      <c r="E472" s="37" t="s">
        <v>117</v>
      </c>
      <c r="F472" s="37" t="s">
        <v>95</v>
      </c>
      <c r="G472" s="37" t="s">
        <v>96</v>
      </c>
      <c r="H472" s="37" t="s">
        <v>269</v>
      </c>
      <c r="I472" s="37" t="s">
        <v>1391</v>
      </c>
      <c r="J472" s="37">
        <v>140</v>
      </c>
      <c r="K472" s="37">
        <v>2414</v>
      </c>
      <c r="L472" s="37">
        <v>837.92</v>
      </c>
      <c r="M472" s="37" t="s">
        <v>60</v>
      </c>
      <c r="N472" s="37">
        <v>152</v>
      </c>
      <c r="O472" s="37"/>
      <c r="P472" s="37" t="s">
        <v>28</v>
      </c>
      <c r="Q472" s="37">
        <v>0</v>
      </c>
    </row>
    <row r="473" spans="1:17">
      <c r="A473" s="33" t="s">
        <v>1392</v>
      </c>
      <c r="B473" s="33" t="s">
        <v>924</v>
      </c>
      <c r="C473" s="33" t="s">
        <v>94</v>
      </c>
      <c r="D473" s="33" t="s">
        <v>174</v>
      </c>
      <c r="E473" s="33" t="s">
        <v>175</v>
      </c>
      <c r="F473" s="33" t="s">
        <v>156</v>
      </c>
      <c r="G473" s="33" t="s">
        <v>157</v>
      </c>
      <c r="H473" s="33" t="s">
        <v>802</v>
      </c>
      <c r="I473" s="33" t="s">
        <v>1393</v>
      </c>
      <c r="J473" s="33">
        <v>260</v>
      </c>
      <c r="K473" s="33">
        <v>2212</v>
      </c>
      <c r="L473" s="33">
        <v>1075.8900000000001</v>
      </c>
      <c r="M473" s="33" t="s">
        <v>60</v>
      </c>
      <c r="N473" s="33">
        <v>233</v>
      </c>
      <c r="O473" s="33">
        <v>218</v>
      </c>
      <c r="P473" s="33" t="s">
        <v>408</v>
      </c>
      <c r="Q473" s="33">
        <v>20</v>
      </c>
    </row>
    <row r="474" spans="1:17">
      <c r="A474" s="37" t="s">
        <v>1394</v>
      </c>
      <c r="B474" s="37" t="s">
        <v>1395</v>
      </c>
      <c r="C474" s="37" t="s">
        <v>31</v>
      </c>
      <c r="D474" s="37" t="s">
        <v>156</v>
      </c>
      <c r="E474" s="37" t="s">
        <v>157</v>
      </c>
      <c r="F474" s="37" t="s">
        <v>183</v>
      </c>
      <c r="G474" s="37" t="s">
        <v>184</v>
      </c>
      <c r="H474" s="37" t="s">
        <v>68</v>
      </c>
      <c r="I474" s="37" t="s">
        <v>1396</v>
      </c>
      <c r="J474" s="37">
        <v>231</v>
      </c>
      <c r="K474" s="37">
        <v>2480</v>
      </c>
      <c r="L474" s="37">
        <v>437.45</v>
      </c>
      <c r="M474" s="37" t="s">
        <v>44</v>
      </c>
      <c r="N474" s="37">
        <v>271</v>
      </c>
      <c r="O474" s="37"/>
      <c r="P474" s="37" t="s">
        <v>28</v>
      </c>
      <c r="Q474" s="37">
        <v>0</v>
      </c>
    </row>
    <row r="475" spans="1:17">
      <c r="A475" s="33" t="s">
        <v>1397</v>
      </c>
      <c r="B475" s="33" t="s">
        <v>898</v>
      </c>
      <c r="C475" s="33" t="s">
        <v>192</v>
      </c>
      <c r="D475" s="33" t="s">
        <v>197</v>
      </c>
      <c r="E475" s="33" t="s">
        <v>198</v>
      </c>
      <c r="F475" s="33" t="s">
        <v>174</v>
      </c>
      <c r="G475" s="33" t="s">
        <v>175</v>
      </c>
      <c r="H475" s="33" t="s">
        <v>34</v>
      </c>
      <c r="I475" s="33" t="s">
        <v>600</v>
      </c>
      <c r="J475" s="33">
        <v>195</v>
      </c>
      <c r="K475" s="33">
        <v>2522</v>
      </c>
      <c r="L475" s="33">
        <v>472.36</v>
      </c>
      <c r="M475" s="33" t="s">
        <v>44</v>
      </c>
      <c r="N475" s="33">
        <v>169</v>
      </c>
      <c r="O475" s="33"/>
      <c r="P475" s="33" t="s">
        <v>149</v>
      </c>
      <c r="Q475" s="33"/>
    </row>
    <row r="476" spans="1:17">
      <c r="A476" s="37" t="s">
        <v>1398</v>
      </c>
      <c r="B476" s="37" t="s">
        <v>1399</v>
      </c>
      <c r="C476" s="37" t="s">
        <v>31</v>
      </c>
      <c r="D476" s="37" t="s">
        <v>38</v>
      </c>
      <c r="E476" s="37" t="s">
        <v>39</v>
      </c>
      <c r="F476" s="37" t="s">
        <v>54</v>
      </c>
      <c r="G476" s="37" t="s">
        <v>55</v>
      </c>
      <c r="H476" s="37" t="s">
        <v>283</v>
      </c>
      <c r="I476" s="37" t="s">
        <v>1400</v>
      </c>
      <c r="J476" s="37">
        <v>366</v>
      </c>
      <c r="K476" s="37">
        <v>2117</v>
      </c>
      <c r="L476" s="37">
        <v>136.81</v>
      </c>
      <c r="M476" s="37" t="s">
        <v>60</v>
      </c>
      <c r="N476" s="37">
        <v>220</v>
      </c>
      <c r="O476" s="37">
        <v>62</v>
      </c>
      <c r="P476" s="37" t="s">
        <v>28</v>
      </c>
      <c r="Q476" s="37">
        <v>0</v>
      </c>
    </row>
    <row r="477" spans="1:17">
      <c r="A477" s="33" t="s">
        <v>1401</v>
      </c>
      <c r="B477" s="33" t="s">
        <v>1402</v>
      </c>
      <c r="C477" s="33" t="s">
        <v>94</v>
      </c>
      <c r="D477" s="33" t="s">
        <v>129</v>
      </c>
      <c r="E477" s="33" t="s">
        <v>130</v>
      </c>
      <c r="F477" s="33" t="s">
        <v>66</v>
      </c>
      <c r="G477" s="33" t="s">
        <v>67</v>
      </c>
      <c r="H477" s="33" t="s">
        <v>97</v>
      </c>
      <c r="I477" s="33" t="s">
        <v>462</v>
      </c>
      <c r="J477" s="33">
        <v>405</v>
      </c>
      <c r="K477" s="33">
        <v>1756</v>
      </c>
      <c r="L477" s="33">
        <v>429.93</v>
      </c>
      <c r="M477" s="33" t="s">
        <v>60</v>
      </c>
      <c r="N477" s="33">
        <v>282</v>
      </c>
      <c r="O477" s="33">
        <v>244</v>
      </c>
      <c r="P477" s="33" t="s">
        <v>70</v>
      </c>
      <c r="Q477" s="33">
        <v>151</v>
      </c>
    </row>
    <row r="478" spans="1:17">
      <c r="A478" s="37" t="s">
        <v>1403</v>
      </c>
      <c r="B478" s="37" t="s">
        <v>1404</v>
      </c>
      <c r="C478" s="37" t="s">
        <v>115</v>
      </c>
      <c r="D478" s="37" t="s">
        <v>54</v>
      </c>
      <c r="E478" s="37" t="s">
        <v>74</v>
      </c>
      <c r="F478" s="37" t="s">
        <v>101</v>
      </c>
      <c r="G478" s="37" t="s">
        <v>102</v>
      </c>
      <c r="H478" s="37" t="s">
        <v>170</v>
      </c>
      <c r="I478" s="37" t="s">
        <v>1405</v>
      </c>
      <c r="J478" s="37">
        <v>139</v>
      </c>
      <c r="K478" s="37">
        <v>2166</v>
      </c>
      <c r="L478" s="37">
        <v>427.64</v>
      </c>
      <c r="M478" s="37" t="s">
        <v>27</v>
      </c>
      <c r="N478" s="37">
        <v>281</v>
      </c>
      <c r="O478" s="37">
        <v>246</v>
      </c>
      <c r="P478" s="37" t="s">
        <v>28</v>
      </c>
      <c r="Q478" s="37">
        <v>0</v>
      </c>
    </row>
    <row r="479" spans="1:17">
      <c r="A479" s="33" t="s">
        <v>1406</v>
      </c>
      <c r="B479" s="33" t="s">
        <v>1407</v>
      </c>
      <c r="C479" s="33" t="s">
        <v>31</v>
      </c>
      <c r="D479" s="33" t="s">
        <v>101</v>
      </c>
      <c r="E479" s="33" t="s">
        <v>102</v>
      </c>
      <c r="F479" s="33" t="s">
        <v>95</v>
      </c>
      <c r="G479" s="33" t="s">
        <v>96</v>
      </c>
      <c r="H479" s="33" t="s">
        <v>193</v>
      </c>
      <c r="I479" s="33" t="s">
        <v>1408</v>
      </c>
      <c r="J479" s="33">
        <v>183</v>
      </c>
      <c r="K479" s="33">
        <v>1653</v>
      </c>
      <c r="L479" s="33">
        <v>963.43</v>
      </c>
      <c r="M479" s="33" t="s">
        <v>44</v>
      </c>
      <c r="N479" s="33">
        <v>216</v>
      </c>
      <c r="O479" s="33">
        <v>174</v>
      </c>
      <c r="P479" s="33" t="s">
        <v>28</v>
      </c>
      <c r="Q479" s="33">
        <v>0</v>
      </c>
    </row>
    <row r="480" spans="1:17">
      <c r="A480" s="37" t="s">
        <v>1409</v>
      </c>
      <c r="B480" s="37" t="s">
        <v>110</v>
      </c>
      <c r="C480" s="37" t="s">
        <v>94</v>
      </c>
      <c r="D480" s="37" t="s">
        <v>64</v>
      </c>
      <c r="E480" s="37" t="s">
        <v>65</v>
      </c>
      <c r="F480" s="37" t="s">
        <v>116</v>
      </c>
      <c r="G480" s="37" t="s">
        <v>117</v>
      </c>
      <c r="H480" s="37" t="s">
        <v>473</v>
      </c>
      <c r="I480" s="37" t="s">
        <v>1410</v>
      </c>
      <c r="J480" s="37">
        <v>234</v>
      </c>
      <c r="K480" s="37">
        <v>1727</v>
      </c>
      <c r="L480" s="37">
        <v>756.97</v>
      </c>
      <c r="M480" s="37" t="s">
        <v>60</v>
      </c>
      <c r="N480" s="37">
        <v>230</v>
      </c>
      <c r="O480" s="37">
        <v>76</v>
      </c>
      <c r="P480" s="37" t="s">
        <v>28</v>
      </c>
      <c r="Q480" s="37">
        <v>0</v>
      </c>
    </row>
    <row r="481" spans="1:17">
      <c r="A481" s="33" t="s">
        <v>1411</v>
      </c>
      <c r="B481" s="33" t="s">
        <v>1412</v>
      </c>
      <c r="C481" s="33" t="s">
        <v>47</v>
      </c>
      <c r="D481" s="33" t="s">
        <v>32</v>
      </c>
      <c r="E481" s="33" t="s">
        <v>33</v>
      </c>
      <c r="F481" s="33" t="s">
        <v>54</v>
      </c>
      <c r="G481" s="33" t="s">
        <v>55</v>
      </c>
      <c r="H481" s="33" t="s">
        <v>210</v>
      </c>
      <c r="I481" s="33" t="s">
        <v>1413</v>
      </c>
      <c r="J481" s="33">
        <v>295</v>
      </c>
      <c r="K481" s="33">
        <v>2718</v>
      </c>
      <c r="L481" s="33">
        <v>543.04999999999995</v>
      </c>
      <c r="M481" s="33" t="s">
        <v>27</v>
      </c>
      <c r="N481" s="33">
        <v>162</v>
      </c>
      <c r="O481" s="33">
        <v>120</v>
      </c>
      <c r="P481" s="33" t="s">
        <v>28</v>
      </c>
      <c r="Q481" s="33">
        <v>0</v>
      </c>
    </row>
    <row r="482" spans="1:17">
      <c r="A482" s="37" t="s">
        <v>1414</v>
      </c>
      <c r="B482" s="37" t="s">
        <v>1415</v>
      </c>
      <c r="C482" s="37" t="s">
        <v>73</v>
      </c>
      <c r="D482" s="37" t="s">
        <v>54</v>
      </c>
      <c r="E482" s="37" t="s">
        <v>55</v>
      </c>
      <c r="F482" s="37" t="s">
        <v>64</v>
      </c>
      <c r="G482" s="37" t="s">
        <v>65</v>
      </c>
      <c r="H482" s="37" t="s">
        <v>139</v>
      </c>
      <c r="I482" s="37" t="s">
        <v>1416</v>
      </c>
      <c r="J482" s="37">
        <v>312</v>
      </c>
      <c r="K482" s="37">
        <v>2623</v>
      </c>
      <c r="L482" s="37">
        <v>961.81</v>
      </c>
      <c r="M482" s="37" t="s">
        <v>27</v>
      </c>
      <c r="N482" s="37">
        <v>277</v>
      </c>
      <c r="O482" s="37">
        <v>110</v>
      </c>
      <c r="P482" s="37" t="s">
        <v>28</v>
      </c>
      <c r="Q482" s="37">
        <v>0</v>
      </c>
    </row>
    <row r="483" spans="1:17">
      <c r="A483" s="33" t="s">
        <v>1417</v>
      </c>
      <c r="B483" s="33" t="s">
        <v>904</v>
      </c>
      <c r="C483" s="33" t="s">
        <v>115</v>
      </c>
      <c r="D483" s="33" t="s">
        <v>197</v>
      </c>
      <c r="E483" s="33" t="s">
        <v>198</v>
      </c>
      <c r="F483" s="33" t="s">
        <v>48</v>
      </c>
      <c r="G483" s="33" t="s">
        <v>49</v>
      </c>
      <c r="H483" s="33" t="s">
        <v>111</v>
      </c>
      <c r="I483" s="33" t="s">
        <v>716</v>
      </c>
      <c r="J483" s="33">
        <v>256</v>
      </c>
      <c r="K483" s="33">
        <v>2573</v>
      </c>
      <c r="L483" s="33">
        <v>189.37</v>
      </c>
      <c r="M483" s="33" t="s">
        <v>44</v>
      </c>
      <c r="N483" s="33">
        <v>145</v>
      </c>
      <c r="O483" s="33">
        <v>89</v>
      </c>
      <c r="P483" s="33" t="s">
        <v>149</v>
      </c>
      <c r="Q483" s="33">
        <v>0</v>
      </c>
    </row>
    <row r="484" spans="1:17">
      <c r="A484" s="37" t="s">
        <v>1418</v>
      </c>
      <c r="B484" s="37" t="s">
        <v>1419</v>
      </c>
      <c r="C484" s="37" t="s">
        <v>94</v>
      </c>
      <c r="D484" s="37" t="s">
        <v>48</v>
      </c>
      <c r="E484" s="37" t="s">
        <v>49</v>
      </c>
      <c r="F484" s="37" t="s">
        <v>66</v>
      </c>
      <c r="G484" s="37" t="s">
        <v>67</v>
      </c>
      <c r="H484" s="37" t="s">
        <v>248</v>
      </c>
      <c r="I484" s="37" t="s">
        <v>476</v>
      </c>
      <c r="J484" s="37">
        <v>420</v>
      </c>
      <c r="K484" s="37">
        <v>551</v>
      </c>
      <c r="L484" s="37">
        <v>181.4</v>
      </c>
      <c r="M484" s="37" t="s">
        <v>60</v>
      </c>
      <c r="N484" s="37">
        <v>327</v>
      </c>
      <c r="O484" s="37">
        <v>50</v>
      </c>
      <c r="P484" s="37" t="s">
        <v>70</v>
      </c>
      <c r="Q484" s="37">
        <v>53</v>
      </c>
    </row>
    <row r="485" spans="1:17">
      <c r="A485" s="33" t="s">
        <v>1420</v>
      </c>
      <c r="B485" s="33" t="s">
        <v>1421</v>
      </c>
      <c r="C485" s="33" t="s">
        <v>192</v>
      </c>
      <c r="D485" s="33" t="s">
        <v>66</v>
      </c>
      <c r="E485" s="33" t="s">
        <v>67</v>
      </c>
      <c r="F485" s="33" t="s">
        <v>48</v>
      </c>
      <c r="G485" s="33" t="s">
        <v>49</v>
      </c>
      <c r="H485" s="33" t="s">
        <v>473</v>
      </c>
      <c r="I485" s="33" t="s">
        <v>528</v>
      </c>
      <c r="J485" s="33">
        <v>195</v>
      </c>
      <c r="K485" s="33">
        <v>1596</v>
      </c>
      <c r="L485" s="33">
        <v>415.7</v>
      </c>
      <c r="M485" s="33" t="s">
        <v>27</v>
      </c>
      <c r="N485" s="33">
        <v>177</v>
      </c>
      <c r="O485" s="33">
        <v>161</v>
      </c>
      <c r="P485" s="33" t="s">
        <v>70</v>
      </c>
      <c r="Q485" s="33">
        <v>103</v>
      </c>
    </row>
    <row r="486" spans="1:17">
      <c r="A486" s="37" t="s">
        <v>1422</v>
      </c>
      <c r="B486" s="37" t="s">
        <v>1423</v>
      </c>
      <c r="C486" s="37" t="s">
        <v>20</v>
      </c>
      <c r="D486" s="37" t="s">
        <v>48</v>
      </c>
      <c r="E486" s="37" t="s">
        <v>49</v>
      </c>
      <c r="F486" s="37" t="s">
        <v>116</v>
      </c>
      <c r="G486" s="37" t="s">
        <v>117</v>
      </c>
      <c r="H486" s="37" t="s">
        <v>279</v>
      </c>
      <c r="I486" s="37" t="s">
        <v>469</v>
      </c>
      <c r="J486" s="37">
        <v>240</v>
      </c>
      <c r="K486" s="37">
        <v>555</v>
      </c>
      <c r="L486" s="37">
        <v>493.53</v>
      </c>
      <c r="M486" s="37" t="s">
        <v>27</v>
      </c>
      <c r="N486" s="37">
        <v>347</v>
      </c>
      <c r="O486" s="37">
        <v>77</v>
      </c>
      <c r="P486" s="37" t="s">
        <v>28</v>
      </c>
      <c r="Q486" s="37">
        <v>0</v>
      </c>
    </row>
    <row r="487" spans="1:17">
      <c r="A487" s="33" t="s">
        <v>1424</v>
      </c>
      <c r="B487" s="33" t="s">
        <v>46</v>
      </c>
      <c r="C487" s="33" t="s">
        <v>94</v>
      </c>
      <c r="D487" s="33" t="s">
        <v>95</v>
      </c>
      <c r="E487" s="33" t="s">
        <v>96</v>
      </c>
      <c r="F487" s="33" t="s">
        <v>174</v>
      </c>
      <c r="G487" s="33" t="s">
        <v>175</v>
      </c>
      <c r="H487" s="33" t="s">
        <v>417</v>
      </c>
      <c r="I487" s="33" t="s">
        <v>1425</v>
      </c>
      <c r="J487" s="33">
        <v>449</v>
      </c>
      <c r="K487" s="33">
        <v>2717</v>
      </c>
      <c r="L487" s="33">
        <v>521.58000000000004</v>
      </c>
      <c r="M487" s="33" t="s">
        <v>44</v>
      </c>
      <c r="N487" s="33">
        <v>282</v>
      </c>
      <c r="O487" s="33">
        <v>147</v>
      </c>
      <c r="P487" s="33" t="s">
        <v>28</v>
      </c>
      <c r="Q487" s="33"/>
    </row>
    <row r="488" spans="1:17">
      <c r="A488" s="37" t="s">
        <v>1426</v>
      </c>
      <c r="B488" s="37" t="s">
        <v>1427</v>
      </c>
      <c r="C488" s="37" t="s">
        <v>31</v>
      </c>
      <c r="D488" s="37" t="s">
        <v>38</v>
      </c>
      <c r="E488" s="37" t="s">
        <v>39</v>
      </c>
      <c r="F488" s="37" t="s">
        <v>116</v>
      </c>
      <c r="G488" s="37" t="s">
        <v>117</v>
      </c>
      <c r="H488" s="37" t="s">
        <v>939</v>
      </c>
      <c r="I488" s="37" t="s">
        <v>1428</v>
      </c>
      <c r="J488" s="37">
        <v>374</v>
      </c>
      <c r="K488" s="37">
        <v>1875</v>
      </c>
      <c r="L488" s="37">
        <v>1024.53</v>
      </c>
      <c r="M488" s="37" t="s">
        <v>44</v>
      </c>
      <c r="N488" s="37">
        <v>315</v>
      </c>
      <c r="O488" s="37">
        <v>263</v>
      </c>
      <c r="P488" s="37" t="s">
        <v>28</v>
      </c>
      <c r="Q488" s="37">
        <v>0</v>
      </c>
    </row>
    <row r="489" spans="1:17">
      <c r="A489" s="33" t="s">
        <v>1429</v>
      </c>
      <c r="B489" s="33" t="s">
        <v>1258</v>
      </c>
      <c r="C489" s="33" t="s">
        <v>63</v>
      </c>
      <c r="D489" s="33" t="s">
        <v>174</v>
      </c>
      <c r="E489" s="33" t="s">
        <v>175</v>
      </c>
      <c r="F489" s="33" t="s">
        <v>197</v>
      </c>
      <c r="G489" s="33" t="s">
        <v>198</v>
      </c>
      <c r="H489" s="33" t="s">
        <v>499</v>
      </c>
      <c r="I489" s="33" t="s">
        <v>91</v>
      </c>
      <c r="J489" s="33">
        <v>163</v>
      </c>
      <c r="K489" s="33">
        <v>2293</v>
      </c>
      <c r="L489" s="33">
        <v>816.88</v>
      </c>
      <c r="M489" s="33" t="s">
        <v>60</v>
      </c>
      <c r="N489" s="33">
        <v>121</v>
      </c>
      <c r="O489" s="33">
        <v>67</v>
      </c>
      <c r="P489" s="33" t="s">
        <v>28</v>
      </c>
      <c r="Q489" s="33">
        <v>0</v>
      </c>
    </row>
    <row r="490" spans="1:17">
      <c r="A490" s="37" t="s">
        <v>1430</v>
      </c>
      <c r="B490" s="37" t="s">
        <v>1078</v>
      </c>
      <c r="C490" s="37" t="s">
        <v>115</v>
      </c>
      <c r="D490" s="37" t="s">
        <v>48</v>
      </c>
      <c r="E490" s="37" t="s">
        <v>49</v>
      </c>
      <c r="F490" s="37" t="s">
        <v>129</v>
      </c>
      <c r="G490" s="37" t="s">
        <v>130</v>
      </c>
      <c r="H490" s="37" t="s">
        <v>494</v>
      </c>
      <c r="I490" s="37" t="s">
        <v>320</v>
      </c>
      <c r="J490" s="37">
        <v>322</v>
      </c>
      <c r="K490" s="37">
        <v>2386</v>
      </c>
      <c r="L490" s="37">
        <v>555.02</v>
      </c>
      <c r="M490" s="37" t="s">
        <v>44</v>
      </c>
      <c r="N490" s="37">
        <v>198</v>
      </c>
      <c r="O490" s="37">
        <v>140</v>
      </c>
      <c r="P490" s="37" t="s">
        <v>28</v>
      </c>
      <c r="Q490" s="37">
        <v>0</v>
      </c>
    </row>
    <row r="491" spans="1:17">
      <c r="A491" s="33" t="s">
        <v>1431</v>
      </c>
      <c r="B491" s="33" t="s">
        <v>1432</v>
      </c>
      <c r="C491" s="33" t="s">
        <v>20</v>
      </c>
      <c r="D491" s="33" t="s">
        <v>54</v>
      </c>
      <c r="E491" s="33" t="s">
        <v>74</v>
      </c>
      <c r="F491" s="33" t="s">
        <v>79</v>
      </c>
      <c r="G491" s="33" t="s">
        <v>80</v>
      </c>
      <c r="H491" s="33" t="s">
        <v>338</v>
      </c>
      <c r="I491" s="33" t="s">
        <v>1433</v>
      </c>
      <c r="J491" s="33">
        <v>454</v>
      </c>
      <c r="K491" s="33">
        <v>2355</v>
      </c>
      <c r="L491" s="33">
        <v>381.56</v>
      </c>
      <c r="M491" s="33" t="s">
        <v>27</v>
      </c>
      <c r="N491" s="33">
        <v>247</v>
      </c>
      <c r="O491" s="33">
        <v>143</v>
      </c>
      <c r="P491" s="33" t="s">
        <v>28</v>
      </c>
      <c r="Q491" s="33">
        <v>0</v>
      </c>
    </row>
    <row r="492" spans="1:17">
      <c r="A492" s="37" t="s">
        <v>1434</v>
      </c>
      <c r="B492" s="37" t="s">
        <v>1435</v>
      </c>
      <c r="C492" s="37" t="s">
        <v>115</v>
      </c>
      <c r="D492" s="37" t="s">
        <v>64</v>
      </c>
      <c r="E492" s="37" t="s">
        <v>65</v>
      </c>
      <c r="F492" s="37" t="s">
        <v>197</v>
      </c>
      <c r="G492" s="37" t="s">
        <v>198</v>
      </c>
      <c r="H492" s="37" t="s">
        <v>342</v>
      </c>
      <c r="I492" s="37" t="s">
        <v>997</v>
      </c>
      <c r="J492" s="37">
        <v>443</v>
      </c>
      <c r="K492" s="37">
        <v>627</v>
      </c>
      <c r="L492" s="37">
        <v>239.14</v>
      </c>
      <c r="M492" s="37" t="s">
        <v>27</v>
      </c>
      <c r="N492" s="37">
        <v>234</v>
      </c>
      <c r="O492" s="37">
        <v>121</v>
      </c>
      <c r="P492" s="37" t="s">
        <v>28</v>
      </c>
      <c r="Q492" s="37">
        <v>0</v>
      </c>
    </row>
    <row r="493" spans="1:17">
      <c r="A493" s="33" t="s">
        <v>1436</v>
      </c>
      <c r="B493" s="33" t="s">
        <v>1404</v>
      </c>
      <c r="C493" s="33" t="s">
        <v>94</v>
      </c>
      <c r="D493" s="33" t="s">
        <v>23</v>
      </c>
      <c r="E493" s="33" t="s">
        <v>24</v>
      </c>
      <c r="F493" s="33" t="s">
        <v>116</v>
      </c>
      <c r="G493" s="33" t="s">
        <v>117</v>
      </c>
      <c r="H493" s="33" t="s">
        <v>499</v>
      </c>
      <c r="I493" s="33" t="s">
        <v>1437</v>
      </c>
      <c r="J493" s="33">
        <v>440</v>
      </c>
      <c r="K493" s="33">
        <v>2895</v>
      </c>
      <c r="L493" s="33">
        <v>683.9</v>
      </c>
      <c r="M493" s="33" t="s">
        <v>27</v>
      </c>
      <c r="N493" s="33">
        <v>179</v>
      </c>
      <c r="O493" s="33">
        <v>63</v>
      </c>
      <c r="P493" s="33" t="s">
        <v>70</v>
      </c>
      <c r="Q493" s="33">
        <v>151</v>
      </c>
    </row>
    <row r="494" spans="1:17">
      <c r="A494" s="37" t="s">
        <v>1438</v>
      </c>
      <c r="B494" s="37" t="s">
        <v>1439</v>
      </c>
      <c r="C494" s="37" t="s">
        <v>115</v>
      </c>
      <c r="D494" s="37" t="s">
        <v>40</v>
      </c>
      <c r="E494" s="37" t="s">
        <v>41</v>
      </c>
      <c r="F494" s="37" t="s">
        <v>32</v>
      </c>
      <c r="G494" s="37" t="s">
        <v>33</v>
      </c>
      <c r="H494" s="37" t="s">
        <v>334</v>
      </c>
      <c r="I494" s="37" t="s">
        <v>1440</v>
      </c>
      <c r="J494" s="37">
        <v>305</v>
      </c>
      <c r="K494" s="37">
        <v>1745</v>
      </c>
      <c r="L494" s="37">
        <v>1155.8499999999999</v>
      </c>
      <c r="M494" s="37" t="s">
        <v>44</v>
      </c>
      <c r="N494" s="37">
        <v>174</v>
      </c>
      <c r="O494" s="37">
        <v>71</v>
      </c>
      <c r="P494" s="37" t="s">
        <v>28</v>
      </c>
      <c r="Q494" s="37">
        <v>0</v>
      </c>
    </row>
    <row r="495" spans="1:17">
      <c r="A495" s="33" t="s">
        <v>1441</v>
      </c>
      <c r="B495" s="33" t="s">
        <v>848</v>
      </c>
      <c r="C495" s="33" t="s">
        <v>192</v>
      </c>
      <c r="D495" s="33" t="s">
        <v>56</v>
      </c>
      <c r="E495" s="33" t="s">
        <v>57</v>
      </c>
      <c r="F495" s="33" t="s">
        <v>116</v>
      </c>
      <c r="G495" s="33" t="s">
        <v>117</v>
      </c>
      <c r="H495" s="33" t="s">
        <v>259</v>
      </c>
      <c r="I495" s="33" t="s">
        <v>1360</v>
      </c>
      <c r="J495" s="33">
        <v>383</v>
      </c>
      <c r="K495" s="33">
        <v>511</v>
      </c>
      <c r="L495" s="33">
        <v>815.08</v>
      </c>
      <c r="M495" s="33" t="s">
        <v>44</v>
      </c>
      <c r="N495" s="33">
        <v>307</v>
      </c>
      <c r="O495" s="33">
        <v>63</v>
      </c>
      <c r="P495" s="33" t="s">
        <v>28</v>
      </c>
      <c r="Q495" s="33">
        <v>0</v>
      </c>
    </row>
    <row r="496" spans="1:17">
      <c r="A496" s="37" t="s">
        <v>1442</v>
      </c>
      <c r="B496" s="37" t="s">
        <v>1443</v>
      </c>
      <c r="C496" s="37" t="s">
        <v>63</v>
      </c>
      <c r="D496" s="37" t="s">
        <v>116</v>
      </c>
      <c r="E496" s="37" t="s">
        <v>117</v>
      </c>
      <c r="F496" s="37" t="s">
        <v>54</v>
      </c>
      <c r="G496" s="37" t="s">
        <v>55</v>
      </c>
      <c r="H496" s="37" t="s">
        <v>287</v>
      </c>
      <c r="I496" s="37" t="s">
        <v>519</v>
      </c>
      <c r="J496" s="37">
        <v>157</v>
      </c>
      <c r="K496" s="37">
        <v>2822</v>
      </c>
      <c r="L496" s="37">
        <v>394.69</v>
      </c>
      <c r="M496" s="37" t="s">
        <v>44</v>
      </c>
      <c r="N496" s="37">
        <v>103</v>
      </c>
      <c r="O496" s="37">
        <v>97</v>
      </c>
      <c r="P496" s="37" t="s">
        <v>28</v>
      </c>
      <c r="Q496" s="37">
        <v>0</v>
      </c>
    </row>
    <row r="497" spans="1:17">
      <c r="A497" s="33" t="s">
        <v>1444</v>
      </c>
      <c r="B497" s="33" t="s">
        <v>1445</v>
      </c>
      <c r="C497" s="33" t="s">
        <v>63</v>
      </c>
      <c r="D497" s="33" t="s">
        <v>40</v>
      </c>
      <c r="E497" s="33" t="s">
        <v>41</v>
      </c>
      <c r="F497" s="33" t="s">
        <v>64</v>
      </c>
      <c r="G497" s="33" t="s">
        <v>65</v>
      </c>
      <c r="H497" s="33" t="s">
        <v>806</v>
      </c>
      <c r="I497" s="33" t="s">
        <v>284</v>
      </c>
      <c r="J497" s="33">
        <v>448</v>
      </c>
      <c r="K497" s="33">
        <v>1267</v>
      </c>
      <c r="L497" s="33">
        <v>623.11</v>
      </c>
      <c r="M497" s="33" t="s">
        <v>27</v>
      </c>
      <c r="N497" s="33">
        <v>320</v>
      </c>
      <c r="O497" s="33">
        <v>66</v>
      </c>
      <c r="P497" s="33" t="s">
        <v>28</v>
      </c>
      <c r="Q497" s="33"/>
    </row>
    <row r="498" spans="1:17">
      <c r="A498" s="37" t="s">
        <v>1446</v>
      </c>
      <c r="B498" s="37" t="s">
        <v>1447</v>
      </c>
      <c r="C498" s="37" t="s">
        <v>63</v>
      </c>
      <c r="D498" s="37" t="s">
        <v>48</v>
      </c>
      <c r="E498" s="37" t="s">
        <v>49</v>
      </c>
      <c r="F498" s="37" t="s">
        <v>101</v>
      </c>
      <c r="G498" s="37" t="s">
        <v>102</v>
      </c>
      <c r="H498" s="37" t="s">
        <v>389</v>
      </c>
      <c r="I498" s="37" t="s">
        <v>1448</v>
      </c>
      <c r="J498" s="37">
        <v>286</v>
      </c>
      <c r="K498" s="37">
        <v>1274</v>
      </c>
      <c r="L498" s="37"/>
      <c r="M498" s="37" t="s">
        <v>27</v>
      </c>
      <c r="N498" s="37">
        <v>263</v>
      </c>
      <c r="O498" s="37">
        <v>92</v>
      </c>
      <c r="P498" s="37" t="s">
        <v>28</v>
      </c>
      <c r="Q498" s="37">
        <v>0</v>
      </c>
    </row>
    <row r="499" spans="1:17">
      <c r="A499" s="33" t="s">
        <v>1449</v>
      </c>
      <c r="B499" s="33" t="s">
        <v>1128</v>
      </c>
      <c r="C499" s="33" t="s">
        <v>20</v>
      </c>
      <c r="D499" s="33" t="s">
        <v>21</v>
      </c>
      <c r="E499" s="33" t="s">
        <v>22</v>
      </c>
      <c r="F499" s="33" t="s">
        <v>197</v>
      </c>
      <c r="G499" s="33" t="s">
        <v>198</v>
      </c>
      <c r="H499" s="33" t="s">
        <v>855</v>
      </c>
      <c r="I499" s="33" t="s">
        <v>1450</v>
      </c>
      <c r="J499" s="33">
        <v>327</v>
      </c>
      <c r="K499" s="33">
        <v>1933</v>
      </c>
      <c r="L499" s="33">
        <v>613.38</v>
      </c>
      <c r="M499" s="33" t="s">
        <v>44</v>
      </c>
      <c r="N499" s="33">
        <v>291</v>
      </c>
      <c r="O499" s="33">
        <v>242</v>
      </c>
      <c r="P499" s="33" t="s">
        <v>70</v>
      </c>
      <c r="Q499" s="33">
        <v>74</v>
      </c>
    </row>
    <row r="500" spans="1:17">
      <c r="A500" s="37" t="s">
        <v>1451</v>
      </c>
      <c r="B500" s="37" t="s">
        <v>1020</v>
      </c>
      <c r="C500" s="37" t="s">
        <v>73</v>
      </c>
      <c r="D500" s="37" t="s">
        <v>79</v>
      </c>
      <c r="E500" s="37" t="s">
        <v>80</v>
      </c>
      <c r="F500" s="37" t="s">
        <v>21</v>
      </c>
      <c r="G500" s="37" t="s">
        <v>22</v>
      </c>
      <c r="H500" s="37" t="s">
        <v>86</v>
      </c>
      <c r="I500" s="37" t="s">
        <v>1452</v>
      </c>
      <c r="J500" s="37">
        <v>96</v>
      </c>
      <c r="K500" s="37">
        <v>1482</v>
      </c>
      <c r="L500" s="37">
        <v>1118.49</v>
      </c>
      <c r="M500" s="37" t="s">
        <v>44</v>
      </c>
      <c r="N500" s="37">
        <v>197</v>
      </c>
      <c r="O500" s="37">
        <v>130</v>
      </c>
      <c r="P500" s="37" t="s">
        <v>149</v>
      </c>
      <c r="Q500" s="37">
        <v>0</v>
      </c>
    </row>
    <row r="501" spans="1:17">
      <c r="A501" s="33" t="s">
        <v>1453</v>
      </c>
      <c r="B501" s="33" t="s">
        <v>262</v>
      </c>
      <c r="C501" s="33" t="s">
        <v>94</v>
      </c>
      <c r="D501" s="33" t="s">
        <v>32</v>
      </c>
      <c r="E501" s="33" t="s">
        <v>33</v>
      </c>
      <c r="F501" s="33" t="s">
        <v>64</v>
      </c>
      <c r="G501" s="33" t="s">
        <v>65</v>
      </c>
      <c r="H501" s="33" t="s">
        <v>152</v>
      </c>
      <c r="I501" s="33" t="s">
        <v>964</v>
      </c>
      <c r="J501" s="33">
        <v>261</v>
      </c>
      <c r="K501" s="33">
        <v>1407</v>
      </c>
      <c r="L501" s="33">
        <v>379.14</v>
      </c>
      <c r="M501" s="33" t="s">
        <v>60</v>
      </c>
      <c r="N501" s="33">
        <v>165</v>
      </c>
      <c r="O501" s="33">
        <v>133</v>
      </c>
      <c r="P501" s="33" t="s">
        <v>28</v>
      </c>
      <c r="Q501" s="33"/>
    </row>
    <row r="502" spans="1:17">
      <c r="A502" s="37" t="s">
        <v>1454</v>
      </c>
      <c r="B502" s="37" t="s">
        <v>1106</v>
      </c>
      <c r="C502" s="37" t="s">
        <v>31</v>
      </c>
      <c r="D502" s="37" t="s">
        <v>54</v>
      </c>
      <c r="E502" s="37" t="s">
        <v>74</v>
      </c>
      <c r="F502" s="37" t="s">
        <v>183</v>
      </c>
      <c r="G502" s="37" t="s">
        <v>184</v>
      </c>
      <c r="H502" s="37" t="s">
        <v>90</v>
      </c>
      <c r="I502" s="37" t="s">
        <v>1455</v>
      </c>
      <c r="J502" s="37">
        <v>436</v>
      </c>
      <c r="K502" s="37">
        <v>1036</v>
      </c>
      <c r="L502" s="37">
        <v>430.86</v>
      </c>
      <c r="M502" s="37" t="s">
        <v>60</v>
      </c>
      <c r="N502" s="37">
        <v>272</v>
      </c>
      <c r="O502" s="37">
        <v>52</v>
      </c>
      <c r="P502" s="37" t="s">
        <v>70</v>
      </c>
      <c r="Q502" s="37">
        <v>18</v>
      </c>
    </row>
    <row r="503" spans="1:17">
      <c r="A503" s="33" t="s">
        <v>1390</v>
      </c>
      <c r="B503" s="33" t="s">
        <v>93</v>
      </c>
      <c r="C503" s="33" t="s">
        <v>115</v>
      </c>
      <c r="D503" s="33" t="s">
        <v>116</v>
      </c>
      <c r="E503" s="33" t="s">
        <v>117</v>
      </c>
      <c r="F503" s="33" t="s">
        <v>95</v>
      </c>
      <c r="G503" s="33" t="s">
        <v>96</v>
      </c>
      <c r="H503" s="33" t="s">
        <v>269</v>
      </c>
      <c r="I503" s="33" t="s">
        <v>1391</v>
      </c>
      <c r="J503" s="33">
        <v>140</v>
      </c>
      <c r="K503" s="33">
        <v>2414</v>
      </c>
      <c r="L503" s="33">
        <v>837.92</v>
      </c>
      <c r="M503" s="33" t="s">
        <v>60</v>
      </c>
      <c r="N503" s="33">
        <v>152</v>
      </c>
      <c r="O503" s="33"/>
      <c r="P503" s="33" t="s">
        <v>28</v>
      </c>
      <c r="Q503" s="33">
        <v>0</v>
      </c>
    </row>
    <row r="504" spans="1:17">
      <c r="A504" s="37" t="s">
        <v>177</v>
      </c>
      <c r="B504" s="37" t="s">
        <v>178</v>
      </c>
      <c r="C504" s="37" t="s">
        <v>20</v>
      </c>
      <c r="D504" s="37" t="s">
        <v>95</v>
      </c>
      <c r="E504" s="37" t="s">
        <v>96</v>
      </c>
      <c r="F504" s="37" t="s">
        <v>66</v>
      </c>
      <c r="G504" s="37" t="s">
        <v>67</v>
      </c>
      <c r="H504" s="37" t="s">
        <v>179</v>
      </c>
      <c r="I504" s="37" t="s">
        <v>180</v>
      </c>
      <c r="J504" s="37">
        <v>197</v>
      </c>
      <c r="K504" s="37">
        <v>1322</v>
      </c>
      <c r="L504" s="37">
        <v>826.97</v>
      </c>
      <c r="M504" s="37" t="s">
        <v>44</v>
      </c>
      <c r="N504" s="37">
        <v>299</v>
      </c>
      <c r="O504" s="37">
        <v>193</v>
      </c>
      <c r="P504" s="37" t="s">
        <v>70</v>
      </c>
      <c r="Q504" s="37">
        <v>119</v>
      </c>
    </row>
    <row r="505" spans="1:17">
      <c r="A505" s="33" t="s">
        <v>1170</v>
      </c>
      <c r="B505" s="33" t="s">
        <v>1171</v>
      </c>
      <c r="C505" s="33" t="s">
        <v>192</v>
      </c>
      <c r="D505" s="33" t="s">
        <v>156</v>
      </c>
      <c r="E505" s="33" t="s">
        <v>157</v>
      </c>
      <c r="F505" s="33" t="s">
        <v>197</v>
      </c>
      <c r="G505" s="33" t="s">
        <v>198</v>
      </c>
      <c r="H505" s="33" t="s">
        <v>90</v>
      </c>
      <c r="I505" s="33" t="s">
        <v>1172</v>
      </c>
      <c r="J505" s="33">
        <v>365</v>
      </c>
      <c r="K505" s="33">
        <v>2654</v>
      </c>
      <c r="L505" s="33">
        <v>360.16</v>
      </c>
      <c r="M505" s="33" t="s">
        <v>44</v>
      </c>
      <c r="N505" s="33">
        <v>347</v>
      </c>
      <c r="O505" s="33">
        <v>243</v>
      </c>
      <c r="P505" s="33" t="s">
        <v>28</v>
      </c>
      <c r="Q505" s="33">
        <v>0</v>
      </c>
    </row>
    <row r="506" spans="1:17">
      <c r="A506" s="37" t="s">
        <v>398</v>
      </c>
      <c r="B506" s="37" t="s">
        <v>399</v>
      </c>
      <c r="C506" s="37" t="s">
        <v>47</v>
      </c>
      <c r="D506" s="37" t="s">
        <v>101</v>
      </c>
      <c r="E506" s="37" t="s">
        <v>102</v>
      </c>
      <c r="F506" s="37" t="s">
        <v>174</v>
      </c>
      <c r="G506" s="37" t="s">
        <v>175</v>
      </c>
      <c r="H506" s="37" t="s">
        <v>400</v>
      </c>
      <c r="I506" s="37" t="s">
        <v>288</v>
      </c>
      <c r="J506" s="37">
        <v>156</v>
      </c>
      <c r="K506" s="37">
        <v>2512</v>
      </c>
      <c r="L506" s="37">
        <v>360.73</v>
      </c>
      <c r="M506" s="37" t="s">
        <v>60</v>
      </c>
      <c r="N506" s="37">
        <v>128</v>
      </c>
      <c r="O506" s="37">
        <v>53</v>
      </c>
      <c r="P506" s="37" t="s">
        <v>28</v>
      </c>
      <c r="Q506" s="37">
        <v>0</v>
      </c>
    </row>
    <row r="507" spans="1:17">
      <c r="A507" s="33" t="s">
        <v>1016</v>
      </c>
      <c r="B507" s="33" t="s">
        <v>1017</v>
      </c>
      <c r="C507" s="33" t="s">
        <v>63</v>
      </c>
      <c r="D507" s="33" t="s">
        <v>197</v>
      </c>
      <c r="E507" s="33" t="s">
        <v>198</v>
      </c>
      <c r="F507" s="33" t="s">
        <v>38</v>
      </c>
      <c r="G507" s="33" t="s">
        <v>39</v>
      </c>
      <c r="H507" s="33" t="s">
        <v>545</v>
      </c>
      <c r="I507" s="33" t="s">
        <v>1018</v>
      </c>
      <c r="J507" s="33">
        <v>171</v>
      </c>
      <c r="K507" s="33">
        <v>724</v>
      </c>
      <c r="L507" s="33">
        <v>545.95000000000005</v>
      </c>
      <c r="M507" s="33" t="s">
        <v>27</v>
      </c>
      <c r="N507" s="33">
        <v>223</v>
      </c>
      <c r="O507" s="33">
        <v>195</v>
      </c>
      <c r="P507" s="33" t="s">
        <v>70</v>
      </c>
      <c r="Q507" s="33">
        <v>61</v>
      </c>
    </row>
    <row r="508" spans="1:17">
      <c r="A508" s="37" t="s">
        <v>816</v>
      </c>
      <c r="B508" s="37" t="s">
        <v>618</v>
      </c>
      <c r="C508" s="37" t="s">
        <v>63</v>
      </c>
      <c r="D508" s="37" t="s">
        <v>197</v>
      </c>
      <c r="E508" s="37" t="s">
        <v>198</v>
      </c>
      <c r="F508" s="37" t="s">
        <v>48</v>
      </c>
      <c r="G508" s="37" t="s">
        <v>49</v>
      </c>
      <c r="H508" s="37" t="s">
        <v>275</v>
      </c>
      <c r="I508" s="37" t="s">
        <v>817</v>
      </c>
      <c r="J508" s="37">
        <v>269</v>
      </c>
      <c r="K508" s="37">
        <v>2058</v>
      </c>
      <c r="L508" s="37">
        <v>432.24</v>
      </c>
      <c r="M508" s="37" t="s">
        <v>60</v>
      </c>
      <c r="N508" s="37">
        <v>163</v>
      </c>
      <c r="O508" s="37">
        <v>85</v>
      </c>
      <c r="P508" s="37" t="s">
        <v>28</v>
      </c>
      <c r="Q508" s="37">
        <v>0</v>
      </c>
    </row>
    <row r="509" spans="1:17">
      <c r="A509" s="33" t="s">
        <v>1254</v>
      </c>
      <c r="B509" s="33" t="s">
        <v>1255</v>
      </c>
      <c r="C509" s="33" t="s">
        <v>31</v>
      </c>
      <c r="D509" s="33" t="s">
        <v>38</v>
      </c>
      <c r="E509" s="33" t="s">
        <v>39</v>
      </c>
      <c r="F509" s="33" t="s">
        <v>116</v>
      </c>
      <c r="G509" s="33" t="s">
        <v>117</v>
      </c>
      <c r="H509" s="33" t="s">
        <v>230</v>
      </c>
      <c r="I509" s="33" t="s">
        <v>1256</v>
      </c>
      <c r="J509" s="33">
        <v>478</v>
      </c>
      <c r="K509" s="33">
        <v>2860</v>
      </c>
      <c r="L509" s="33">
        <v>147.26</v>
      </c>
      <c r="M509" s="33" t="s">
        <v>44</v>
      </c>
      <c r="N509" s="33">
        <v>265</v>
      </c>
      <c r="O509" s="33">
        <v>89</v>
      </c>
      <c r="P509" s="33" t="s">
        <v>70</v>
      </c>
      <c r="Q509" s="33">
        <v>42</v>
      </c>
    </row>
    <row r="510" spans="1:17">
      <c r="A510" s="37" t="s">
        <v>1082</v>
      </c>
      <c r="B510" s="37" t="s">
        <v>1083</v>
      </c>
      <c r="C510" s="37" t="s">
        <v>94</v>
      </c>
      <c r="D510" s="37" t="s">
        <v>66</v>
      </c>
      <c r="E510" s="37" t="s">
        <v>67</v>
      </c>
      <c r="F510" s="37" t="s">
        <v>21</v>
      </c>
      <c r="G510" s="37" t="s">
        <v>22</v>
      </c>
      <c r="H510" s="37" t="s">
        <v>528</v>
      </c>
      <c r="I510" s="37" t="s">
        <v>466</v>
      </c>
      <c r="J510" s="37">
        <v>102</v>
      </c>
      <c r="K510" s="37">
        <v>2417</v>
      </c>
      <c r="L510" s="37">
        <v>1000.76</v>
      </c>
      <c r="M510" s="37" t="s">
        <v>44</v>
      </c>
      <c r="N510" s="37">
        <v>231</v>
      </c>
      <c r="O510" s="37">
        <v>180</v>
      </c>
      <c r="P510" s="37" t="s">
        <v>28</v>
      </c>
      <c r="Q510" s="37">
        <v>0</v>
      </c>
    </row>
    <row r="512" spans="1:17">
      <c r="A512" s="53" t="s">
        <v>1456</v>
      </c>
    </row>
  </sheetData>
  <mergeCells count="1">
    <mergeCell ref="A1:Q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504"/>
  <sheetViews>
    <sheetView topLeftCell="L1" workbookViewId="0">
      <pane ySplit="1" topLeftCell="A484" activePane="bottomLeft" state="frozen"/>
      <selection pane="bottomLeft" activeCell="U503" sqref="U503"/>
    </sheetView>
  </sheetViews>
  <sheetFormatPr defaultColWidth="9" defaultRowHeight="15"/>
  <cols>
    <col min="1" max="1" width="13" customWidth="1"/>
    <col min="2" max="2" width="15" style="43" customWidth="1"/>
    <col min="3" max="3" width="13" customWidth="1"/>
    <col min="4" max="4" width="17" customWidth="1"/>
    <col min="5" max="5" width="15" customWidth="1"/>
    <col min="6" max="8" width="20" customWidth="1"/>
    <col min="9" max="9" width="18" customWidth="1"/>
    <col min="10" max="10" width="16" customWidth="1"/>
    <col min="11" max="11" width="23" customWidth="1"/>
    <col min="12" max="12" width="18" customWidth="1"/>
    <col min="13" max="13" width="16" customWidth="1"/>
    <col min="14" max="14" width="15" customWidth="1"/>
    <col min="15" max="15" width="19" customWidth="1"/>
    <col min="16" max="17" width="22" customWidth="1"/>
    <col min="18" max="19" width="13" customWidth="1"/>
    <col min="20" max="20" width="17" customWidth="1"/>
    <col min="21" max="21" width="14.28515625"/>
    <col min="22" max="22" width="17.5703125"/>
    <col min="26" max="26" width="14.28515625"/>
    <col min="27" max="27" width="17.5703125"/>
  </cols>
  <sheetData>
    <row r="1" spans="1:27" ht="21.95" customHeight="1">
      <c r="A1" s="36" t="s">
        <v>1</v>
      </c>
      <c r="B1" s="44" t="s">
        <v>2</v>
      </c>
      <c r="C1" s="36" t="s">
        <v>3</v>
      </c>
      <c r="D1" s="36" t="s">
        <v>4</v>
      </c>
      <c r="E1" s="36" t="s">
        <v>5</v>
      </c>
      <c r="F1" s="36" t="s">
        <v>6</v>
      </c>
      <c r="G1" s="36" t="s">
        <v>1457</v>
      </c>
      <c r="H1" s="36" t="s">
        <v>7</v>
      </c>
      <c r="I1" s="36" t="s">
        <v>8</v>
      </c>
      <c r="J1" s="36" t="s">
        <v>9</v>
      </c>
      <c r="K1" s="36" t="s">
        <v>10</v>
      </c>
      <c r="L1" s="36" t="s">
        <v>11</v>
      </c>
      <c r="M1" s="36" t="s">
        <v>12</v>
      </c>
      <c r="N1" s="36" t="s">
        <v>13</v>
      </c>
      <c r="O1" s="36" t="s">
        <v>14</v>
      </c>
      <c r="P1" s="36" t="s">
        <v>15</v>
      </c>
      <c r="Q1" s="36" t="s">
        <v>1458</v>
      </c>
      <c r="R1" s="36" t="s">
        <v>16</v>
      </c>
      <c r="S1" s="36" t="s">
        <v>1459</v>
      </c>
      <c r="T1" s="36" t="s">
        <v>17</v>
      </c>
    </row>
    <row r="2" spans="1:27">
      <c r="A2" s="33" t="s">
        <v>18</v>
      </c>
      <c r="B2" s="45">
        <v>44790</v>
      </c>
      <c r="C2" s="33" t="s">
        <v>20</v>
      </c>
      <c r="D2" s="33" t="s">
        <v>21</v>
      </c>
      <c r="E2" s="33" t="s">
        <v>22</v>
      </c>
      <c r="F2" s="33" t="s">
        <v>23</v>
      </c>
      <c r="G2" s="33" t="str">
        <f>D2&amp;" → "&amp;F2</f>
        <v>Boston → Denver</v>
      </c>
      <c r="H2" s="33" t="s">
        <v>24</v>
      </c>
      <c r="I2" s="33" t="s">
        <v>25</v>
      </c>
      <c r="J2" s="33" t="s">
        <v>26</v>
      </c>
      <c r="K2" s="33">
        <v>467</v>
      </c>
      <c r="L2" s="33">
        <v>719</v>
      </c>
      <c r="M2" s="33">
        <v>837.9</v>
      </c>
      <c r="N2" s="33" t="s">
        <v>27</v>
      </c>
      <c r="O2" s="33">
        <v>122</v>
      </c>
      <c r="P2" s="33">
        <v>104</v>
      </c>
      <c r="Q2" s="46">
        <f>P2/O2*100</f>
        <v>85.245901639344297</v>
      </c>
      <c r="R2" s="33" t="s">
        <v>28</v>
      </c>
      <c r="S2" s="47" t="str">
        <f t="shared" ref="S2:S65" si="0">TEXT(B2,"YYYY-MM")</f>
        <v>2022-08</v>
      </c>
      <c r="T2" s="33">
        <v>0</v>
      </c>
    </row>
    <row r="3" spans="1:27">
      <c r="A3" s="37" t="s">
        <v>29</v>
      </c>
      <c r="B3" s="48">
        <v>44753</v>
      </c>
      <c r="C3" s="33" t="s">
        <v>31</v>
      </c>
      <c r="D3" s="37" t="s">
        <v>23</v>
      </c>
      <c r="E3" s="37" t="s">
        <v>24</v>
      </c>
      <c r="F3" s="37" t="s">
        <v>32</v>
      </c>
      <c r="G3" s="33" t="str">
        <f t="shared" ref="G3:G66" si="1">D3&amp;" → "&amp;F3</f>
        <v>Denver → Orlando</v>
      </c>
      <c r="H3" s="37" t="s">
        <v>33</v>
      </c>
      <c r="I3" s="37" t="s">
        <v>34</v>
      </c>
      <c r="J3" s="37" t="s">
        <v>35</v>
      </c>
      <c r="K3" s="37">
        <v>377</v>
      </c>
      <c r="L3" s="37">
        <v>1114</v>
      </c>
      <c r="M3" s="37">
        <v>881.94</v>
      </c>
      <c r="N3" s="37" t="s">
        <v>27</v>
      </c>
      <c r="O3" s="37">
        <v>239</v>
      </c>
      <c r="P3" s="37">
        <v>157</v>
      </c>
      <c r="Q3" s="46">
        <f t="shared" ref="Q3:Q66" si="2">P3/O3*100</f>
        <v>65.690376569037696</v>
      </c>
      <c r="R3" s="37" t="s">
        <v>28</v>
      </c>
      <c r="S3" s="49" t="str">
        <f t="shared" si="0"/>
        <v>2022-07</v>
      </c>
      <c r="T3" s="37">
        <v>0</v>
      </c>
    </row>
    <row r="4" spans="1:27">
      <c r="A4" s="33" t="s">
        <v>36</v>
      </c>
      <c r="B4" s="45">
        <v>45131</v>
      </c>
      <c r="C4" s="33" t="s">
        <v>20</v>
      </c>
      <c r="D4" s="33" t="s">
        <v>38</v>
      </c>
      <c r="E4" s="33" t="s">
        <v>39</v>
      </c>
      <c r="F4" s="33" t="s">
        <v>40</v>
      </c>
      <c r="G4" s="33" t="str">
        <f t="shared" si="1"/>
        <v>Miami → Charlotte</v>
      </c>
      <c r="H4" s="33" t="s">
        <v>41</v>
      </c>
      <c r="I4" s="33" t="s">
        <v>42</v>
      </c>
      <c r="J4" s="33" t="s">
        <v>43</v>
      </c>
      <c r="K4" s="33">
        <v>169</v>
      </c>
      <c r="L4" s="33">
        <v>1181</v>
      </c>
      <c r="M4" s="33">
        <v>1152.08</v>
      </c>
      <c r="N4" s="33" t="s">
        <v>44</v>
      </c>
      <c r="O4" s="33">
        <v>126</v>
      </c>
      <c r="P4" s="33">
        <v>61</v>
      </c>
      <c r="Q4" s="46">
        <f t="shared" si="2"/>
        <v>48.412698412698397</v>
      </c>
      <c r="R4" s="33" t="s">
        <v>28</v>
      </c>
      <c r="S4" s="47" t="str">
        <f t="shared" si="0"/>
        <v>2023-07</v>
      </c>
      <c r="T4" s="33">
        <v>0</v>
      </c>
    </row>
    <row r="5" spans="1:27">
      <c r="A5" s="37" t="s">
        <v>45</v>
      </c>
      <c r="B5" s="48">
        <v>45297</v>
      </c>
      <c r="C5" s="33" t="s">
        <v>47</v>
      </c>
      <c r="D5" s="37" t="s">
        <v>48</v>
      </c>
      <c r="E5" s="37" t="s">
        <v>49</v>
      </c>
      <c r="F5" s="37" t="s">
        <v>21</v>
      </c>
      <c r="G5" s="33" t="str">
        <f t="shared" si="1"/>
        <v>San Diego → Boston</v>
      </c>
      <c r="H5" s="37" t="s">
        <v>22</v>
      </c>
      <c r="I5" s="37" t="s">
        <v>50</v>
      </c>
      <c r="J5" s="37" t="s">
        <v>51</v>
      </c>
      <c r="K5" s="37">
        <v>364</v>
      </c>
      <c r="L5" s="37">
        <v>811</v>
      </c>
      <c r="M5" s="37">
        <v>1169.8900000000001</v>
      </c>
      <c r="N5" s="37" t="s">
        <v>44</v>
      </c>
      <c r="O5" s="37">
        <v>120</v>
      </c>
      <c r="P5" s="37">
        <v>120</v>
      </c>
      <c r="Q5" s="50">
        <f t="shared" si="2"/>
        <v>100</v>
      </c>
      <c r="R5" s="37" t="s">
        <v>28</v>
      </c>
      <c r="S5" s="49" t="str">
        <f t="shared" si="0"/>
        <v>2024-01</v>
      </c>
      <c r="T5" s="37">
        <v>0</v>
      </c>
    </row>
    <row r="6" spans="1:27" ht="25.5">
      <c r="A6" s="33" t="s">
        <v>52</v>
      </c>
      <c r="B6" s="45">
        <v>45302</v>
      </c>
      <c r="C6" s="33" t="s">
        <v>31</v>
      </c>
      <c r="D6" s="33" t="s">
        <v>54</v>
      </c>
      <c r="E6" s="33" t="s">
        <v>55</v>
      </c>
      <c r="F6" s="33" t="s">
        <v>56</v>
      </c>
      <c r="G6" s="33" t="str">
        <f t="shared" si="1"/>
        <v>Chicago → Los Angeles</v>
      </c>
      <c r="H6" s="33" t="s">
        <v>57</v>
      </c>
      <c r="I6" s="33" t="s">
        <v>58</v>
      </c>
      <c r="J6" s="33" t="s">
        <v>59</v>
      </c>
      <c r="K6" s="33">
        <v>238</v>
      </c>
      <c r="L6" s="33">
        <v>626</v>
      </c>
      <c r="M6" s="33">
        <v>1037.96</v>
      </c>
      <c r="N6" s="33" t="s">
        <v>60</v>
      </c>
      <c r="O6" s="33">
        <v>197</v>
      </c>
      <c r="P6" s="33">
        <v>121</v>
      </c>
      <c r="Q6" s="46">
        <f t="shared" si="2"/>
        <v>61.4213197969543</v>
      </c>
      <c r="R6" s="33" t="s">
        <v>28</v>
      </c>
      <c r="S6" s="47" t="str">
        <f t="shared" si="0"/>
        <v>2024-01</v>
      </c>
      <c r="T6" s="33">
        <v>0</v>
      </c>
    </row>
    <row r="7" spans="1:27" ht="25.5">
      <c r="A7" s="37" t="s">
        <v>61</v>
      </c>
      <c r="B7" s="48">
        <v>45309</v>
      </c>
      <c r="C7" s="33" t="s">
        <v>63</v>
      </c>
      <c r="D7" s="37" t="s">
        <v>64</v>
      </c>
      <c r="E7" s="37" t="s">
        <v>65</v>
      </c>
      <c r="F7" s="37" t="s">
        <v>66</v>
      </c>
      <c r="G7" s="33" t="str">
        <f t="shared" si="1"/>
        <v>San Francisco → Minneapolis</v>
      </c>
      <c r="H7" s="37" t="s">
        <v>67</v>
      </c>
      <c r="I7" s="37" t="s">
        <v>68</v>
      </c>
      <c r="J7" s="37" t="s">
        <v>69</v>
      </c>
      <c r="K7" s="37">
        <v>449</v>
      </c>
      <c r="L7" s="37">
        <v>2954</v>
      </c>
      <c r="M7" s="37">
        <v>159.97</v>
      </c>
      <c r="N7" s="37" t="s">
        <v>27</v>
      </c>
      <c r="O7" s="37">
        <v>143</v>
      </c>
      <c r="P7" s="37">
        <v>118</v>
      </c>
      <c r="Q7" s="46">
        <f t="shared" si="2"/>
        <v>82.517482517482506</v>
      </c>
      <c r="R7" s="37" t="s">
        <v>70</v>
      </c>
      <c r="S7" s="49" t="str">
        <f t="shared" si="0"/>
        <v>2024-01</v>
      </c>
      <c r="T7" s="37">
        <v>56</v>
      </c>
      <c r="Z7" t="s">
        <v>5</v>
      </c>
      <c r="AA7" t="s">
        <v>1460</v>
      </c>
    </row>
    <row r="8" spans="1:27">
      <c r="A8" s="33" t="s">
        <v>71</v>
      </c>
      <c r="B8" s="45">
        <v>45508</v>
      </c>
      <c r="C8" s="33" t="s">
        <v>73</v>
      </c>
      <c r="D8" s="33" t="s">
        <v>21</v>
      </c>
      <c r="E8" s="33" t="s">
        <v>22</v>
      </c>
      <c r="F8" s="33" t="s">
        <v>54</v>
      </c>
      <c r="G8" s="33" t="str">
        <f t="shared" si="1"/>
        <v>Boston → Chicago</v>
      </c>
      <c r="H8" s="33" t="s">
        <v>74</v>
      </c>
      <c r="I8" s="33" t="s">
        <v>75</v>
      </c>
      <c r="J8" s="33" t="s">
        <v>76</v>
      </c>
      <c r="K8" s="33">
        <v>118</v>
      </c>
      <c r="L8" s="33">
        <v>1238</v>
      </c>
      <c r="M8" s="33">
        <v>1000.42</v>
      </c>
      <c r="N8" s="33" t="s">
        <v>44</v>
      </c>
      <c r="O8" s="33">
        <v>202</v>
      </c>
      <c r="P8" s="33">
        <v>118</v>
      </c>
      <c r="Q8" s="46">
        <f t="shared" si="2"/>
        <v>58.4158415841584</v>
      </c>
      <c r="R8" s="33" t="s">
        <v>28</v>
      </c>
      <c r="S8" s="47" t="str">
        <f t="shared" si="0"/>
        <v>2024-08</v>
      </c>
      <c r="T8" s="33">
        <v>0</v>
      </c>
      <c r="Z8" t="s">
        <v>198</v>
      </c>
      <c r="AA8">
        <v>33</v>
      </c>
    </row>
    <row r="9" spans="1:27" ht="25.5">
      <c r="A9" s="37" t="s">
        <v>77</v>
      </c>
      <c r="B9" s="48">
        <v>45206</v>
      </c>
      <c r="C9" s="33" t="s">
        <v>31</v>
      </c>
      <c r="D9" s="37" t="s">
        <v>79</v>
      </c>
      <c r="E9" s="37" t="s">
        <v>80</v>
      </c>
      <c r="F9" s="37" t="s">
        <v>66</v>
      </c>
      <c r="G9" s="33" t="str">
        <f t="shared" si="1"/>
        <v>Newark → Minneapolis</v>
      </c>
      <c r="H9" s="37" t="s">
        <v>67</v>
      </c>
      <c r="I9" s="37" t="s">
        <v>81</v>
      </c>
      <c r="J9" s="37" t="s">
        <v>82</v>
      </c>
      <c r="K9" s="37">
        <v>163</v>
      </c>
      <c r="L9" s="37">
        <v>1384</v>
      </c>
      <c r="M9" s="37">
        <v>236.39</v>
      </c>
      <c r="N9" s="37" t="s">
        <v>27</v>
      </c>
      <c r="O9" s="37">
        <v>243</v>
      </c>
      <c r="P9" s="37">
        <v>187</v>
      </c>
      <c r="Q9" s="46">
        <f t="shared" si="2"/>
        <v>76.954732510288096</v>
      </c>
      <c r="R9" s="37" t="s">
        <v>28</v>
      </c>
      <c r="S9" s="49" t="str">
        <f t="shared" si="0"/>
        <v>2023-10</v>
      </c>
      <c r="T9" s="37">
        <v>0</v>
      </c>
      <c r="Z9" t="s">
        <v>57</v>
      </c>
      <c r="AA9">
        <v>32</v>
      </c>
    </row>
    <row r="10" spans="1:27" ht="25.5">
      <c r="A10" s="33" t="s">
        <v>83</v>
      </c>
      <c r="B10" s="45">
        <v>45439</v>
      </c>
      <c r="C10" s="33" t="s">
        <v>73</v>
      </c>
      <c r="D10" s="33" t="s">
        <v>64</v>
      </c>
      <c r="E10" s="33" t="s">
        <v>65</v>
      </c>
      <c r="F10" s="33" t="s">
        <v>23</v>
      </c>
      <c r="G10" s="33" t="str">
        <f t="shared" si="1"/>
        <v>San Francisco → Denver</v>
      </c>
      <c r="H10" s="33" t="s">
        <v>24</v>
      </c>
      <c r="I10" s="33" t="s">
        <v>86</v>
      </c>
      <c r="J10" s="33" t="s">
        <v>87</v>
      </c>
      <c r="K10" s="33">
        <v>136</v>
      </c>
      <c r="L10" s="33">
        <v>492</v>
      </c>
      <c r="M10" s="33">
        <v>1044.44</v>
      </c>
      <c r="N10" s="33" t="s">
        <v>60</v>
      </c>
      <c r="O10" s="33">
        <v>260</v>
      </c>
      <c r="P10" s="33">
        <v>90</v>
      </c>
      <c r="Q10" s="46">
        <f t="shared" si="2"/>
        <v>34.615384615384599</v>
      </c>
      <c r="R10" s="33" t="s">
        <v>70</v>
      </c>
      <c r="S10" s="47" t="str">
        <f t="shared" si="0"/>
        <v>2024-05</v>
      </c>
      <c r="T10" s="33">
        <v>123</v>
      </c>
      <c r="Z10" t="s">
        <v>49</v>
      </c>
      <c r="AA10">
        <v>30</v>
      </c>
    </row>
    <row r="11" spans="1:27" ht="25.5">
      <c r="A11" s="37" t="s">
        <v>88</v>
      </c>
      <c r="B11" s="48">
        <v>44692</v>
      </c>
      <c r="C11" s="33" t="s">
        <v>73</v>
      </c>
      <c r="D11" s="37" t="s">
        <v>66</v>
      </c>
      <c r="E11" s="37" t="s">
        <v>67</v>
      </c>
      <c r="F11" s="37" t="s">
        <v>79</v>
      </c>
      <c r="G11" s="33" t="str">
        <f t="shared" si="1"/>
        <v>Minneapolis → Newark</v>
      </c>
      <c r="H11" s="37" t="s">
        <v>80</v>
      </c>
      <c r="I11" s="37" t="s">
        <v>90</v>
      </c>
      <c r="J11" s="37" t="s">
        <v>91</v>
      </c>
      <c r="K11" s="37">
        <v>373</v>
      </c>
      <c r="L11" s="37">
        <v>347</v>
      </c>
      <c r="M11" s="37">
        <v>587.19000000000005</v>
      </c>
      <c r="N11" s="37" t="s">
        <v>60</v>
      </c>
      <c r="O11" s="37">
        <v>274</v>
      </c>
      <c r="P11" s="37">
        <v>187</v>
      </c>
      <c r="Q11" s="46">
        <f t="shared" si="2"/>
        <v>68.248175182481702</v>
      </c>
      <c r="R11" s="37" t="s">
        <v>70</v>
      </c>
      <c r="S11" s="49" t="str">
        <f t="shared" si="0"/>
        <v>2022-05</v>
      </c>
      <c r="T11" s="37">
        <v>179</v>
      </c>
      <c r="Z11" t="s">
        <v>65</v>
      </c>
      <c r="AA11">
        <v>28</v>
      </c>
    </row>
    <row r="12" spans="1:27" ht="25.5">
      <c r="A12" s="33" t="s">
        <v>92</v>
      </c>
      <c r="B12" s="45">
        <v>45258</v>
      </c>
      <c r="C12" s="33" t="s">
        <v>94</v>
      </c>
      <c r="D12" s="33" t="s">
        <v>95</v>
      </c>
      <c r="E12" s="33" t="s">
        <v>96</v>
      </c>
      <c r="F12" s="33" t="s">
        <v>40</v>
      </c>
      <c r="G12" s="33" t="str">
        <f t="shared" si="1"/>
        <v>Las Vegas → Charlotte</v>
      </c>
      <c r="H12" s="33" t="s">
        <v>41</v>
      </c>
      <c r="I12" s="33" t="s">
        <v>97</v>
      </c>
      <c r="J12" s="33" t="s">
        <v>98</v>
      </c>
      <c r="K12" s="33">
        <v>91</v>
      </c>
      <c r="L12" s="33">
        <v>1378</v>
      </c>
      <c r="M12" s="33">
        <v>587.19000000000005</v>
      </c>
      <c r="N12" s="33" t="s">
        <v>60</v>
      </c>
      <c r="O12" s="33">
        <v>229</v>
      </c>
      <c r="P12" s="33">
        <v>77</v>
      </c>
      <c r="Q12" s="46">
        <f t="shared" si="2"/>
        <v>33.6244541484716</v>
      </c>
      <c r="R12" s="33" t="s">
        <v>70</v>
      </c>
      <c r="S12" s="47" t="str">
        <f t="shared" si="0"/>
        <v>2023-11</v>
      </c>
      <c r="T12" s="33">
        <v>91</v>
      </c>
      <c r="Z12" t="s">
        <v>67</v>
      </c>
      <c r="AA12">
        <v>27</v>
      </c>
    </row>
    <row r="13" spans="1:27">
      <c r="A13" s="37" t="s">
        <v>99</v>
      </c>
      <c r="B13" s="48">
        <v>45601</v>
      </c>
      <c r="C13" s="33" t="s">
        <v>31</v>
      </c>
      <c r="D13" s="37" t="s">
        <v>101</v>
      </c>
      <c r="E13" s="37" t="s">
        <v>102</v>
      </c>
      <c r="F13" s="37" t="s">
        <v>66</v>
      </c>
      <c r="G13" s="33" t="str">
        <f t="shared" si="1"/>
        <v>Dallas → Minneapolis</v>
      </c>
      <c r="H13" s="37" t="s">
        <v>67</v>
      </c>
      <c r="I13" s="37" t="s">
        <v>103</v>
      </c>
      <c r="J13" s="37" t="s">
        <v>104</v>
      </c>
      <c r="K13" s="37">
        <v>396</v>
      </c>
      <c r="L13" s="37">
        <v>1627</v>
      </c>
      <c r="M13" s="37">
        <v>494.95499999999998</v>
      </c>
      <c r="N13" s="37" t="s">
        <v>60</v>
      </c>
      <c r="O13" s="37">
        <v>337</v>
      </c>
      <c r="P13" s="37">
        <v>235</v>
      </c>
      <c r="Q13" s="46">
        <f t="shared" si="2"/>
        <v>69.732937685459902</v>
      </c>
      <c r="R13" s="37" t="s">
        <v>70</v>
      </c>
      <c r="S13" s="49" t="str">
        <f t="shared" si="0"/>
        <v>2024-11</v>
      </c>
      <c r="T13" s="37">
        <v>93</v>
      </c>
      <c r="Z13" t="s">
        <v>41</v>
      </c>
      <c r="AA13">
        <v>27</v>
      </c>
    </row>
    <row r="14" spans="1:27">
      <c r="A14" s="33" t="s">
        <v>105</v>
      </c>
      <c r="B14" s="45">
        <v>45052</v>
      </c>
      <c r="C14" s="33" t="s">
        <v>20</v>
      </c>
      <c r="D14" s="33" t="s">
        <v>23</v>
      </c>
      <c r="E14" s="33" t="s">
        <v>24</v>
      </c>
      <c r="F14" s="33" t="s">
        <v>48</v>
      </c>
      <c r="G14" s="33" t="str">
        <f t="shared" si="1"/>
        <v>Denver → San Diego</v>
      </c>
      <c r="H14" s="33" t="s">
        <v>49</v>
      </c>
      <c r="I14" s="33" t="s">
        <v>107</v>
      </c>
      <c r="J14" s="33" t="s">
        <v>108</v>
      </c>
      <c r="K14" s="33">
        <v>464</v>
      </c>
      <c r="L14" s="33">
        <v>2290</v>
      </c>
      <c r="M14" s="33">
        <v>587.19000000000005</v>
      </c>
      <c r="N14" s="33" t="s">
        <v>27</v>
      </c>
      <c r="O14" s="33">
        <v>296</v>
      </c>
      <c r="P14" s="33">
        <v>82</v>
      </c>
      <c r="Q14" s="46">
        <f t="shared" si="2"/>
        <v>27.702702702702702</v>
      </c>
      <c r="R14" s="33" t="s">
        <v>28</v>
      </c>
      <c r="S14" s="47" t="str">
        <f t="shared" si="0"/>
        <v>2023-05</v>
      </c>
      <c r="T14" s="33">
        <v>0</v>
      </c>
      <c r="Z14" t="s">
        <v>175</v>
      </c>
      <c r="AA14">
        <v>26</v>
      </c>
    </row>
    <row r="15" spans="1:27">
      <c r="A15" s="37" t="s">
        <v>109</v>
      </c>
      <c r="B15" s="48">
        <v>45535</v>
      </c>
      <c r="C15" s="33" t="s">
        <v>63</v>
      </c>
      <c r="D15" s="37" t="s">
        <v>21</v>
      </c>
      <c r="E15" s="37" t="s">
        <v>22</v>
      </c>
      <c r="F15" s="37" t="s">
        <v>32</v>
      </c>
      <c r="G15" s="33" t="str">
        <f t="shared" si="1"/>
        <v>Boston → Orlando</v>
      </c>
      <c r="H15" s="37" t="s">
        <v>33</v>
      </c>
      <c r="I15" s="37" t="s">
        <v>111</v>
      </c>
      <c r="J15" s="37" t="s">
        <v>112</v>
      </c>
      <c r="K15" s="37">
        <v>198</v>
      </c>
      <c r="L15" s="37">
        <v>2508</v>
      </c>
      <c r="M15" s="37">
        <v>677.70500000000004</v>
      </c>
      <c r="N15" s="37" t="s">
        <v>27</v>
      </c>
      <c r="O15" s="37">
        <v>151</v>
      </c>
      <c r="P15" s="37">
        <v>141</v>
      </c>
      <c r="Q15" s="46">
        <f t="shared" si="2"/>
        <v>93.377483443708599</v>
      </c>
      <c r="R15" s="37" t="s">
        <v>28</v>
      </c>
      <c r="S15" s="49" t="str">
        <f t="shared" si="0"/>
        <v>2024-08</v>
      </c>
      <c r="T15" s="37">
        <v>0</v>
      </c>
      <c r="Z15" t="s">
        <v>130</v>
      </c>
      <c r="AA15">
        <v>26</v>
      </c>
    </row>
    <row r="16" spans="1:27">
      <c r="A16" s="33" t="s">
        <v>113</v>
      </c>
      <c r="B16" s="45">
        <v>45326</v>
      </c>
      <c r="C16" s="33" t="s">
        <v>115</v>
      </c>
      <c r="D16" s="33" t="s">
        <v>116</v>
      </c>
      <c r="E16" s="33" t="s">
        <v>117</v>
      </c>
      <c r="F16" s="33" t="s">
        <v>40</v>
      </c>
      <c r="G16" s="33" t="str">
        <f t="shared" si="1"/>
        <v>Houston → Charlotte</v>
      </c>
      <c r="H16" s="33" t="s">
        <v>41</v>
      </c>
      <c r="I16" s="33" t="s">
        <v>118</v>
      </c>
      <c r="J16" s="33" t="s">
        <v>119</v>
      </c>
      <c r="K16" s="33">
        <v>205</v>
      </c>
      <c r="L16" s="33">
        <v>562</v>
      </c>
      <c r="M16" s="33">
        <v>579.745</v>
      </c>
      <c r="N16" s="33" t="s">
        <v>27</v>
      </c>
      <c r="O16" s="33">
        <v>241</v>
      </c>
      <c r="P16" s="33">
        <v>108</v>
      </c>
      <c r="Q16" s="46">
        <f t="shared" si="2"/>
        <v>44.813278008298802</v>
      </c>
      <c r="R16" s="33" t="s">
        <v>28</v>
      </c>
      <c r="S16" s="47" t="str">
        <f t="shared" si="0"/>
        <v>2024-02</v>
      </c>
      <c r="T16" s="33">
        <v>0</v>
      </c>
      <c r="Z16" t="s">
        <v>22</v>
      </c>
      <c r="AA16">
        <v>26</v>
      </c>
    </row>
    <row r="17" spans="1:27" ht="25.5">
      <c r="A17" s="37" t="s">
        <v>120</v>
      </c>
      <c r="B17" s="48">
        <v>44576</v>
      </c>
      <c r="C17" s="33" t="s">
        <v>94</v>
      </c>
      <c r="D17" s="37" t="s">
        <v>56</v>
      </c>
      <c r="E17" s="37" t="s">
        <v>57</v>
      </c>
      <c r="F17" s="37" t="s">
        <v>21</v>
      </c>
      <c r="G17" s="33" t="str">
        <f t="shared" si="1"/>
        <v>Los Angeles → Boston</v>
      </c>
      <c r="H17" s="37" t="s">
        <v>22</v>
      </c>
      <c r="I17" s="37" t="s">
        <v>107</v>
      </c>
      <c r="J17" s="37" t="s">
        <v>122</v>
      </c>
      <c r="K17" s="37">
        <v>259</v>
      </c>
      <c r="L17" s="37">
        <v>590</v>
      </c>
      <c r="M17" s="37">
        <v>498.48</v>
      </c>
      <c r="N17" s="37" t="s">
        <v>44</v>
      </c>
      <c r="O17" s="37">
        <v>271</v>
      </c>
      <c r="P17" s="37">
        <v>174</v>
      </c>
      <c r="Q17" s="46">
        <f t="shared" si="2"/>
        <v>64.206642066420699</v>
      </c>
      <c r="R17" s="37" t="s">
        <v>28</v>
      </c>
      <c r="S17" s="49" t="str">
        <f t="shared" si="0"/>
        <v>2022-01</v>
      </c>
      <c r="T17" s="37">
        <v>0</v>
      </c>
      <c r="Z17" t="s">
        <v>157</v>
      </c>
      <c r="AA17">
        <v>25</v>
      </c>
    </row>
    <row r="18" spans="1:27">
      <c r="A18" s="33" t="s">
        <v>123</v>
      </c>
      <c r="B18" s="45">
        <v>44832</v>
      </c>
      <c r="C18" s="33" t="s">
        <v>115</v>
      </c>
      <c r="D18" s="33" t="s">
        <v>23</v>
      </c>
      <c r="E18" s="33" t="s">
        <v>24</v>
      </c>
      <c r="F18" s="33" t="s">
        <v>116</v>
      </c>
      <c r="G18" s="33" t="str">
        <f t="shared" si="1"/>
        <v>Denver → Houston</v>
      </c>
      <c r="H18" s="33" t="s">
        <v>117</v>
      </c>
      <c r="I18" s="33" t="s">
        <v>125</v>
      </c>
      <c r="J18" s="33" t="s">
        <v>126</v>
      </c>
      <c r="K18" s="33">
        <v>138</v>
      </c>
      <c r="L18" s="33">
        <v>697</v>
      </c>
      <c r="M18" s="33">
        <v>527.08500000000004</v>
      </c>
      <c r="N18" s="33" t="s">
        <v>44</v>
      </c>
      <c r="O18" s="33">
        <v>208</v>
      </c>
      <c r="P18" s="33">
        <v>155</v>
      </c>
      <c r="Q18" s="46">
        <f t="shared" si="2"/>
        <v>74.519230769230802</v>
      </c>
      <c r="R18" s="33" t="s">
        <v>28</v>
      </c>
      <c r="S18" s="47" t="str">
        <f t="shared" si="0"/>
        <v>2022-09</v>
      </c>
      <c r="T18" s="33">
        <v>0</v>
      </c>
      <c r="Z18" t="s">
        <v>74</v>
      </c>
      <c r="AA18">
        <v>25</v>
      </c>
    </row>
    <row r="19" spans="1:27">
      <c r="A19" s="37" t="s">
        <v>127</v>
      </c>
      <c r="B19" s="48">
        <v>44672</v>
      </c>
      <c r="C19" s="33" t="s">
        <v>94</v>
      </c>
      <c r="D19" s="37" t="s">
        <v>56</v>
      </c>
      <c r="E19" s="37" t="s">
        <v>57</v>
      </c>
      <c r="F19" s="37" t="s">
        <v>129</v>
      </c>
      <c r="G19" s="33" t="str">
        <f t="shared" si="1"/>
        <v>Los Angeles → Detroit</v>
      </c>
      <c r="H19" s="37" t="s">
        <v>130</v>
      </c>
      <c r="I19" s="37" t="s">
        <v>131</v>
      </c>
      <c r="J19" s="37" t="s">
        <v>132</v>
      </c>
      <c r="K19" s="37">
        <v>145</v>
      </c>
      <c r="L19" s="37">
        <v>1318</v>
      </c>
      <c r="M19" s="37">
        <v>627.39</v>
      </c>
      <c r="N19" s="37" t="s">
        <v>27</v>
      </c>
      <c r="O19" s="37">
        <v>214</v>
      </c>
      <c r="P19" s="37">
        <v>85</v>
      </c>
      <c r="Q19" s="46">
        <f t="shared" si="2"/>
        <v>39.719626168224302</v>
      </c>
      <c r="R19" s="37" t="s">
        <v>28</v>
      </c>
      <c r="S19" s="49" t="str">
        <f t="shared" si="0"/>
        <v>2022-04</v>
      </c>
      <c r="T19" s="37">
        <v>0</v>
      </c>
      <c r="Z19" t="s">
        <v>55</v>
      </c>
      <c r="AA19">
        <v>24</v>
      </c>
    </row>
    <row r="20" spans="1:27">
      <c r="A20" s="33" t="s">
        <v>133</v>
      </c>
      <c r="B20" s="45">
        <v>45132</v>
      </c>
      <c r="C20" s="33" t="s">
        <v>115</v>
      </c>
      <c r="D20" s="33" t="s">
        <v>23</v>
      </c>
      <c r="E20" s="33" t="s">
        <v>24</v>
      </c>
      <c r="F20" s="33" t="s">
        <v>54</v>
      </c>
      <c r="G20" s="33" t="str">
        <f t="shared" si="1"/>
        <v>Denver → Chicago</v>
      </c>
      <c r="H20" s="33" t="s">
        <v>55</v>
      </c>
      <c r="I20" s="33" t="s">
        <v>135</v>
      </c>
      <c r="J20" s="33" t="s">
        <v>136</v>
      </c>
      <c r="K20" s="33">
        <v>115</v>
      </c>
      <c r="L20" s="33">
        <v>2971</v>
      </c>
      <c r="M20" s="33">
        <v>641.17750000000001</v>
      </c>
      <c r="N20" s="33" t="s">
        <v>60</v>
      </c>
      <c r="O20" s="33">
        <v>348</v>
      </c>
      <c r="P20" s="33">
        <v>97</v>
      </c>
      <c r="Q20" s="46">
        <f t="shared" si="2"/>
        <v>27.8735632183908</v>
      </c>
      <c r="R20" s="33" t="s">
        <v>70</v>
      </c>
      <c r="S20" s="47" t="str">
        <f t="shared" si="0"/>
        <v>2023-07</v>
      </c>
      <c r="T20" s="33">
        <v>75</v>
      </c>
      <c r="Z20" t="s">
        <v>80</v>
      </c>
      <c r="AA20">
        <v>24</v>
      </c>
    </row>
    <row r="21" spans="1:27">
      <c r="A21" s="37" t="s">
        <v>137</v>
      </c>
      <c r="B21" s="48">
        <v>44902</v>
      </c>
      <c r="C21" s="33" t="s">
        <v>73</v>
      </c>
      <c r="D21" s="37" t="s">
        <v>79</v>
      </c>
      <c r="E21" s="37" t="s">
        <v>80</v>
      </c>
      <c r="F21" s="37" t="s">
        <v>116</v>
      </c>
      <c r="G21" s="33" t="str">
        <f t="shared" si="1"/>
        <v>Newark → Houston</v>
      </c>
      <c r="H21" s="37" t="s">
        <v>117</v>
      </c>
      <c r="I21" s="37" t="s">
        <v>139</v>
      </c>
      <c r="J21" s="37" t="s">
        <v>140</v>
      </c>
      <c r="K21" s="37">
        <v>120</v>
      </c>
      <c r="L21" s="37">
        <v>974</v>
      </c>
      <c r="M21" s="37">
        <v>527.08500000000004</v>
      </c>
      <c r="N21" s="37" t="s">
        <v>44</v>
      </c>
      <c r="O21" s="37">
        <v>167</v>
      </c>
      <c r="P21" s="37">
        <v>150</v>
      </c>
      <c r="Q21" s="46">
        <f t="shared" si="2"/>
        <v>89.820359281437106</v>
      </c>
      <c r="R21" s="37" t="s">
        <v>70</v>
      </c>
      <c r="S21" s="49" t="str">
        <f t="shared" si="0"/>
        <v>2022-12</v>
      </c>
      <c r="T21" s="37">
        <v>88</v>
      </c>
      <c r="Z21" t="s">
        <v>102</v>
      </c>
      <c r="AA21">
        <v>24</v>
      </c>
    </row>
    <row r="22" spans="1:27">
      <c r="A22" s="33" t="s">
        <v>141</v>
      </c>
      <c r="B22" s="45">
        <v>45428</v>
      </c>
      <c r="C22" s="33" t="s">
        <v>115</v>
      </c>
      <c r="D22" s="33" t="s">
        <v>101</v>
      </c>
      <c r="E22" s="33" t="s">
        <v>102</v>
      </c>
      <c r="F22" s="33" t="s">
        <v>23</v>
      </c>
      <c r="G22" s="33" t="str">
        <f t="shared" si="1"/>
        <v>Dallas → Denver</v>
      </c>
      <c r="H22" s="33" t="s">
        <v>24</v>
      </c>
      <c r="I22" s="33" t="s">
        <v>143</v>
      </c>
      <c r="J22" s="33" t="s">
        <v>144</v>
      </c>
      <c r="K22" s="33">
        <v>119</v>
      </c>
      <c r="L22" s="33">
        <v>2672</v>
      </c>
      <c r="M22" s="33">
        <v>494.95499999999998</v>
      </c>
      <c r="N22" s="33" t="s">
        <v>60</v>
      </c>
      <c r="O22" s="33">
        <v>291</v>
      </c>
      <c r="P22" s="33">
        <v>130</v>
      </c>
      <c r="Q22" s="46">
        <f t="shared" si="2"/>
        <v>44.673539518900299</v>
      </c>
      <c r="R22" s="33" t="s">
        <v>28</v>
      </c>
      <c r="S22" s="47" t="str">
        <f t="shared" si="0"/>
        <v>2024-05</v>
      </c>
      <c r="T22" s="33">
        <v>0</v>
      </c>
      <c r="Z22" t="s">
        <v>33</v>
      </c>
      <c r="AA22">
        <v>23</v>
      </c>
    </row>
    <row r="23" spans="1:27" ht="25.5">
      <c r="A23" s="37" t="s">
        <v>145</v>
      </c>
      <c r="B23" s="48">
        <v>45538</v>
      </c>
      <c r="C23" s="33" t="s">
        <v>63</v>
      </c>
      <c r="D23" s="37" t="s">
        <v>56</v>
      </c>
      <c r="E23" s="37" t="s">
        <v>57</v>
      </c>
      <c r="F23" s="37" t="s">
        <v>32</v>
      </c>
      <c r="G23" s="33" t="str">
        <f t="shared" si="1"/>
        <v>Los Angeles → Orlando</v>
      </c>
      <c r="H23" s="37" t="s">
        <v>33</v>
      </c>
      <c r="I23" s="37" t="s">
        <v>147</v>
      </c>
      <c r="J23" s="37" t="s">
        <v>148</v>
      </c>
      <c r="K23" s="37">
        <v>125</v>
      </c>
      <c r="L23" s="37">
        <v>2737</v>
      </c>
      <c r="M23" s="37">
        <v>498.48</v>
      </c>
      <c r="N23" s="37" t="s">
        <v>60</v>
      </c>
      <c r="O23" s="37">
        <v>203</v>
      </c>
      <c r="P23" s="37">
        <v>80</v>
      </c>
      <c r="Q23" s="46">
        <f t="shared" si="2"/>
        <v>39.4088669950739</v>
      </c>
      <c r="R23" s="37" t="s">
        <v>149</v>
      </c>
      <c r="S23" s="49" t="str">
        <f t="shared" si="0"/>
        <v>2024-09</v>
      </c>
      <c r="T23" s="37">
        <v>0</v>
      </c>
      <c r="Z23" t="s">
        <v>96</v>
      </c>
      <c r="AA23">
        <v>22</v>
      </c>
    </row>
    <row r="24" spans="1:27">
      <c r="A24" s="33" t="s">
        <v>150</v>
      </c>
      <c r="B24" s="45">
        <v>45066</v>
      </c>
      <c r="C24" s="33" t="s">
        <v>20</v>
      </c>
      <c r="D24" s="33" t="s">
        <v>48</v>
      </c>
      <c r="E24" s="33" t="s">
        <v>49</v>
      </c>
      <c r="F24" s="33" t="s">
        <v>54</v>
      </c>
      <c r="G24" s="33" t="str">
        <f t="shared" si="1"/>
        <v>San Diego → Chicago</v>
      </c>
      <c r="H24" s="33" t="s">
        <v>55</v>
      </c>
      <c r="I24" s="33" t="s">
        <v>152</v>
      </c>
      <c r="J24" s="33" t="s">
        <v>153</v>
      </c>
      <c r="K24" s="33">
        <v>223</v>
      </c>
      <c r="L24" s="33">
        <v>1136</v>
      </c>
      <c r="M24" s="33">
        <v>627.39</v>
      </c>
      <c r="N24" s="33" t="s">
        <v>44</v>
      </c>
      <c r="O24" s="33">
        <v>161</v>
      </c>
      <c r="P24" s="33">
        <v>83</v>
      </c>
      <c r="Q24" s="46">
        <f t="shared" si="2"/>
        <v>51.552795031055901</v>
      </c>
      <c r="R24" s="33" t="s">
        <v>28</v>
      </c>
      <c r="S24" s="47" t="str">
        <f t="shared" si="0"/>
        <v>2023-05</v>
      </c>
      <c r="T24" s="33">
        <v>0</v>
      </c>
      <c r="Z24" t="s">
        <v>39</v>
      </c>
      <c r="AA24">
        <v>21</v>
      </c>
    </row>
    <row r="25" spans="1:27">
      <c r="A25" s="37" t="s">
        <v>154</v>
      </c>
      <c r="B25" s="48">
        <v>45176</v>
      </c>
      <c r="C25" s="33" t="s">
        <v>115</v>
      </c>
      <c r="D25" s="37" t="s">
        <v>156</v>
      </c>
      <c r="E25" s="37" t="s">
        <v>157</v>
      </c>
      <c r="F25" s="37" t="s">
        <v>54</v>
      </c>
      <c r="G25" s="33" t="str">
        <f t="shared" si="1"/>
        <v>Phoenix → Chicago</v>
      </c>
      <c r="H25" s="37" t="s">
        <v>55</v>
      </c>
      <c r="I25" s="37" t="s">
        <v>158</v>
      </c>
      <c r="J25" s="37" t="s">
        <v>159</v>
      </c>
      <c r="K25" s="37">
        <v>408</v>
      </c>
      <c r="L25" s="37">
        <v>2606</v>
      </c>
      <c r="M25" s="37">
        <v>587.19000000000005</v>
      </c>
      <c r="N25" s="37" t="s">
        <v>60</v>
      </c>
      <c r="O25" s="37">
        <v>237</v>
      </c>
      <c r="P25" s="37">
        <v>104</v>
      </c>
      <c r="Q25" s="46">
        <f t="shared" si="2"/>
        <v>43.881856540084399</v>
      </c>
      <c r="R25" s="37" t="s">
        <v>28</v>
      </c>
      <c r="S25" s="49" t="str">
        <f t="shared" si="0"/>
        <v>2023-09</v>
      </c>
      <c r="T25" s="37">
        <v>0</v>
      </c>
      <c r="Z25" t="s">
        <v>117</v>
      </c>
      <c r="AA25">
        <v>21</v>
      </c>
    </row>
    <row r="26" spans="1:27">
      <c r="A26" s="33" t="s">
        <v>160</v>
      </c>
      <c r="B26" s="45">
        <v>44833</v>
      </c>
      <c r="C26" s="33" t="s">
        <v>47</v>
      </c>
      <c r="D26" s="33" t="s">
        <v>54</v>
      </c>
      <c r="E26" s="33" t="s">
        <v>55</v>
      </c>
      <c r="F26" s="33" t="s">
        <v>21</v>
      </c>
      <c r="G26" s="33" t="str">
        <f t="shared" si="1"/>
        <v>Chicago → Boston</v>
      </c>
      <c r="H26" s="33" t="s">
        <v>22</v>
      </c>
      <c r="I26" s="33" t="s">
        <v>162</v>
      </c>
      <c r="J26" s="33" t="s">
        <v>163</v>
      </c>
      <c r="K26" s="33">
        <v>170</v>
      </c>
      <c r="L26" s="33">
        <v>2094</v>
      </c>
      <c r="M26" s="33">
        <v>494.95499999999998</v>
      </c>
      <c r="N26" s="33" t="s">
        <v>27</v>
      </c>
      <c r="O26" s="33">
        <v>177</v>
      </c>
      <c r="P26" s="33">
        <v>52</v>
      </c>
      <c r="Q26" s="46">
        <f t="shared" si="2"/>
        <v>29.3785310734463</v>
      </c>
      <c r="R26" s="33" t="s">
        <v>70</v>
      </c>
      <c r="S26" s="47" t="str">
        <f t="shared" si="0"/>
        <v>2022-09</v>
      </c>
      <c r="T26" s="33">
        <v>156</v>
      </c>
      <c r="Z26" t="s">
        <v>24</v>
      </c>
      <c r="AA26">
        <v>20</v>
      </c>
    </row>
    <row r="27" spans="1:27">
      <c r="A27" s="37" t="s">
        <v>164</v>
      </c>
      <c r="B27" s="48">
        <v>45175</v>
      </c>
      <c r="C27" s="33" t="s">
        <v>94</v>
      </c>
      <c r="D27" s="37" t="s">
        <v>101</v>
      </c>
      <c r="E27" s="37" t="s">
        <v>102</v>
      </c>
      <c r="F27" s="37" t="s">
        <v>95</v>
      </c>
      <c r="G27" s="33" t="str">
        <f t="shared" si="1"/>
        <v>Dallas → Las Vegas</v>
      </c>
      <c r="H27" s="37" t="s">
        <v>96</v>
      </c>
      <c r="I27" s="37" t="s">
        <v>166</v>
      </c>
      <c r="J27" s="37" t="s">
        <v>167</v>
      </c>
      <c r="K27" s="37">
        <v>470</v>
      </c>
      <c r="L27" s="37">
        <v>2566</v>
      </c>
      <c r="M27" s="37">
        <v>587.19000000000005</v>
      </c>
      <c r="N27" s="37" t="s">
        <v>44</v>
      </c>
      <c r="O27" s="37">
        <v>254</v>
      </c>
      <c r="P27" s="37">
        <v>103</v>
      </c>
      <c r="Q27" s="46">
        <f t="shared" si="2"/>
        <v>40.5511811023622</v>
      </c>
      <c r="R27" s="37" t="s">
        <v>70</v>
      </c>
      <c r="S27" s="49" t="str">
        <f t="shared" si="0"/>
        <v>2023-09</v>
      </c>
      <c r="T27" s="37">
        <v>67</v>
      </c>
      <c r="Z27" t="s">
        <v>184</v>
      </c>
      <c r="AA27">
        <v>16</v>
      </c>
    </row>
    <row r="28" spans="1:27" ht="25.5">
      <c r="A28" s="33" t="s">
        <v>168</v>
      </c>
      <c r="B28" s="45">
        <v>45102</v>
      </c>
      <c r="C28" s="33" t="s">
        <v>115</v>
      </c>
      <c r="D28" s="33" t="s">
        <v>21</v>
      </c>
      <c r="E28" s="33" t="s">
        <v>22</v>
      </c>
      <c r="F28" s="33" t="s">
        <v>56</v>
      </c>
      <c r="G28" s="33" t="str">
        <f t="shared" si="1"/>
        <v>Boston → Los Angeles</v>
      </c>
      <c r="H28" s="33" t="s">
        <v>57</v>
      </c>
      <c r="I28" s="33" t="s">
        <v>170</v>
      </c>
      <c r="J28" s="33" t="s">
        <v>171</v>
      </c>
      <c r="K28" s="33">
        <v>231</v>
      </c>
      <c r="L28" s="33">
        <v>480</v>
      </c>
      <c r="M28" s="33">
        <v>498.48</v>
      </c>
      <c r="N28" s="33" t="s">
        <v>60</v>
      </c>
      <c r="O28" s="33">
        <v>263</v>
      </c>
      <c r="P28" s="33">
        <v>117</v>
      </c>
      <c r="Q28" s="46">
        <f t="shared" si="2"/>
        <v>44.486692015209101</v>
      </c>
      <c r="R28" s="33" t="s">
        <v>28</v>
      </c>
      <c r="S28" s="47" t="str">
        <f t="shared" si="0"/>
        <v>2023-06</v>
      </c>
      <c r="T28" s="33">
        <v>0</v>
      </c>
      <c r="Z28" t="s">
        <v>1461</v>
      </c>
      <c r="AA28">
        <v>500</v>
      </c>
    </row>
    <row r="29" spans="1:27">
      <c r="A29" s="37" t="s">
        <v>172</v>
      </c>
      <c r="B29" s="48">
        <v>45466</v>
      </c>
      <c r="C29" s="33" t="s">
        <v>73</v>
      </c>
      <c r="D29" s="37" t="s">
        <v>32</v>
      </c>
      <c r="E29" s="37" t="s">
        <v>33</v>
      </c>
      <c r="F29" s="37" t="s">
        <v>174</v>
      </c>
      <c r="G29" s="33" t="str">
        <f t="shared" si="1"/>
        <v>Orlando → New York</v>
      </c>
      <c r="H29" s="37" t="s">
        <v>175</v>
      </c>
      <c r="I29" s="37" t="s">
        <v>166</v>
      </c>
      <c r="J29" s="37" t="s">
        <v>176</v>
      </c>
      <c r="K29" s="37">
        <v>443</v>
      </c>
      <c r="L29" s="37">
        <v>910</v>
      </c>
      <c r="M29" s="37">
        <v>587.19000000000005</v>
      </c>
      <c r="N29" s="37" t="s">
        <v>44</v>
      </c>
      <c r="O29" s="37">
        <v>249</v>
      </c>
      <c r="P29" s="37">
        <v>142</v>
      </c>
      <c r="Q29" s="46">
        <f t="shared" si="2"/>
        <v>57.028112449799202</v>
      </c>
      <c r="R29" s="37" t="s">
        <v>28</v>
      </c>
      <c r="S29" s="49" t="str">
        <f t="shared" si="0"/>
        <v>2024-06</v>
      </c>
      <c r="T29" s="37">
        <v>0</v>
      </c>
    </row>
    <row r="30" spans="1:27" ht="25.5">
      <c r="A30" s="33" t="s">
        <v>177</v>
      </c>
      <c r="B30" s="45">
        <v>44823</v>
      </c>
      <c r="C30" s="33" t="s">
        <v>20</v>
      </c>
      <c r="D30" s="33" t="s">
        <v>95</v>
      </c>
      <c r="E30" s="33" t="s">
        <v>96</v>
      </c>
      <c r="F30" s="33" t="s">
        <v>66</v>
      </c>
      <c r="G30" s="33" t="str">
        <f t="shared" si="1"/>
        <v>Las Vegas → Minneapolis</v>
      </c>
      <c r="H30" s="33" t="s">
        <v>67</v>
      </c>
      <c r="I30" s="33" t="s">
        <v>179</v>
      </c>
      <c r="J30" s="33" t="s">
        <v>180</v>
      </c>
      <c r="K30" s="33">
        <v>197</v>
      </c>
      <c r="L30" s="33">
        <v>1322</v>
      </c>
      <c r="M30" s="33">
        <v>527.08500000000004</v>
      </c>
      <c r="N30" s="33" t="s">
        <v>44</v>
      </c>
      <c r="O30" s="33">
        <v>299</v>
      </c>
      <c r="P30" s="33">
        <v>193</v>
      </c>
      <c r="Q30" s="46">
        <f t="shared" si="2"/>
        <v>64.548494983277607</v>
      </c>
      <c r="R30" s="33" t="s">
        <v>70</v>
      </c>
      <c r="S30" s="47" t="str">
        <f t="shared" si="0"/>
        <v>2022-09</v>
      </c>
      <c r="T30" s="33">
        <v>119</v>
      </c>
    </row>
    <row r="31" spans="1:27">
      <c r="A31" s="37" t="s">
        <v>181</v>
      </c>
      <c r="B31" s="48">
        <v>44878</v>
      </c>
      <c r="C31" s="33" t="s">
        <v>31</v>
      </c>
      <c r="D31" s="37" t="s">
        <v>38</v>
      </c>
      <c r="E31" s="37" t="s">
        <v>39</v>
      </c>
      <c r="F31" s="37" t="s">
        <v>183</v>
      </c>
      <c r="G31" s="33" t="str">
        <f t="shared" si="1"/>
        <v>Miami → Seattle</v>
      </c>
      <c r="H31" s="37" t="s">
        <v>184</v>
      </c>
      <c r="I31" s="37" t="s">
        <v>185</v>
      </c>
      <c r="J31" s="37" t="s">
        <v>186</v>
      </c>
      <c r="K31" s="37">
        <v>181</v>
      </c>
      <c r="L31" s="37">
        <v>1660</v>
      </c>
      <c r="M31" s="37">
        <v>956.27</v>
      </c>
      <c r="N31" s="37" t="s">
        <v>44</v>
      </c>
      <c r="O31" s="37">
        <v>305</v>
      </c>
      <c r="P31" s="37">
        <v>177</v>
      </c>
      <c r="Q31" s="46">
        <f t="shared" si="2"/>
        <v>58.032786885245898</v>
      </c>
      <c r="R31" s="37" t="s">
        <v>28</v>
      </c>
      <c r="S31" s="49" t="str">
        <f t="shared" si="0"/>
        <v>2022-11</v>
      </c>
      <c r="T31" s="37">
        <v>0</v>
      </c>
    </row>
    <row r="32" spans="1:27" ht="25.5">
      <c r="A32" s="33" t="s">
        <v>187</v>
      </c>
      <c r="B32" s="45">
        <v>44783</v>
      </c>
      <c r="C32" s="33" t="s">
        <v>73</v>
      </c>
      <c r="D32" s="33" t="s">
        <v>56</v>
      </c>
      <c r="E32" s="33" t="s">
        <v>57</v>
      </c>
      <c r="F32" s="33" t="s">
        <v>116</v>
      </c>
      <c r="G32" s="33" t="str">
        <f t="shared" si="1"/>
        <v>Los Angeles → Houston</v>
      </c>
      <c r="H32" s="33" t="s">
        <v>117</v>
      </c>
      <c r="I32" s="33" t="s">
        <v>25</v>
      </c>
      <c r="J32" s="33" t="s">
        <v>189</v>
      </c>
      <c r="K32" s="33">
        <v>325</v>
      </c>
      <c r="L32" s="33">
        <v>1732</v>
      </c>
      <c r="M32" s="33">
        <v>587.19000000000005</v>
      </c>
      <c r="N32" s="33" t="s">
        <v>60</v>
      </c>
      <c r="O32" s="33">
        <v>157</v>
      </c>
      <c r="P32" s="33">
        <v>53</v>
      </c>
      <c r="Q32" s="46">
        <f t="shared" si="2"/>
        <v>33.757961783439498</v>
      </c>
      <c r="R32" s="33" t="s">
        <v>70</v>
      </c>
      <c r="S32" s="47" t="str">
        <f t="shared" si="0"/>
        <v>2022-08</v>
      </c>
      <c r="T32" s="33">
        <v>117</v>
      </c>
    </row>
    <row r="33" spans="1:20">
      <c r="A33" s="37" t="s">
        <v>190</v>
      </c>
      <c r="B33" s="48">
        <v>45234</v>
      </c>
      <c r="C33" s="33" t="s">
        <v>1462</v>
      </c>
      <c r="D33" s="37" t="s">
        <v>54</v>
      </c>
      <c r="E33" s="37" t="s">
        <v>55</v>
      </c>
      <c r="F33" s="37" t="s">
        <v>95</v>
      </c>
      <c r="G33" s="33" t="str">
        <f t="shared" si="1"/>
        <v>Chicago → Las Vegas</v>
      </c>
      <c r="H33" s="37" t="s">
        <v>96</v>
      </c>
      <c r="I33" s="37" t="s">
        <v>193</v>
      </c>
      <c r="J33" s="37" t="s">
        <v>194</v>
      </c>
      <c r="K33" s="37">
        <v>437</v>
      </c>
      <c r="L33" s="37">
        <v>2496</v>
      </c>
      <c r="M33" s="37">
        <v>450.89</v>
      </c>
      <c r="N33" s="37" t="s">
        <v>60</v>
      </c>
      <c r="O33" s="37">
        <v>129</v>
      </c>
      <c r="P33" s="37">
        <v>83</v>
      </c>
      <c r="Q33" s="46">
        <f t="shared" si="2"/>
        <v>64.341085271317795</v>
      </c>
      <c r="R33" s="37" t="s">
        <v>28</v>
      </c>
      <c r="S33" s="49" t="str">
        <f t="shared" si="0"/>
        <v>2023-11</v>
      </c>
      <c r="T33" s="37">
        <v>0</v>
      </c>
    </row>
    <row r="34" spans="1:20">
      <c r="A34" s="33" t="s">
        <v>195</v>
      </c>
      <c r="B34" s="45">
        <v>45105</v>
      </c>
      <c r="C34" s="33" t="s">
        <v>20</v>
      </c>
      <c r="D34" s="33" t="s">
        <v>197</v>
      </c>
      <c r="E34" s="33" t="s">
        <v>198</v>
      </c>
      <c r="F34" s="33" t="s">
        <v>40</v>
      </c>
      <c r="G34" s="33" t="str">
        <f t="shared" si="1"/>
        <v>Atlanta → Charlotte</v>
      </c>
      <c r="H34" s="33" t="s">
        <v>41</v>
      </c>
      <c r="I34" s="33" t="s">
        <v>162</v>
      </c>
      <c r="J34" s="33" t="s">
        <v>199</v>
      </c>
      <c r="K34" s="33">
        <v>313</v>
      </c>
      <c r="L34" s="33">
        <v>2783</v>
      </c>
      <c r="M34" s="33">
        <v>1182.3399999999999</v>
      </c>
      <c r="N34" s="33" t="s">
        <v>60</v>
      </c>
      <c r="O34" s="33">
        <v>198</v>
      </c>
      <c r="P34" s="33">
        <v>197</v>
      </c>
      <c r="Q34" s="46">
        <f t="shared" si="2"/>
        <v>99.494949494949495</v>
      </c>
      <c r="R34" s="33" t="s">
        <v>28</v>
      </c>
      <c r="S34" s="47" t="str">
        <f t="shared" si="0"/>
        <v>2023-06</v>
      </c>
      <c r="T34" s="33">
        <v>0</v>
      </c>
    </row>
    <row r="35" spans="1:20">
      <c r="A35" s="37" t="s">
        <v>200</v>
      </c>
      <c r="B35" s="48">
        <v>44652</v>
      </c>
      <c r="C35" s="33" t="s">
        <v>73</v>
      </c>
      <c r="D35" s="37" t="s">
        <v>174</v>
      </c>
      <c r="E35" s="37" t="s">
        <v>175</v>
      </c>
      <c r="F35" s="37" t="s">
        <v>32</v>
      </c>
      <c r="G35" s="33" t="str">
        <f t="shared" si="1"/>
        <v>New York → Orlando</v>
      </c>
      <c r="H35" s="37" t="s">
        <v>33</v>
      </c>
      <c r="I35" s="37" t="s">
        <v>202</v>
      </c>
      <c r="J35" s="37" t="s">
        <v>203</v>
      </c>
      <c r="K35" s="37">
        <v>276</v>
      </c>
      <c r="L35" s="37">
        <v>2066</v>
      </c>
      <c r="M35" s="37">
        <v>158.37</v>
      </c>
      <c r="N35" s="37" t="s">
        <v>27</v>
      </c>
      <c r="O35" s="37">
        <v>335</v>
      </c>
      <c r="P35" s="37">
        <v>219</v>
      </c>
      <c r="Q35" s="46">
        <f t="shared" si="2"/>
        <v>65.373134328358205</v>
      </c>
      <c r="R35" s="37" t="s">
        <v>28</v>
      </c>
      <c r="S35" s="49" t="str">
        <f t="shared" si="0"/>
        <v>2022-04</v>
      </c>
      <c r="T35" s="37">
        <v>0</v>
      </c>
    </row>
    <row r="36" spans="1:20">
      <c r="A36" s="33" t="s">
        <v>204</v>
      </c>
      <c r="B36" s="45">
        <v>44817</v>
      </c>
      <c r="C36" s="33" t="s">
        <v>1462</v>
      </c>
      <c r="D36" s="33" t="s">
        <v>116</v>
      </c>
      <c r="E36" s="33" t="s">
        <v>117</v>
      </c>
      <c r="F36" s="33" t="s">
        <v>95</v>
      </c>
      <c r="G36" s="33" t="str">
        <f t="shared" si="1"/>
        <v>Houston → Las Vegas</v>
      </c>
      <c r="H36" s="33" t="s">
        <v>96</v>
      </c>
      <c r="I36" s="33" t="s">
        <v>206</v>
      </c>
      <c r="J36" s="33" t="s">
        <v>207</v>
      </c>
      <c r="K36" s="33">
        <v>257</v>
      </c>
      <c r="L36" s="33">
        <v>1948</v>
      </c>
      <c r="M36" s="33">
        <v>860.87</v>
      </c>
      <c r="N36" s="33" t="s">
        <v>27</v>
      </c>
      <c r="O36" s="33">
        <v>132</v>
      </c>
      <c r="P36" s="33">
        <v>74</v>
      </c>
      <c r="Q36" s="46">
        <f t="shared" si="2"/>
        <v>56.060606060606098</v>
      </c>
      <c r="R36" s="33" t="s">
        <v>28</v>
      </c>
      <c r="S36" s="47" t="str">
        <f t="shared" si="0"/>
        <v>2022-09</v>
      </c>
      <c r="T36" s="33">
        <v>0</v>
      </c>
    </row>
    <row r="37" spans="1:20">
      <c r="A37" s="37" t="s">
        <v>208</v>
      </c>
      <c r="B37" s="48">
        <v>45338</v>
      </c>
      <c r="C37" s="33" t="s">
        <v>63</v>
      </c>
      <c r="D37" s="37" t="s">
        <v>48</v>
      </c>
      <c r="E37" s="37" t="s">
        <v>49</v>
      </c>
      <c r="F37" s="37" t="s">
        <v>54</v>
      </c>
      <c r="G37" s="33" t="str">
        <f t="shared" si="1"/>
        <v>San Diego → Chicago</v>
      </c>
      <c r="H37" s="37" t="s">
        <v>74</v>
      </c>
      <c r="I37" s="37" t="s">
        <v>210</v>
      </c>
      <c r="J37" s="37" t="s">
        <v>136</v>
      </c>
      <c r="K37" s="37">
        <v>370</v>
      </c>
      <c r="L37" s="37">
        <v>301</v>
      </c>
      <c r="M37" s="37">
        <v>420.34</v>
      </c>
      <c r="N37" s="37" t="s">
        <v>60</v>
      </c>
      <c r="O37" s="37">
        <v>210</v>
      </c>
      <c r="P37" s="37">
        <v>198</v>
      </c>
      <c r="Q37" s="46">
        <f t="shared" si="2"/>
        <v>94.285714285714306</v>
      </c>
      <c r="R37" s="37" t="s">
        <v>28</v>
      </c>
      <c r="S37" s="49" t="str">
        <f t="shared" si="0"/>
        <v>2024-02</v>
      </c>
      <c r="T37" s="37">
        <v>0</v>
      </c>
    </row>
    <row r="38" spans="1:20">
      <c r="A38" s="33" t="s">
        <v>211</v>
      </c>
      <c r="B38" s="45">
        <v>45221</v>
      </c>
      <c r="C38" s="33" t="s">
        <v>115</v>
      </c>
      <c r="D38" s="33" t="s">
        <v>40</v>
      </c>
      <c r="E38" s="33" t="s">
        <v>41</v>
      </c>
      <c r="F38" s="33" t="s">
        <v>79</v>
      </c>
      <c r="G38" s="33" t="str">
        <f t="shared" si="1"/>
        <v>Charlotte → Newark</v>
      </c>
      <c r="H38" s="33" t="s">
        <v>80</v>
      </c>
      <c r="I38" s="33" t="s">
        <v>58</v>
      </c>
      <c r="J38" s="33" t="s">
        <v>213</v>
      </c>
      <c r="K38" s="33">
        <v>351</v>
      </c>
      <c r="L38" s="33">
        <v>2238</v>
      </c>
      <c r="M38" s="33">
        <v>968.98</v>
      </c>
      <c r="N38" s="33" t="s">
        <v>27</v>
      </c>
      <c r="O38" s="33">
        <v>143</v>
      </c>
      <c r="P38" s="33">
        <v>134</v>
      </c>
      <c r="Q38" s="46">
        <f t="shared" si="2"/>
        <v>93.706293706293707</v>
      </c>
      <c r="R38" s="33" t="s">
        <v>28</v>
      </c>
      <c r="S38" s="47" t="str">
        <f t="shared" si="0"/>
        <v>2023-10</v>
      </c>
      <c r="T38" s="33">
        <v>0</v>
      </c>
    </row>
    <row r="39" spans="1:20">
      <c r="A39" s="37" t="s">
        <v>214</v>
      </c>
      <c r="B39" s="48">
        <v>45617</v>
      </c>
      <c r="C39" s="33" t="s">
        <v>47</v>
      </c>
      <c r="D39" s="37" t="s">
        <v>54</v>
      </c>
      <c r="E39" s="37" t="s">
        <v>55</v>
      </c>
      <c r="F39" s="37" t="s">
        <v>21</v>
      </c>
      <c r="G39" s="33" t="str">
        <f t="shared" si="1"/>
        <v>Chicago → Boston</v>
      </c>
      <c r="H39" s="37" t="s">
        <v>22</v>
      </c>
      <c r="I39" s="37" t="s">
        <v>216</v>
      </c>
      <c r="J39" s="37" t="s">
        <v>217</v>
      </c>
      <c r="K39" s="37">
        <v>205</v>
      </c>
      <c r="L39" s="37">
        <v>1115</v>
      </c>
      <c r="M39" s="37">
        <v>245.04</v>
      </c>
      <c r="N39" s="37" t="s">
        <v>60</v>
      </c>
      <c r="O39" s="37">
        <v>162</v>
      </c>
      <c r="P39" s="37">
        <v>110</v>
      </c>
      <c r="Q39" s="46">
        <f t="shared" si="2"/>
        <v>67.901234567901199</v>
      </c>
      <c r="R39" s="37" t="s">
        <v>28</v>
      </c>
      <c r="S39" s="49" t="str">
        <f t="shared" si="0"/>
        <v>2024-11</v>
      </c>
      <c r="T39" s="37">
        <v>0</v>
      </c>
    </row>
    <row r="40" spans="1:20">
      <c r="A40" s="33" t="s">
        <v>218</v>
      </c>
      <c r="B40" s="45">
        <v>44711</v>
      </c>
      <c r="C40" s="33" t="s">
        <v>115</v>
      </c>
      <c r="D40" s="33" t="s">
        <v>129</v>
      </c>
      <c r="E40" s="33" t="s">
        <v>130</v>
      </c>
      <c r="F40" s="33" t="s">
        <v>48</v>
      </c>
      <c r="G40" s="33" t="str">
        <f t="shared" si="1"/>
        <v>Detroit → San Diego</v>
      </c>
      <c r="H40" s="33" t="s">
        <v>49</v>
      </c>
      <c r="I40" s="33" t="s">
        <v>139</v>
      </c>
      <c r="J40" s="33" t="s">
        <v>220</v>
      </c>
      <c r="K40" s="33">
        <v>343</v>
      </c>
      <c r="L40" s="33">
        <v>1936</v>
      </c>
      <c r="M40" s="33">
        <v>353.26</v>
      </c>
      <c r="N40" s="33" t="s">
        <v>27</v>
      </c>
      <c r="O40" s="33">
        <v>276</v>
      </c>
      <c r="P40" s="33">
        <v>51</v>
      </c>
      <c r="Q40" s="46">
        <f t="shared" si="2"/>
        <v>18.478260869565201</v>
      </c>
      <c r="R40" s="33" t="s">
        <v>70</v>
      </c>
      <c r="S40" s="47" t="str">
        <f t="shared" si="0"/>
        <v>2022-05</v>
      </c>
      <c r="T40" s="33">
        <v>42</v>
      </c>
    </row>
    <row r="41" spans="1:20">
      <c r="A41" s="37" t="s">
        <v>221</v>
      </c>
      <c r="B41" s="48">
        <v>45432</v>
      </c>
      <c r="C41" s="33" t="s">
        <v>31</v>
      </c>
      <c r="D41" s="37" t="s">
        <v>38</v>
      </c>
      <c r="E41" s="37" t="s">
        <v>39</v>
      </c>
      <c r="F41" s="37" t="s">
        <v>32</v>
      </c>
      <c r="G41" s="33" t="str">
        <f t="shared" si="1"/>
        <v>Miami → Orlando</v>
      </c>
      <c r="H41" s="37" t="s">
        <v>33</v>
      </c>
      <c r="I41" s="37" t="s">
        <v>135</v>
      </c>
      <c r="J41" s="37" t="s">
        <v>223</v>
      </c>
      <c r="K41" s="37">
        <v>375</v>
      </c>
      <c r="L41" s="37">
        <v>1320</v>
      </c>
      <c r="M41" s="37">
        <v>1107.57</v>
      </c>
      <c r="N41" s="37" t="s">
        <v>60</v>
      </c>
      <c r="O41" s="37">
        <v>216</v>
      </c>
      <c r="P41" s="37">
        <v>84</v>
      </c>
      <c r="Q41" s="46">
        <f t="shared" si="2"/>
        <v>38.8888888888889</v>
      </c>
      <c r="R41" s="37" t="s">
        <v>70</v>
      </c>
      <c r="S41" s="49" t="str">
        <f t="shared" si="0"/>
        <v>2024-05</v>
      </c>
      <c r="T41" s="37">
        <v>150</v>
      </c>
    </row>
    <row r="42" spans="1:20">
      <c r="A42" s="33" t="s">
        <v>224</v>
      </c>
      <c r="B42" s="45">
        <v>45211</v>
      </c>
      <c r="C42" s="33" t="s">
        <v>115</v>
      </c>
      <c r="D42" s="33" t="s">
        <v>48</v>
      </c>
      <c r="E42" s="33" t="s">
        <v>49</v>
      </c>
      <c r="F42" s="33" t="s">
        <v>116</v>
      </c>
      <c r="G42" s="33" t="str">
        <f t="shared" si="1"/>
        <v>San Diego → Houston</v>
      </c>
      <c r="H42" s="33" t="s">
        <v>117</v>
      </c>
      <c r="I42" s="33" t="s">
        <v>226</v>
      </c>
      <c r="J42" s="33" t="s">
        <v>227</v>
      </c>
      <c r="K42" s="33">
        <v>171</v>
      </c>
      <c r="L42" s="33">
        <v>2244</v>
      </c>
      <c r="M42" s="33">
        <v>584.08000000000004</v>
      </c>
      <c r="N42" s="33" t="s">
        <v>60</v>
      </c>
      <c r="O42" s="33">
        <v>315</v>
      </c>
      <c r="P42" s="33">
        <v>191</v>
      </c>
      <c r="Q42" s="46">
        <f t="shared" si="2"/>
        <v>60.634920634920597</v>
      </c>
      <c r="R42" s="33" t="s">
        <v>70</v>
      </c>
      <c r="S42" s="47" t="str">
        <f t="shared" si="0"/>
        <v>2023-10</v>
      </c>
      <c r="T42" s="33">
        <v>148</v>
      </c>
    </row>
    <row r="43" spans="1:20">
      <c r="A43" s="37" t="s">
        <v>228</v>
      </c>
      <c r="B43" s="48">
        <v>45554</v>
      </c>
      <c r="C43" s="33" t="s">
        <v>31</v>
      </c>
      <c r="D43" s="37" t="s">
        <v>21</v>
      </c>
      <c r="E43" s="37" t="s">
        <v>22</v>
      </c>
      <c r="F43" s="37" t="s">
        <v>79</v>
      </c>
      <c r="G43" s="33" t="str">
        <f t="shared" si="1"/>
        <v>Boston → Newark</v>
      </c>
      <c r="H43" s="37" t="s">
        <v>80</v>
      </c>
      <c r="I43" s="37" t="s">
        <v>230</v>
      </c>
      <c r="J43" s="37" t="s">
        <v>231</v>
      </c>
      <c r="K43" s="37">
        <v>210</v>
      </c>
      <c r="L43" s="37">
        <v>1412</v>
      </c>
      <c r="M43" s="37">
        <v>456.15</v>
      </c>
      <c r="N43" s="37" t="s">
        <v>27</v>
      </c>
      <c r="O43" s="37">
        <v>120</v>
      </c>
      <c r="P43" s="37">
        <v>67</v>
      </c>
      <c r="Q43" s="46">
        <f t="shared" si="2"/>
        <v>55.8333333333333</v>
      </c>
      <c r="R43" s="37" t="s">
        <v>28</v>
      </c>
      <c r="S43" s="49" t="str">
        <f t="shared" si="0"/>
        <v>2024-09</v>
      </c>
      <c r="T43" s="37">
        <v>0</v>
      </c>
    </row>
    <row r="44" spans="1:20">
      <c r="A44" s="33" t="s">
        <v>232</v>
      </c>
      <c r="B44" s="45">
        <v>45346</v>
      </c>
      <c r="C44" s="33" t="s">
        <v>63</v>
      </c>
      <c r="D44" s="33" t="s">
        <v>183</v>
      </c>
      <c r="E44" s="33" t="s">
        <v>184</v>
      </c>
      <c r="F44" s="33" t="s">
        <v>54</v>
      </c>
      <c r="G44" s="33" t="str">
        <f t="shared" si="1"/>
        <v>Seattle → Chicago</v>
      </c>
      <c r="H44" s="33" t="s">
        <v>55</v>
      </c>
      <c r="I44" s="33" t="s">
        <v>226</v>
      </c>
      <c r="J44" s="33" t="s">
        <v>234</v>
      </c>
      <c r="K44" s="33">
        <v>259</v>
      </c>
      <c r="L44" s="33">
        <v>2522</v>
      </c>
      <c r="M44" s="33">
        <v>601.84</v>
      </c>
      <c r="N44" t="s">
        <v>1463</v>
      </c>
      <c r="O44" s="33">
        <v>152</v>
      </c>
      <c r="P44" s="33">
        <v>103</v>
      </c>
      <c r="Q44" s="46">
        <f t="shared" si="2"/>
        <v>67.763157894736807</v>
      </c>
      <c r="R44" s="33" t="s">
        <v>28</v>
      </c>
      <c r="S44" s="47" t="str">
        <f t="shared" si="0"/>
        <v>2024-02</v>
      </c>
      <c r="T44" s="33">
        <v>0</v>
      </c>
    </row>
    <row r="45" spans="1:20">
      <c r="A45" s="37" t="s">
        <v>235</v>
      </c>
      <c r="B45" s="48">
        <v>44602</v>
      </c>
      <c r="C45" s="33" t="s">
        <v>73</v>
      </c>
      <c r="D45" s="37" t="s">
        <v>79</v>
      </c>
      <c r="E45" s="37" t="s">
        <v>80</v>
      </c>
      <c r="F45" s="37" t="s">
        <v>174</v>
      </c>
      <c r="G45" s="33" t="str">
        <f t="shared" si="1"/>
        <v>Newark → New York</v>
      </c>
      <c r="H45" s="37" t="s">
        <v>175</v>
      </c>
      <c r="I45" s="37" t="s">
        <v>162</v>
      </c>
      <c r="J45" s="37" t="s">
        <v>237</v>
      </c>
      <c r="K45" s="37">
        <v>475</v>
      </c>
      <c r="L45" s="37">
        <v>1897</v>
      </c>
      <c r="M45" s="37">
        <v>1035.8599999999999</v>
      </c>
      <c r="N45" s="37" t="s">
        <v>44</v>
      </c>
      <c r="O45" s="37">
        <v>237</v>
      </c>
      <c r="P45" s="37">
        <v>189</v>
      </c>
      <c r="Q45" s="46">
        <f t="shared" si="2"/>
        <v>79.746835443037995</v>
      </c>
      <c r="R45" s="37" t="s">
        <v>70</v>
      </c>
      <c r="S45" s="49" t="str">
        <f t="shared" si="0"/>
        <v>2022-02</v>
      </c>
      <c r="T45" s="37">
        <v>71</v>
      </c>
    </row>
    <row r="46" spans="1:20">
      <c r="A46" s="33" t="s">
        <v>238</v>
      </c>
      <c r="B46" s="45">
        <v>45561</v>
      </c>
      <c r="C46" s="33" t="s">
        <v>31</v>
      </c>
      <c r="D46" s="33" t="s">
        <v>21</v>
      </c>
      <c r="E46" s="33" t="s">
        <v>22</v>
      </c>
      <c r="F46" s="33" t="s">
        <v>40</v>
      </c>
      <c r="G46" s="33" t="str">
        <f t="shared" si="1"/>
        <v>Boston → Charlotte</v>
      </c>
      <c r="H46" s="33" t="s">
        <v>41</v>
      </c>
      <c r="I46" s="33" t="s">
        <v>240</v>
      </c>
      <c r="J46" s="33" t="s">
        <v>241</v>
      </c>
      <c r="K46" s="33">
        <v>289</v>
      </c>
      <c r="L46" s="33">
        <v>1676</v>
      </c>
      <c r="M46" s="33">
        <v>829.14</v>
      </c>
      <c r="N46" s="33" t="s">
        <v>44</v>
      </c>
      <c r="O46" s="33">
        <v>285</v>
      </c>
      <c r="P46" s="33">
        <v>92</v>
      </c>
      <c r="Q46" s="46">
        <f t="shared" si="2"/>
        <v>32.280701754386001</v>
      </c>
      <c r="R46" s="33" t="s">
        <v>70</v>
      </c>
      <c r="S46" s="47" t="str">
        <f t="shared" si="0"/>
        <v>2024-09</v>
      </c>
      <c r="T46" s="33">
        <v>47</v>
      </c>
    </row>
    <row r="47" spans="1:20" ht="25.5">
      <c r="A47" s="37" t="s">
        <v>242</v>
      </c>
      <c r="B47" s="48">
        <v>45655</v>
      </c>
      <c r="C47" s="33" t="s">
        <v>20</v>
      </c>
      <c r="D47" s="37" t="s">
        <v>66</v>
      </c>
      <c r="E47" s="37" t="s">
        <v>67</v>
      </c>
      <c r="F47" s="37" t="s">
        <v>48</v>
      </c>
      <c r="G47" s="33" t="str">
        <f t="shared" si="1"/>
        <v>Minneapolis → San Diego</v>
      </c>
      <c r="H47" s="37" t="s">
        <v>49</v>
      </c>
      <c r="I47" s="37" t="s">
        <v>244</v>
      </c>
      <c r="J47" s="37" t="s">
        <v>245</v>
      </c>
      <c r="K47" s="37">
        <v>132</v>
      </c>
      <c r="L47" s="37">
        <v>2932</v>
      </c>
      <c r="M47" s="37">
        <v>560.04999999999995</v>
      </c>
      <c r="N47" s="37" t="s">
        <v>44</v>
      </c>
      <c r="O47" s="37">
        <v>146</v>
      </c>
      <c r="P47" s="37">
        <v>56</v>
      </c>
      <c r="Q47" s="46">
        <f t="shared" si="2"/>
        <v>38.356164383561598</v>
      </c>
      <c r="R47" s="37" t="s">
        <v>28</v>
      </c>
      <c r="S47" s="49" t="str">
        <f t="shared" si="0"/>
        <v>2024-12</v>
      </c>
      <c r="T47" s="37">
        <v>0</v>
      </c>
    </row>
    <row r="48" spans="1:20">
      <c r="A48" s="33" t="s">
        <v>246</v>
      </c>
      <c r="B48" s="45">
        <v>45232</v>
      </c>
      <c r="C48" s="33" t="s">
        <v>31</v>
      </c>
      <c r="D48" s="33" t="s">
        <v>40</v>
      </c>
      <c r="E48" s="33" t="s">
        <v>41</v>
      </c>
      <c r="F48" s="33" t="s">
        <v>156</v>
      </c>
      <c r="G48" s="33" t="str">
        <f t="shared" si="1"/>
        <v>Charlotte → Phoenix</v>
      </c>
      <c r="H48" s="33" t="s">
        <v>157</v>
      </c>
      <c r="I48" s="33" t="s">
        <v>248</v>
      </c>
      <c r="J48" s="33" t="s">
        <v>249</v>
      </c>
      <c r="K48" s="33">
        <v>232</v>
      </c>
      <c r="L48" s="33">
        <v>2026</v>
      </c>
      <c r="M48" s="33">
        <v>362.54</v>
      </c>
      <c r="N48" s="33" t="s">
        <v>60</v>
      </c>
      <c r="O48" s="33">
        <v>220</v>
      </c>
      <c r="P48" s="33">
        <v>54</v>
      </c>
      <c r="Q48" s="46">
        <f t="shared" si="2"/>
        <v>24.545454545454501</v>
      </c>
      <c r="R48" s="33" t="s">
        <v>70</v>
      </c>
      <c r="S48" s="47" t="str">
        <f t="shared" si="0"/>
        <v>2023-11</v>
      </c>
      <c r="T48" s="33">
        <v>28</v>
      </c>
    </row>
    <row r="49" spans="1:20" ht="25.5">
      <c r="A49" s="37" t="s">
        <v>250</v>
      </c>
      <c r="B49" s="48">
        <v>45278</v>
      </c>
      <c r="C49" s="33" t="s">
        <v>31</v>
      </c>
      <c r="D49" s="37" t="s">
        <v>54</v>
      </c>
      <c r="E49" s="37" t="s">
        <v>55</v>
      </c>
      <c r="F49" s="37" t="s">
        <v>56</v>
      </c>
      <c r="G49" s="33" t="str">
        <f t="shared" si="1"/>
        <v>Chicago → Los Angeles</v>
      </c>
      <c r="H49" s="37" t="s">
        <v>57</v>
      </c>
      <c r="I49" s="37" t="s">
        <v>252</v>
      </c>
      <c r="J49" s="37" t="s">
        <v>253</v>
      </c>
      <c r="K49" s="37">
        <v>192</v>
      </c>
      <c r="L49" s="37">
        <v>383</v>
      </c>
      <c r="M49" s="37">
        <v>775.9</v>
      </c>
      <c r="N49" t="s">
        <v>1463</v>
      </c>
      <c r="O49" s="37">
        <v>132</v>
      </c>
      <c r="P49" s="37">
        <v>137</v>
      </c>
      <c r="Q49" s="46">
        <f t="shared" si="2"/>
        <v>103.787878787879</v>
      </c>
      <c r="R49" s="37" t="s">
        <v>70</v>
      </c>
      <c r="S49" s="49" t="str">
        <f t="shared" si="0"/>
        <v>2023-12</v>
      </c>
      <c r="T49" s="37">
        <v>159</v>
      </c>
    </row>
    <row r="50" spans="1:20">
      <c r="A50" s="33" t="s">
        <v>254</v>
      </c>
      <c r="B50" s="45">
        <v>45008</v>
      </c>
      <c r="C50" s="33" t="s">
        <v>115</v>
      </c>
      <c r="D50" s="33" t="s">
        <v>21</v>
      </c>
      <c r="E50" s="33" t="s">
        <v>22</v>
      </c>
      <c r="F50" s="33" t="s">
        <v>66</v>
      </c>
      <c r="G50" s="33" t="str">
        <f t="shared" si="1"/>
        <v>Boston → Minneapolis</v>
      </c>
      <c r="H50" s="33" t="s">
        <v>67</v>
      </c>
      <c r="I50" s="33" t="s">
        <v>103</v>
      </c>
      <c r="J50" s="33" t="s">
        <v>256</v>
      </c>
      <c r="K50" s="33">
        <v>173</v>
      </c>
      <c r="L50" s="33">
        <v>1574</v>
      </c>
      <c r="M50" s="33">
        <v>201.07</v>
      </c>
      <c r="N50" s="33" t="s">
        <v>60</v>
      </c>
      <c r="O50" s="33">
        <v>337</v>
      </c>
      <c r="P50" s="33">
        <v>209</v>
      </c>
      <c r="Q50" s="46">
        <f t="shared" si="2"/>
        <v>62.017804154302702</v>
      </c>
      <c r="R50" s="33" t="s">
        <v>28</v>
      </c>
      <c r="S50" s="47" t="str">
        <f t="shared" si="0"/>
        <v>2023-03</v>
      </c>
      <c r="T50" s="33">
        <v>0</v>
      </c>
    </row>
    <row r="51" spans="1:20">
      <c r="A51" s="37" t="s">
        <v>257</v>
      </c>
      <c r="B51" s="48">
        <v>45330</v>
      </c>
      <c r="C51" s="33" t="s">
        <v>73</v>
      </c>
      <c r="D51" s="37" t="s">
        <v>183</v>
      </c>
      <c r="E51" s="37" t="s">
        <v>184</v>
      </c>
      <c r="F51" s="37" t="s">
        <v>54</v>
      </c>
      <c r="G51" s="33" t="str">
        <f t="shared" si="1"/>
        <v>Seattle → Chicago</v>
      </c>
      <c r="H51" s="37" t="s">
        <v>55</v>
      </c>
      <c r="I51" s="37" t="s">
        <v>259</v>
      </c>
      <c r="J51" s="37" t="s">
        <v>260</v>
      </c>
      <c r="K51" s="37">
        <v>142</v>
      </c>
      <c r="L51" s="37">
        <v>1535</v>
      </c>
      <c r="M51" s="37">
        <v>1032.33</v>
      </c>
      <c r="N51" s="37" t="s">
        <v>27</v>
      </c>
      <c r="O51" s="37">
        <v>306</v>
      </c>
      <c r="P51" s="37">
        <v>111</v>
      </c>
      <c r="Q51" s="46">
        <f t="shared" si="2"/>
        <v>36.274509803921603</v>
      </c>
      <c r="R51" s="37" t="s">
        <v>70</v>
      </c>
      <c r="S51" s="49" t="str">
        <f t="shared" si="0"/>
        <v>2024-02</v>
      </c>
      <c r="T51" s="37">
        <v>159</v>
      </c>
    </row>
    <row r="52" spans="1:20">
      <c r="A52" s="33" t="s">
        <v>261</v>
      </c>
      <c r="B52" s="45">
        <v>44646</v>
      </c>
      <c r="C52" s="33" t="s">
        <v>47</v>
      </c>
      <c r="D52" s="33" t="s">
        <v>32</v>
      </c>
      <c r="E52" s="33" t="s">
        <v>33</v>
      </c>
      <c r="F52" s="33" t="s">
        <v>129</v>
      </c>
      <c r="G52" s="33" t="str">
        <f t="shared" si="1"/>
        <v>Orlando → Detroit</v>
      </c>
      <c r="H52" s="33" t="s">
        <v>130</v>
      </c>
      <c r="I52" s="33" t="s">
        <v>216</v>
      </c>
      <c r="J52" s="33" t="s">
        <v>263</v>
      </c>
      <c r="K52" s="33">
        <v>125</v>
      </c>
      <c r="L52" s="33">
        <v>2372</v>
      </c>
      <c r="M52" s="33">
        <v>805.25</v>
      </c>
      <c r="N52" s="33" t="s">
        <v>60</v>
      </c>
      <c r="O52" s="33">
        <v>317</v>
      </c>
      <c r="P52" s="33">
        <v>265</v>
      </c>
      <c r="Q52" s="46">
        <f t="shared" si="2"/>
        <v>83.596214511040998</v>
      </c>
      <c r="R52" s="33" t="s">
        <v>70</v>
      </c>
      <c r="S52" s="47" t="str">
        <f t="shared" si="0"/>
        <v>2022-03</v>
      </c>
      <c r="T52" s="33">
        <v>42</v>
      </c>
    </row>
    <row r="53" spans="1:20">
      <c r="A53" s="37" t="s">
        <v>264</v>
      </c>
      <c r="B53" s="48">
        <v>45449</v>
      </c>
      <c r="C53" s="33" t="s">
        <v>47</v>
      </c>
      <c r="D53" s="37" t="s">
        <v>40</v>
      </c>
      <c r="E53" s="37" t="s">
        <v>41</v>
      </c>
      <c r="F53" s="37" t="s">
        <v>101</v>
      </c>
      <c r="G53" s="33" t="str">
        <f t="shared" si="1"/>
        <v>Charlotte → Dallas</v>
      </c>
      <c r="H53" s="37" t="s">
        <v>102</v>
      </c>
      <c r="I53" s="37" t="s">
        <v>125</v>
      </c>
      <c r="J53" s="37" t="s">
        <v>266</v>
      </c>
      <c r="K53" s="37">
        <v>465</v>
      </c>
      <c r="L53" s="37">
        <v>2437</v>
      </c>
      <c r="M53" s="37">
        <v>1161.33</v>
      </c>
      <c r="N53" s="37" t="s">
        <v>44</v>
      </c>
      <c r="O53" s="37">
        <v>257</v>
      </c>
      <c r="P53" s="37">
        <v>256</v>
      </c>
      <c r="Q53" s="46">
        <f t="shared" si="2"/>
        <v>99.6108949416342</v>
      </c>
      <c r="R53" s="37" t="s">
        <v>70</v>
      </c>
      <c r="S53" s="49" t="str">
        <f t="shared" si="0"/>
        <v>2024-06</v>
      </c>
      <c r="T53" s="37">
        <v>138</v>
      </c>
    </row>
    <row r="54" spans="1:20">
      <c r="A54" s="33" t="s">
        <v>267</v>
      </c>
      <c r="B54" s="45">
        <v>45514</v>
      </c>
      <c r="C54" s="33" t="s">
        <v>73</v>
      </c>
      <c r="D54" s="33" t="s">
        <v>54</v>
      </c>
      <c r="E54" s="33" t="s">
        <v>74</v>
      </c>
      <c r="F54" s="33" t="s">
        <v>21</v>
      </c>
      <c r="G54" s="33" t="str">
        <f t="shared" si="1"/>
        <v>Chicago → Boston</v>
      </c>
      <c r="H54" s="33" t="s">
        <v>22</v>
      </c>
      <c r="I54" s="33" t="s">
        <v>269</v>
      </c>
      <c r="J54" s="33" t="s">
        <v>270</v>
      </c>
      <c r="K54" s="33">
        <v>134</v>
      </c>
      <c r="L54" s="33">
        <v>1442</v>
      </c>
      <c r="M54" s="33">
        <v>1067.43</v>
      </c>
      <c r="N54" s="33" t="s">
        <v>60</v>
      </c>
      <c r="O54" s="33">
        <v>292</v>
      </c>
      <c r="P54" s="33">
        <v>168</v>
      </c>
      <c r="Q54" s="46">
        <f t="shared" si="2"/>
        <v>57.5342465753425</v>
      </c>
      <c r="R54" s="33" t="s">
        <v>28</v>
      </c>
      <c r="S54" s="47" t="str">
        <f t="shared" si="0"/>
        <v>2024-08</v>
      </c>
      <c r="T54" s="33">
        <v>0</v>
      </c>
    </row>
    <row r="55" spans="1:20">
      <c r="A55" s="37" t="s">
        <v>271</v>
      </c>
      <c r="B55" s="48">
        <v>45338</v>
      </c>
      <c r="C55" s="33" t="s">
        <v>47</v>
      </c>
      <c r="D55" s="37" t="s">
        <v>174</v>
      </c>
      <c r="E55" s="37" t="s">
        <v>175</v>
      </c>
      <c r="F55" s="37" t="s">
        <v>116</v>
      </c>
      <c r="G55" s="33" t="str">
        <f t="shared" si="1"/>
        <v>New York → Houston</v>
      </c>
      <c r="H55" s="37" t="s">
        <v>117</v>
      </c>
      <c r="I55" s="37" t="s">
        <v>269</v>
      </c>
      <c r="J55" s="37" t="s">
        <v>272</v>
      </c>
      <c r="K55" s="37">
        <v>339</v>
      </c>
      <c r="L55" s="37">
        <v>1168</v>
      </c>
      <c r="M55" s="37">
        <v>477.4</v>
      </c>
      <c r="N55" s="37" t="s">
        <v>44</v>
      </c>
      <c r="O55" s="37">
        <v>187</v>
      </c>
      <c r="P55" s="37">
        <v>121</v>
      </c>
      <c r="Q55" s="46">
        <f t="shared" si="2"/>
        <v>64.705882352941202</v>
      </c>
      <c r="R55" s="37" t="s">
        <v>70</v>
      </c>
      <c r="S55" s="49" t="str">
        <f t="shared" si="0"/>
        <v>2024-02</v>
      </c>
      <c r="T55" s="37">
        <v>85</v>
      </c>
    </row>
    <row r="56" spans="1:20">
      <c r="A56" s="33" t="s">
        <v>273</v>
      </c>
      <c r="B56" s="45">
        <v>44582</v>
      </c>
      <c r="C56" s="33" t="s">
        <v>31</v>
      </c>
      <c r="D56" s="33" t="s">
        <v>54</v>
      </c>
      <c r="E56" s="33" t="s">
        <v>55</v>
      </c>
      <c r="F56" s="33" t="s">
        <v>21</v>
      </c>
      <c r="G56" s="33" t="str">
        <f t="shared" si="1"/>
        <v>Chicago → Boston</v>
      </c>
      <c r="H56" s="33" t="s">
        <v>22</v>
      </c>
      <c r="I56" s="33" t="s">
        <v>275</v>
      </c>
      <c r="J56" s="33" t="s">
        <v>276</v>
      </c>
      <c r="K56" s="33">
        <v>340</v>
      </c>
      <c r="L56" s="33">
        <v>2574</v>
      </c>
      <c r="M56" s="33">
        <v>929.14</v>
      </c>
      <c r="N56" s="33" t="s">
        <v>27</v>
      </c>
      <c r="O56" s="33">
        <v>221</v>
      </c>
      <c r="P56" s="33">
        <v>215</v>
      </c>
      <c r="Q56" s="46">
        <f t="shared" si="2"/>
        <v>97.285067873303205</v>
      </c>
      <c r="R56" s="33" t="s">
        <v>70</v>
      </c>
      <c r="S56" s="47" t="str">
        <f t="shared" si="0"/>
        <v>2022-01</v>
      </c>
      <c r="T56" s="33">
        <v>129</v>
      </c>
    </row>
    <row r="57" spans="1:20">
      <c r="A57" s="37" t="s">
        <v>277</v>
      </c>
      <c r="B57" s="48">
        <v>44597</v>
      </c>
      <c r="C57" s="33" t="s">
        <v>94</v>
      </c>
      <c r="D57" s="37" t="s">
        <v>95</v>
      </c>
      <c r="E57" s="37" t="s">
        <v>96</v>
      </c>
      <c r="F57" s="37" t="s">
        <v>23</v>
      </c>
      <c r="G57" s="33" t="str">
        <f t="shared" si="1"/>
        <v>Las Vegas → Denver</v>
      </c>
      <c r="H57" s="37" t="s">
        <v>24</v>
      </c>
      <c r="I57" s="37" t="s">
        <v>279</v>
      </c>
      <c r="J57" s="37" t="s">
        <v>280</v>
      </c>
      <c r="K57" s="37">
        <v>246</v>
      </c>
      <c r="L57" s="37">
        <v>2682</v>
      </c>
      <c r="M57" s="37">
        <v>493.3</v>
      </c>
      <c r="N57" s="37" t="s">
        <v>27</v>
      </c>
      <c r="O57" s="37">
        <v>235</v>
      </c>
      <c r="P57" s="37">
        <v>138</v>
      </c>
      <c r="Q57" s="46">
        <f t="shared" si="2"/>
        <v>58.723404255319103</v>
      </c>
      <c r="R57" s="37" t="s">
        <v>28</v>
      </c>
      <c r="S57" s="49" t="str">
        <f t="shared" si="0"/>
        <v>2022-02</v>
      </c>
      <c r="T57" s="37">
        <v>0</v>
      </c>
    </row>
    <row r="58" spans="1:20">
      <c r="A58" s="33" t="s">
        <v>281</v>
      </c>
      <c r="B58" s="45">
        <v>45239</v>
      </c>
      <c r="C58" s="33" t="s">
        <v>47</v>
      </c>
      <c r="D58" s="33" t="s">
        <v>40</v>
      </c>
      <c r="E58" s="33" t="s">
        <v>41</v>
      </c>
      <c r="F58" s="33" t="s">
        <v>21</v>
      </c>
      <c r="G58" s="33" t="str">
        <f t="shared" si="1"/>
        <v>Charlotte → Boston</v>
      </c>
      <c r="H58" s="33" t="s">
        <v>22</v>
      </c>
      <c r="I58" s="33" t="s">
        <v>283</v>
      </c>
      <c r="J58" s="33" t="s">
        <v>284</v>
      </c>
      <c r="K58" s="33">
        <v>208</v>
      </c>
      <c r="L58" s="33">
        <v>794</v>
      </c>
      <c r="M58" s="33">
        <v>887.84</v>
      </c>
      <c r="N58" t="s">
        <v>1463</v>
      </c>
      <c r="O58" s="33">
        <v>130</v>
      </c>
      <c r="P58" s="33">
        <v>118</v>
      </c>
      <c r="Q58" s="46">
        <f t="shared" si="2"/>
        <v>90.769230769230802</v>
      </c>
      <c r="R58" s="33" t="s">
        <v>149</v>
      </c>
      <c r="S58" s="47" t="str">
        <f t="shared" si="0"/>
        <v>2023-11</v>
      </c>
      <c r="T58" s="33">
        <v>0</v>
      </c>
    </row>
    <row r="59" spans="1:20">
      <c r="A59" s="37" t="s">
        <v>285</v>
      </c>
      <c r="B59" s="48">
        <v>44941</v>
      </c>
      <c r="C59" s="33" t="s">
        <v>31</v>
      </c>
      <c r="D59" s="37" t="s">
        <v>183</v>
      </c>
      <c r="E59" s="37" t="s">
        <v>184</v>
      </c>
      <c r="F59" s="37" t="s">
        <v>116</v>
      </c>
      <c r="G59" s="33" t="str">
        <f t="shared" si="1"/>
        <v>Seattle → Houston</v>
      </c>
      <c r="H59" s="37" t="s">
        <v>117</v>
      </c>
      <c r="I59" s="37" t="s">
        <v>287</v>
      </c>
      <c r="J59" s="37" t="s">
        <v>288</v>
      </c>
      <c r="K59" s="37">
        <v>141</v>
      </c>
      <c r="L59" s="37">
        <v>1095</v>
      </c>
      <c r="M59" s="37">
        <v>411.8</v>
      </c>
      <c r="N59" s="37" t="s">
        <v>44</v>
      </c>
      <c r="O59" s="37">
        <v>145</v>
      </c>
      <c r="P59" s="37">
        <v>88</v>
      </c>
      <c r="Q59" s="46">
        <f t="shared" si="2"/>
        <v>60.689655172413801</v>
      </c>
      <c r="R59" s="37" t="s">
        <v>28</v>
      </c>
      <c r="S59" s="49" t="str">
        <f t="shared" si="0"/>
        <v>2023-01</v>
      </c>
      <c r="T59" s="37">
        <v>0</v>
      </c>
    </row>
    <row r="60" spans="1:20" ht="25.5">
      <c r="A60" s="33" t="s">
        <v>289</v>
      </c>
      <c r="B60" s="45">
        <v>45655</v>
      </c>
      <c r="C60" s="33" t="s">
        <v>63</v>
      </c>
      <c r="D60" s="33" t="s">
        <v>21</v>
      </c>
      <c r="E60" s="33" t="s">
        <v>22</v>
      </c>
      <c r="F60" s="33" t="s">
        <v>56</v>
      </c>
      <c r="G60" s="33" t="str">
        <f t="shared" si="1"/>
        <v>Boston → Los Angeles</v>
      </c>
      <c r="H60" s="33" t="s">
        <v>57</v>
      </c>
      <c r="I60" s="33" t="s">
        <v>179</v>
      </c>
      <c r="J60" s="33" t="s">
        <v>290</v>
      </c>
      <c r="K60" s="33">
        <v>447</v>
      </c>
      <c r="L60" s="33">
        <v>817</v>
      </c>
      <c r="M60" s="33">
        <v>794.41</v>
      </c>
      <c r="N60" s="33" t="s">
        <v>44</v>
      </c>
      <c r="O60" s="33">
        <v>126</v>
      </c>
      <c r="P60" s="33">
        <v>51</v>
      </c>
      <c r="Q60" s="46">
        <f t="shared" si="2"/>
        <v>40.476190476190503</v>
      </c>
      <c r="R60" s="33" t="s">
        <v>28</v>
      </c>
      <c r="S60" s="47" t="str">
        <f t="shared" si="0"/>
        <v>2024-12</v>
      </c>
      <c r="T60" s="33">
        <v>0</v>
      </c>
    </row>
    <row r="61" spans="1:20">
      <c r="A61" s="37" t="s">
        <v>291</v>
      </c>
      <c r="B61" s="48">
        <v>45523</v>
      </c>
      <c r="C61" s="33" t="s">
        <v>115</v>
      </c>
      <c r="D61" s="37" t="s">
        <v>40</v>
      </c>
      <c r="E61" s="37" t="s">
        <v>41</v>
      </c>
      <c r="F61" s="37" t="s">
        <v>156</v>
      </c>
      <c r="G61" s="33" t="str">
        <f t="shared" si="1"/>
        <v>Charlotte → Phoenix</v>
      </c>
      <c r="H61" s="37" t="s">
        <v>157</v>
      </c>
      <c r="I61" s="37" t="s">
        <v>103</v>
      </c>
      <c r="J61" s="37" t="s">
        <v>293</v>
      </c>
      <c r="K61" s="37">
        <v>219</v>
      </c>
      <c r="L61" s="37">
        <v>2256</v>
      </c>
      <c r="M61" s="37">
        <v>207.78</v>
      </c>
      <c r="N61" s="37" t="s">
        <v>60</v>
      </c>
      <c r="O61" s="37">
        <v>202</v>
      </c>
      <c r="P61" s="37">
        <v>175</v>
      </c>
      <c r="Q61" s="46">
        <f t="shared" si="2"/>
        <v>86.633663366336606</v>
      </c>
      <c r="R61" s="37" t="s">
        <v>28</v>
      </c>
      <c r="S61" s="49" t="str">
        <f t="shared" si="0"/>
        <v>2024-08</v>
      </c>
      <c r="T61" s="37">
        <v>0</v>
      </c>
    </row>
    <row r="62" spans="1:20">
      <c r="A62" s="33" t="s">
        <v>294</v>
      </c>
      <c r="B62" s="45">
        <v>44671</v>
      </c>
      <c r="C62" s="33" t="s">
        <v>63</v>
      </c>
      <c r="D62" s="33" t="s">
        <v>101</v>
      </c>
      <c r="E62" s="33" t="s">
        <v>102</v>
      </c>
      <c r="F62" s="33" t="s">
        <v>48</v>
      </c>
      <c r="G62" s="33" t="str">
        <f t="shared" si="1"/>
        <v>Dallas → San Diego</v>
      </c>
      <c r="H62" s="33" t="s">
        <v>49</v>
      </c>
      <c r="I62" s="33" t="s">
        <v>296</v>
      </c>
      <c r="J62" s="33" t="s">
        <v>297</v>
      </c>
      <c r="K62" s="33">
        <v>217</v>
      </c>
      <c r="L62" s="33">
        <v>785</v>
      </c>
      <c r="M62" s="33">
        <v>705.04</v>
      </c>
      <c r="N62" s="33" t="s">
        <v>44</v>
      </c>
      <c r="O62" s="33">
        <v>255</v>
      </c>
      <c r="P62" s="33">
        <v>202</v>
      </c>
      <c r="Q62" s="46">
        <f t="shared" si="2"/>
        <v>79.215686274509807</v>
      </c>
      <c r="R62" s="33" t="s">
        <v>70</v>
      </c>
      <c r="S62" s="47" t="str">
        <f t="shared" si="0"/>
        <v>2022-04</v>
      </c>
      <c r="T62" s="33">
        <v>72</v>
      </c>
    </row>
    <row r="63" spans="1:20">
      <c r="A63" s="37" t="s">
        <v>298</v>
      </c>
      <c r="B63" s="48">
        <v>45632</v>
      </c>
      <c r="C63" s="33" t="s">
        <v>73</v>
      </c>
      <c r="D63" s="37" t="s">
        <v>40</v>
      </c>
      <c r="E63" s="37" t="s">
        <v>41</v>
      </c>
      <c r="F63" s="37" t="s">
        <v>79</v>
      </c>
      <c r="G63" s="33" t="str">
        <f t="shared" si="1"/>
        <v>Charlotte → Newark</v>
      </c>
      <c r="H63" s="37" t="s">
        <v>80</v>
      </c>
      <c r="I63" s="37" t="s">
        <v>210</v>
      </c>
      <c r="J63" s="37" t="s">
        <v>300</v>
      </c>
      <c r="K63" s="37">
        <v>246</v>
      </c>
      <c r="L63" s="37">
        <v>2629</v>
      </c>
      <c r="M63" s="37">
        <v>775.55</v>
      </c>
      <c r="N63" s="37" t="s">
        <v>27</v>
      </c>
      <c r="O63" s="37">
        <v>345</v>
      </c>
      <c r="P63" s="37">
        <v>100</v>
      </c>
      <c r="Q63" s="46">
        <f t="shared" si="2"/>
        <v>28.985507246376802</v>
      </c>
      <c r="R63" s="37" t="s">
        <v>149</v>
      </c>
      <c r="S63" s="49" t="str">
        <f t="shared" si="0"/>
        <v>2024-12</v>
      </c>
      <c r="T63" s="37">
        <v>0</v>
      </c>
    </row>
    <row r="64" spans="1:20">
      <c r="A64" s="33" t="s">
        <v>301</v>
      </c>
      <c r="B64" s="45">
        <v>44987</v>
      </c>
      <c r="C64" s="33" t="s">
        <v>31</v>
      </c>
      <c r="D64" s="33" t="s">
        <v>21</v>
      </c>
      <c r="E64" s="33" t="s">
        <v>22</v>
      </c>
      <c r="F64" s="33" t="s">
        <v>54</v>
      </c>
      <c r="G64" s="33" t="str">
        <f t="shared" si="1"/>
        <v>Boston → Chicago</v>
      </c>
      <c r="H64" s="33" t="s">
        <v>55</v>
      </c>
      <c r="I64" s="33" t="s">
        <v>303</v>
      </c>
      <c r="J64" s="33" t="s">
        <v>304</v>
      </c>
      <c r="K64" s="33">
        <v>178</v>
      </c>
      <c r="L64" s="33">
        <v>2560</v>
      </c>
      <c r="M64" s="33">
        <v>164.07</v>
      </c>
      <c r="N64" s="33" t="s">
        <v>60</v>
      </c>
      <c r="O64" s="33">
        <v>204</v>
      </c>
      <c r="P64" s="33">
        <v>165</v>
      </c>
      <c r="Q64" s="46">
        <f t="shared" si="2"/>
        <v>80.882352941176507</v>
      </c>
      <c r="R64" s="33" t="s">
        <v>70</v>
      </c>
      <c r="S64" s="47" t="str">
        <f t="shared" si="0"/>
        <v>2023-03</v>
      </c>
      <c r="T64" s="33">
        <v>135</v>
      </c>
    </row>
    <row r="65" spans="1:20">
      <c r="A65" s="37" t="s">
        <v>305</v>
      </c>
      <c r="B65" s="48">
        <v>45158</v>
      </c>
      <c r="C65" s="33" t="s">
        <v>20</v>
      </c>
      <c r="D65" s="37" t="s">
        <v>23</v>
      </c>
      <c r="E65" s="37" t="s">
        <v>24</v>
      </c>
      <c r="F65" s="37" t="s">
        <v>156</v>
      </c>
      <c r="G65" s="33" t="str">
        <f t="shared" si="1"/>
        <v>Denver → Phoenix</v>
      </c>
      <c r="H65" s="37" t="s">
        <v>157</v>
      </c>
      <c r="I65" s="37" t="s">
        <v>307</v>
      </c>
      <c r="J65" s="37" t="s">
        <v>308</v>
      </c>
      <c r="K65" s="37">
        <v>449</v>
      </c>
      <c r="L65" s="37">
        <v>2159</v>
      </c>
      <c r="M65" s="37">
        <v>159.72</v>
      </c>
      <c r="N65" s="37" t="s">
        <v>60</v>
      </c>
      <c r="O65" s="37">
        <v>336</v>
      </c>
      <c r="P65" s="37">
        <v>185</v>
      </c>
      <c r="Q65" s="46">
        <f t="shared" si="2"/>
        <v>55.059523809523803</v>
      </c>
      <c r="R65" s="37" t="s">
        <v>70</v>
      </c>
      <c r="S65" s="49" t="str">
        <f t="shared" si="0"/>
        <v>2023-08</v>
      </c>
      <c r="T65" s="37">
        <v>175</v>
      </c>
    </row>
    <row r="66" spans="1:20">
      <c r="A66" s="33" t="s">
        <v>309</v>
      </c>
      <c r="B66" s="45">
        <v>44967</v>
      </c>
      <c r="C66" s="33" t="s">
        <v>73</v>
      </c>
      <c r="D66" s="33" t="s">
        <v>197</v>
      </c>
      <c r="E66" s="33" t="s">
        <v>198</v>
      </c>
      <c r="F66" s="33" t="s">
        <v>54</v>
      </c>
      <c r="G66" s="33" t="str">
        <f t="shared" si="1"/>
        <v>Atlanta → Chicago</v>
      </c>
      <c r="H66" s="33" t="s">
        <v>74</v>
      </c>
      <c r="I66" s="33" t="s">
        <v>25</v>
      </c>
      <c r="J66" s="33" t="s">
        <v>311</v>
      </c>
      <c r="K66" s="33">
        <v>226</v>
      </c>
      <c r="L66" s="33">
        <v>882</v>
      </c>
      <c r="M66" s="33">
        <v>159.97999999999999</v>
      </c>
      <c r="N66" s="33" t="s">
        <v>60</v>
      </c>
      <c r="O66" s="33">
        <v>302</v>
      </c>
      <c r="P66" s="33">
        <v>128</v>
      </c>
      <c r="Q66" s="46">
        <f t="shared" si="2"/>
        <v>42.384105960264897</v>
      </c>
      <c r="R66" s="33" t="s">
        <v>28</v>
      </c>
      <c r="S66" s="47" t="str">
        <f t="shared" ref="S66:S129" si="3">TEXT(B66,"YYYY-MM")</f>
        <v>2023-02</v>
      </c>
      <c r="T66" s="33">
        <v>0</v>
      </c>
    </row>
    <row r="67" spans="1:20">
      <c r="A67" s="37" t="s">
        <v>312</v>
      </c>
      <c r="B67" s="48">
        <v>45153</v>
      </c>
      <c r="C67" s="33" t="s">
        <v>115</v>
      </c>
      <c r="D67" s="37" t="s">
        <v>197</v>
      </c>
      <c r="E67" s="37" t="s">
        <v>198</v>
      </c>
      <c r="F67" s="37" t="s">
        <v>79</v>
      </c>
      <c r="G67" s="33" t="str">
        <f t="shared" ref="G67:G130" si="4">D67&amp;" → "&amp;F67</f>
        <v>Atlanta → Newark</v>
      </c>
      <c r="H67" s="37" t="s">
        <v>80</v>
      </c>
      <c r="I67" s="37" t="s">
        <v>307</v>
      </c>
      <c r="J67" s="37" t="s">
        <v>314</v>
      </c>
      <c r="K67" s="37">
        <v>448</v>
      </c>
      <c r="L67" s="37">
        <v>1948</v>
      </c>
      <c r="M67" s="37">
        <v>1135.8</v>
      </c>
      <c r="N67" s="37" t="s">
        <v>27</v>
      </c>
      <c r="O67" s="37">
        <v>238</v>
      </c>
      <c r="P67" s="37">
        <v>176</v>
      </c>
      <c r="Q67" s="46">
        <f t="shared" ref="Q67:Q130" si="5">P67/O67*100</f>
        <v>73.949579831932795</v>
      </c>
      <c r="R67" s="37" t="s">
        <v>28</v>
      </c>
      <c r="S67" s="49" t="str">
        <f t="shared" si="3"/>
        <v>2023-08</v>
      </c>
      <c r="T67" s="37">
        <v>0</v>
      </c>
    </row>
    <row r="68" spans="1:20">
      <c r="A68" s="33" t="s">
        <v>315</v>
      </c>
      <c r="B68" s="45">
        <v>44643</v>
      </c>
      <c r="C68" s="33" t="s">
        <v>73</v>
      </c>
      <c r="D68" s="33" t="s">
        <v>156</v>
      </c>
      <c r="E68" s="33" t="s">
        <v>157</v>
      </c>
      <c r="F68" s="33" t="s">
        <v>21</v>
      </c>
      <c r="G68" s="33" t="str">
        <f t="shared" si="4"/>
        <v>Phoenix → Boston</v>
      </c>
      <c r="H68" s="33" t="s">
        <v>22</v>
      </c>
      <c r="I68" s="33" t="s">
        <v>317</v>
      </c>
      <c r="J68" s="33" t="s">
        <v>253</v>
      </c>
      <c r="K68" s="33">
        <v>207</v>
      </c>
      <c r="L68" s="33">
        <v>2656</v>
      </c>
      <c r="M68" s="33">
        <v>737.58</v>
      </c>
      <c r="N68" s="33" t="s">
        <v>60</v>
      </c>
      <c r="O68" s="33">
        <v>295</v>
      </c>
      <c r="P68" s="33">
        <v>222</v>
      </c>
      <c r="Q68" s="46">
        <f t="shared" si="5"/>
        <v>75.254237288135599</v>
      </c>
      <c r="R68" s="33" t="s">
        <v>70</v>
      </c>
      <c r="S68" s="47" t="str">
        <f t="shared" si="3"/>
        <v>2022-03</v>
      </c>
      <c r="T68" s="33">
        <v>0</v>
      </c>
    </row>
    <row r="69" spans="1:20">
      <c r="A69" s="37" t="s">
        <v>318</v>
      </c>
      <c r="B69" s="48">
        <v>44644</v>
      </c>
      <c r="C69" s="33" t="s">
        <v>63</v>
      </c>
      <c r="D69" s="37" t="s">
        <v>79</v>
      </c>
      <c r="E69" s="37" t="s">
        <v>80</v>
      </c>
      <c r="F69" s="37" t="s">
        <v>32</v>
      </c>
      <c r="G69" s="33" t="str">
        <f t="shared" si="4"/>
        <v>Newark → Orlando</v>
      </c>
      <c r="H69" s="37" t="s">
        <v>33</v>
      </c>
      <c r="I69" s="37" t="s">
        <v>81</v>
      </c>
      <c r="J69" s="37" t="s">
        <v>320</v>
      </c>
      <c r="K69" s="37">
        <v>232</v>
      </c>
      <c r="L69" s="37">
        <v>1043</v>
      </c>
      <c r="M69" s="37">
        <v>1196.58</v>
      </c>
      <c r="N69" s="37" t="s">
        <v>44</v>
      </c>
      <c r="O69" s="37">
        <v>262</v>
      </c>
      <c r="P69" s="37">
        <v>258</v>
      </c>
      <c r="Q69" s="46">
        <f t="shared" si="5"/>
        <v>98.473282442748101</v>
      </c>
      <c r="R69" s="37" t="s">
        <v>28</v>
      </c>
      <c r="S69" s="49" t="str">
        <f t="shared" si="3"/>
        <v>2022-03</v>
      </c>
      <c r="T69" s="37">
        <v>0</v>
      </c>
    </row>
    <row r="70" spans="1:20" ht="25.5">
      <c r="A70" s="33" t="s">
        <v>321</v>
      </c>
      <c r="B70" s="45">
        <v>44748</v>
      </c>
      <c r="C70" s="33" t="s">
        <v>115</v>
      </c>
      <c r="D70" s="33" t="s">
        <v>64</v>
      </c>
      <c r="E70" s="33" t="s">
        <v>65</v>
      </c>
      <c r="F70" s="33" t="s">
        <v>40</v>
      </c>
      <c r="G70" s="33" t="str">
        <f t="shared" si="4"/>
        <v>San Francisco → Charlotte</v>
      </c>
      <c r="H70" s="33" t="s">
        <v>41</v>
      </c>
      <c r="I70" s="33" t="s">
        <v>42</v>
      </c>
      <c r="J70" s="33" t="s">
        <v>323</v>
      </c>
      <c r="K70" s="33">
        <v>433</v>
      </c>
      <c r="L70" s="33">
        <v>728</v>
      </c>
      <c r="M70" s="33">
        <v>496.71749999999997</v>
      </c>
      <c r="N70" s="33" t="s">
        <v>44</v>
      </c>
      <c r="O70" s="33">
        <v>205</v>
      </c>
      <c r="P70" s="33">
        <v>176</v>
      </c>
      <c r="Q70" s="46">
        <f t="shared" si="5"/>
        <v>85.853658536585399</v>
      </c>
      <c r="R70" s="33" t="s">
        <v>28</v>
      </c>
      <c r="S70" s="47" t="str">
        <f t="shared" si="3"/>
        <v>2022-07</v>
      </c>
      <c r="T70" s="33">
        <v>0</v>
      </c>
    </row>
    <row r="71" spans="1:20">
      <c r="A71" s="37" t="s">
        <v>324</v>
      </c>
      <c r="B71" s="48">
        <v>45382</v>
      </c>
      <c r="C71" s="33" t="s">
        <v>20</v>
      </c>
      <c r="D71" s="37" t="s">
        <v>40</v>
      </c>
      <c r="E71" s="37" t="s">
        <v>41</v>
      </c>
      <c r="F71" s="37" t="s">
        <v>54</v>
      </c>
      <c r="G71" s="33" t="str">
        <f t="shared" si="4"/>
        <v>Charlotte → Chicago</v>
      </c>
      <c r="H71" s="37" t="s">
        <v>55</v>
      </c>
      <c r="I71" s="37" t="s">
        <v>42</v>
      </c>
      <c r="J71" s="37" t="s">
        <v>326</v>
      </c>
      <c r="K71" s="37">
        <v>255</v>
      </c>
      <c r="L71" s="37">
        <v>774</v>
      </c>
      <c r="M71" s="37">
        <v>1166.6099999999999</v>
      </c>
      <c r="N71" s="37" t="s">
        <v>44</v>
      </c>
      <c r="O71" s="37">
        <v>321</v>
      </c>
      <c r="P71" s="37">
        <v>313</v>
      </c>
      <c r="Q71" s="46">
        <f t="shared" si="5"/>
        <v>97.507788161993801</v>
      </c>
      <c r="R71" s="37" t="s">
        <v>70</v>
      </c>
      <c r="S71" s="49" t="str">
        <f t="shared" si="3"/>
        <v>2024-03</v>
      </c>
      <c r="T71" s="37">
        <v>15</v>
      </c>
    </row>
    <row r="72" spans="1:20" ht="25.5">
      <c r="A72" s="33" t="s">
        <v>327</v>
      </c>
      <c r="B72" s="45">
        <v>45508</v>
      </c>
      <c r="C72" s="33" t="s">
        <v>73</v>
      </c>
      <c r="D72" s="33" t="s">
        <v>56</v>
      </c>
      <c r="E72" s="33" t="s">
        <v>57</v>
      </c>
      <c r="F72" s="33" t="s">
        <v>23</v>
      </c>
      <c r="G72" s="33" t="str">
        <f t="shared" si="4"/>
        <v>Los Angeles → Denver</v>
      </c>
      <c r="H72" s="33" t="s">
        <v>24</v>
      </c>
      <c r="I72" s="33" t="s">
        <v>90</v>
      </c>
      <c r="J72" s="33" t="s">
        <v>328</v>
      </c>
      <c r="K72" s="33">
        <v>408</v>
      </c>
      <c r="L72" s="33">
        <v>2341</v>
      </c>
      <c r="M72" s="33">
        <v>780.46</v>
      </c>
      <c r="N72" s="33" t="s">
        <v>60</v>
      </c>
      <c r="O72" s="33">
        <v>152</v>
      </c>
      <c r="P72" s="33">
        <v>84</v>
      </c>
      <c r="Q72" s="46">
        <f t="shared" si="5"/>
        <v>55.2631578947368</v>
      </c>
      <c r="R72" s="33" t="s">
        <v>28</v>
      </c>
      <c r="S72" s="47" t="str">
        <f t="shared" si="3"/>
        <v>2024-08</v>
      </c>
      <c r="T72" s="33">
        <v>0</v>
      </c>
    </row>
    <row r="73" spans="1:20">
      <c r="A73" s="37" t="s">
        <v>329</v>
      </c>
      <c r="B73" s="48">
        <v>45151</v>
      </c>
      <c r="C73" s="33" t="s">
        <v>115</v>
      </c>
      <c r="D73" s="37" t="s">
        <v>79</v>
      </c>
      <c r="E73" s="37" t="s">
        <v>80</v>
      </c>
      <c r="F73" s="37" t="s">
        <v>197</v>
      </c>
      <c r="G73" s="33" t="str">
        <f t="shared" si="4"/>
        <v>Newark → Atlanta</v>
      </c>
      <c r="H73" s="37" t="s">
        <v>198</v>
      </c>
      <c r="I73" s="37" t="s">
        <v>252</v>
      </c>
      <c r="J73" s="37" t="s">
        <v>331</v>
      </c>
      <c r="K73" s="37">
        <v>453</v>
      </c>
      <c r="L73" s="37">
        <v>948</v>
      </c>
      <c r="M73" s="37">
        <v>428.04</v>
      </c>
      <c r="N73" s="37" t="s">
        <v>60</v>
      </c>
      <c r="O73" s="37">
        <v>241</v>
      </c>
      <c r="P73" s="37">
        <v>154</v>
      </c>
      <c r="Q73" s="46">
        <f t="shared" si="5"/>
        <v>63.900414937759301</v>
      </c>
      <c r="R73" s="37" t="s">
        <v>28</v>
      </c>
      <c r="S73" s="49" t="str">
        <f t="shared" si="3"/>
        <v>2023-08</v>
      </c>
      <c r="T73" s="37">
        <v>0</v>
      </c>
    </row>
    <row r="74" spans="1:20">
      <c r="A74" s="33" t="s">
        <v>332</v>
      </c>
      <c r="B74" s="45">
        <v>44794</v>
      </c>
      <c r="C74" s="33" t="s">
        <v>115</v>
      </c>
      <c r="D74" s="33" t="s">
        <v>197</v>
      </c>
      <c r="E74" s="33" t="s">
        <v>198</v>
      </c>
      <c r="F74" s="33" t="s">
        <v>38</v>
      </c>
      <c r="G74" s="33" t="str">
        <f t="shared" si="4"/>
        <v>Atlanta → Miami</v>
      </c>
      <c r="H74" s="33" t="s">
        <v>39</v>
      </c>
      <c r="I74" s="33" t="s">
        <v>334</v>
      </c>
      <c r="J74" s="33" t="s">
        <v>335</v>
      </c>
      <c r="K74" s="33">
        <v>350</v>
      </c>
      <c r="L74" s="33">
        <v>1419</v>
      </c>
      <c r="M74" s="33">
        <v>545.35</v>
      </c>
      <c r="N74" s="33" t="s">
        <v>44</v>
      </c>
      <c r="O74" s="33">
        <v>350</v>
      </c>
      <c r="P74" s="33">
        <v>291</v>
      </c>
      <c r="Q74" s="46">
        <f t="shared" si="5"/>
        <v>83.142857142857096</v>
      </c>
      <c r="R74" s="33" t="s">
        <v>28</v>
      </c>
      <c r="S74" s="47" t="str">
        <f t="shared" si="3"/>
        <v>2022-08</v>
      </c>
      <c r="T74" s="33">
        <v>0</v>
      </c>
    </row>
    <row r="75" spans="1:20">
      <c r="A75" s="37" t="s">
        <v>336</v>
      </c>
      <c r="B75" s="48">
        <v>44858</v>
      </c>
      <c r="C75" s="33" t="s">
        <v>73</v>
      </c>
      <c r="D75" s="37" t="s">
        <v>183</v>
      </c>
      <c r="E75" s="37" t="s">
        <v>184</v>
      </c>
      <c r="F75" s="37" t="s">
        <v>32</v>
      </c>
      <c r="G75" s="33" t="str">
        <f t="shared" si="4"/>
        <v>Seattle → Orlando</v>
      </c>
      <c r="H75" s="37" t="s">
        <v>33</v>
      </c>
      <c r="I75" s="37" t="s">
        <v>338</v>
      </c>
      <c r="J75" s="37" t="s">
        <v>339</v>
      </c>
      <c r="K75" s="37">
        <v>125</v>
      </c>
      <c r="L75" s="37">
        <v>1431</v>
      </c>
      <c r="M75" s="37">
        <v>587.19000000000005</v>
      </c>
      <c r="N75" s="37" t="s">
        <v>44</v>
      </c>
      <c r="O75" s="37">
        <v>187</v>
      </c>
      <c r="P75" s="37">
        <v>179</v>
      </c>
      <c r="Q75" s="46">
        <f t="shared" si="5"/>
        <v>95.721925133689894</v>
      </c>
      <c r="R75" s="37" t="s">
        <v>28</v>
      </c>
      <c r="S75" s="49" t="str">
        <f t="shared" si="3"/>
        <v>2022-10</v>
      </c>
      <c r="T75" s="37">
        <v>0</v>
      </c>
    </row>
    <row r="76" spans="1:20" ht="25.5">
      <c r="A76" s="33" t="s">
        <v>340</v>
      </c>
      <c r="B76" s="45">
        <v>44567</v>
      </c>
      <c r="C76" s="33" t="s">
        <v>1462</v>
      </c>
      <c r="D76" s="33" t="s">
        <v>95</v>
      </c>
      <c r="E76" s="33" t="s">
        <v>96</v>
      </c>
      <c r="F76" s="33" t="s">
        <v>48</v>
      </c>
      <c r="G76" s="33" t="str">
        <f t="shared" si="4"/>
        <v>Las Vegas → San Diego</v>
      </c>
      <c r="H76" s="33" t="s">
        <v>49</v>
      </c>
      <c r="I76" s="33" t="s">
        <v>342</v>
      </c>
      <c r="J76" s="33" t="s">
        <v>343</v>
      </c>
      <c r="K76" s="33">
        <v>166</v>
      </c>
      <c r="L76" s="33">
        <v>2129</v>
      </c>
      <c r="M76" s="33">
        <v>683.21</v>
      </c>
      <c r="N76" s="33" t="s">
        <v>44</v>
      </c>
      <c r="O76" s="33">
        <v>185</v>
      </c>
      <c r="P76" s="33">
        <v>146</v>
      </c>
      <c r="Q76" s="46">
        <f t="shared" si="5"/>
        <v>78.918918918918905</v>
      </c>
      <c r="R76" s="33" t="s">
        <v>28</v>
      </c>
      <c r="S76" s="47" t="str">
        <f t="shared" si="3"/>
        <v>2022-01</v>
      </c>
      <c r="T76" s="33">
        <v>0</v>
      </c>
    </row>
    <row r="77" spans="1:20">
      <c r="A77" s="37" t="s">
        <v>344</v>
      </c>
      <c r="B77" s="48">
        <v>45221</v>
      </c>
      <c r="C77" s="33" t="s">
        <v>31</v>
      </c>
      <c r="D77" s="37" t="s">
        <v>23</v>
      </c>
      <c r="E77" s="37" t="s">
        <v>24</v>
      </c>
      <c r="F77" s="37" t="s">
        <v>48</v>
      </c>
      <c r="G77" s="33" t="str">
        <f t="shared" si="4"/>
        <v>Denver → San Diego</v>
      </c>
      <c r="H77" s="37" t="s">
        <v>49</v>
      </c>
      <c r="I77" s="37" t="s">
        <v>279</v>
      </c>
      <c r="J77" s="37" t="s">
        <v>202</v>
      </c>
      <c r="K77" s="37">
        <v>300</v>
      </c>
      <c r="L77" s="37">
        <v>478</v>
      </c>
      <c r="M77" s="37">
        <v>436.36</v>
      </c>
      <c r="N77" s="37" t="s">
        <v>44</v>
      </c>
      <c r="O77" s="37">
        <v>280</v>
      </c>
      <c r="P77" s="37">
        <v>257</v>
      </c>
      <c r="Q77" s="46">
        <f t="shared" si="5"/>
        <v>91.785714285714306</v>
      </c>
      <c r="R77" s="37" t="s">
        <v>28</v>
      </c>
      <c r="S77" s="49" t="str">
        <f t="shared" si="3"/>
        <v>2023-10</v>
      </c>
      <c r="T77" s="37">
        <v>0</v>
      </c>
    </row>
    <row r="78" spans="1:20">
      <c r="A78" s="33" t="s">
        <v>345</v>
      </c>
      <c r="B78" s="45">
        <v>44873</v>
      </c>
      <c r="C78" s="33" t="s">
        <v>115</v>
      </c>
      <c r="D78" s="33" t="s">
        <v>56</v>
      </c>
      <c r="E78" s="33" t="s">
        <v>57</v>
      </c>
      <c r="F78" s="33" t="s">
        <v>38</v>
      </c>
      <c r="G78" s="33" t="str">
        <f t="shared" si="4"/>
        <v>Los Angeles → Miami</v>
      </c>
      <c r="H78" s="33" t="s">
        <v>39</v>
      </c>
      <c r="I78" s="33" t="s">
        <v>90</v>
      </c>
      <c r="J78" s="33" t="s">
        <v>347</v>
      </c>
      <c r="K78" s="33">
        <v>141</v>
      </c>
      <c r="L78" s="33">
        <v>2103</v>
      </c>
      <c r="M78" s="33">
        <v>191.68</v>
      </c>
      <c r="N78" s="33" t="s">
        <v>44</v>
      </c>
      <c r="O78" s="33">
        <v>103</v>
      </c>
      <c r="P78" s="33">
        <v>142</v>
      </c>
      <c r="Q78" s="46">
        <f t="shared" si="5"/>
        <v>137.864077669903</v>
      </c>
      <c r="R78" s="33" t="s">
        <v>28</v>
      </c>
      <c r="S78" s="47" t="str">
        <f t="shared" si="3"/>
        <v>2022-11</v>
      </c>
      <c r="T78" s="33">
        <v>0</v>
      </c>
    </row>
    <row r="79" spans="1:20">
      <c r="A79" s="37" t="s">
        <v>348</v>
      </c>
      <c r="B79" s="48">
        <v>44878</v>
      </c>
      <c r="C79" s="33" t="s">
        <v>94</v>
      </c>
      <c r="D79" s="37" t="s">
        <v>79</v>
      </c>
      <c r="E79" s="37" t="s">
        <v>80</v>
      </c>
      <c r="F79" s="37" t="s">
        <v>21</v>
      </c>
      <c r="G79" s="33" t="str">
        <f t="shared" si="4"/>
        <v>Newark → Boston</v>
      </c>
      <c r="H79" s="37" t="s">
        <v>22</v>
      </c>
      <c r="I79" s="37" t="s">
        <v>248</v>
      </c>
      <c r="J79" s="37" t="s">
        <v>349</v>
      </c>
      <c r="K79" s="37">
        <v>422</v>
      </c>
      <c r="L79" s="37">
        <v>628</v>
      </c>
      <c r="M79" s="37">
        <v>1033.98</v>
      </c>
      <c r="N79" s="37" t="s">
        <v>27</v>
      </c>
      <c r="O79" s="37">
        <v>319</v>
      </c>
      <c r="P79" s="37">
        <v>244</v>
      </c>
      <c r="Q79" s="46">
        <f t="shared" si="5"/>
        <v>76.489028213166094</v>
      </c>
      <c r="R79" s="37" t="s">
        <v>149</v>
      </c>
      <c r="S79" s="49" t="str">
        <f t="shared" si="3"/>
        <v>2022-11</v>
      </c>
      <c r="T79" s="37">
        <v>0</v>
      </c>
    </row>
    <row r="80" spans="1:20">
      <c r="A80" s="33" t="s">
        <v>351</v>
      </c>
      <c r="B80" s="45">
        <v>45561</v>
      </c>
      <c r="C80" s="33" t="s">
        <v>20</v>
      </c>
      <c r="D80" s="33" t="s">
        <v>48</v>
      </c>
      <c r="E80" s="33" t="s">
        <v>49</v>
      </c>
      <c r="F80" s="33" t="s">
        <v>54</v>
      </c>
      <c r="G80" s="33" t="str">
        <f t="shared" si="4"/>
        <v>San Diego → Chicago</v>
      </c>
      <c r="H80" s="33" t="s">
        <v>55</v>
      </c>
      <c r="I80" s="33" t="s">
        <v>75</v>
      </c>
      <c r="J80" s="33" t="s">
        <v>352</v>
      </c>
      <c r="K80" s="33">
        <v>206</v>
      </c>
      <c r="L80" s="33">
        <v>670</v>
      </c>
      <c r="M80" s="33">
        <v>566.04999999999995</v>
      </c>
      <c r="N80" s="33" t="s">
        <v>60</v>
      </c>
      <c r="O80" s="33">
        <v>294</v>
      </c>
      <c r="P80" s="33">
        <v>136</v>
      </c>
      <c r="Q80" s="46">
        <f t="shared" si="5"/>
        <v>46.2585034013605</v>
      </c>
      <c r="R80" s="33" t="s">
        <v>70</v>
      </c>
      <c r="S80" s="47" t="str">
        <f t="shared" si="3"/>
        <v>2024-09</v>
      </c>
      <c r="T80" s="33">
        <v>40</v>
      </c>
    </row>
    <row r="81" spans="1:20" ht="25.5">
      <c r="A81" s="37" t="s">
        <v>353</v>
      </c>
      <c r="B81" s="48">
        <v>45470</v>
      </c>
      <c r="C81" s="33" t="s">
        <v>63</v>
      </c>
      <c r="D81" s="37" t="s">
        <v>95</v>
      </c>
      <c r="E81" s="37" t="s">
        <v>96</v>
      </c>
      <c r="F81" s="37" t="s">
        <v>174</v>
      </c>
      <c r="G81" s="33" t="str">
        <f t="shared" si="4"/>
        <v>Las Vegas → New York</v>
      </c>
      <c r="H81" s="37" t="s">
        <v>175</v>
      </c>
      <c r="I81" s="37" t="s">
        <v>179</v>
      </c>
      <c r="J81" s="37" t="s">
        <v>355</v>
      </c>
      <c r="K81" s="37">
        <v>118</v>
      </c>
      <c r="L81" s="37">
        <v>1501</v>
      </c>
      <c r="M81" s="37">
        <v>481.48</v>
      </c>
      <c r="N81" s="37" t="s">
        <v>44</v>
      </c>
      <c r="O81" s="37">
        <v>137</v>
      </c>
      <c r="P81" s="37">
        <v>81</v>
      </c>
      <c r="Q81" s="46">
        <f t="shared" si="5"/>
        <v>59.124087591240901</v>
      </c>
      <c r="R81" s="37" t="s">
        <v>28</v>
      </c>
      <c r="S81" s="49" t="str">
        <f t="shared" si="3"/>
        <v>2024-06</v>
      </c>
      <c r="T81" s="37">
        <v>0</v>
      </c>
    </row>
    <row r="82" spans="1:20">
      <c r="A82" s="33" t="s">
        <v>356</v>
      </c>
      <c r="B82" s="45">
        <v>44930</v>
      </c>
      <c r="C82" s="33" t="s">
        <v>63</v>
      </c>
      <c r="D82" s="33" t="s">
        <v>38</v>
      </c>
      <c r="E82" s="33" t="s">
        <v>39</v>
      </c>
      <c r="F82" s="33" t="s">
        <v>54</v>
      </c>
      <c r="G82" s="33" t="str">
        <f t="shared" si="4"/>
        <v>Miami → Chicago</v>
      </c>
      <c r="H82" s="33" t="s">
        <v>55</v>
      </c>
      <c r="I82" s="33" t="s">
        <v>111</v>
      </c>
      <c r="J82" s="33" t="s">
        <v>358</v>
      </c>
      <c r="K82" s="33">
        <v>407</v>
      </c>
      <c r="L82" s="33">
        <v>1286</v>
      </c>
      <c r="M82" s="33">
        <v>637.39</v>
      </c>
      <c r="N82" s="33" t="s">
        <v>27</v>
      </c>
      <c r="O82" s="33">
        <v>136</v>
      </c>
      <c r="P82" s="33">
        <v>79</v>
      </c>
      <c r="Q82" s="46">
        <f t="shared" si="5"/>
        <v>58.088235294117702</v>
      </c>
      <c r="R82" s="33" t="s">
        <v>28</v>
      </c>
      <c r="S82" s="47" t="str">
        <f t="shared" si="3"/>
        <v>2023-01</v>
      </c>
      <c r="T82" s="33">
        <v>0</v>
      </c>
    </row>
    <row r="83" spans="1:20">
      <c r="A83" s="37" t="s">
        <v>359</v>
      </c>
      <c r="B83" s="48">
        <v>45082</v>
      </c>
      <c r="C83" s="33" t="s">
        <v>115</v>
      </c>
      <c r="D83" s="37" t="s">
        <v>21</v>
      </c>
      <c r="E83" s="37" t="s">
        <v>22</v>
      </c>
      <c r="F83" s="37" t="s">
        <v>174</v>
      </c>
      <c r="G83" s="33" t="str">
        <f t="shared" si="4"/>
        <v>Boston → New York</v>
      </c>
      <c r="H83" s="37" t="s">
        <v>175</v>
      </c>
      <c r="I83" s="37" t="s">
        <v>361</v>
      </c>
      <c r="J83" s="37" t="s">
        <v>362</v>
      </c>
      <c r="K83" s="37">
        <v>436</v>
      </c>
      <c r="L83" s="37">
        <v>2538</v>
      </c>
      <c r="M83" s="37">
        <v>256.93</v>
      </c>
      <c r="N83" s="37" t="s">
        <v>44</v>
      </c>
      <c r="O83" s="37">
        <v>341</v>
      </c>
      <c r="P83" s="37">
        <v>226</v>
      </c>
      <c r="Q83" s="46">
        <f t="shared" si="5"/>
        <v>66.275659824046897</v>
      </c>
      <c r="R83" s="37" t="s">
        <v>149</v>
      </c>
      <c r="S83" s="49" t="str">
        <f t="shared" si="3"/>
        <v>2023-06</v>
      </c>
      <c r="T83" s="37">
        <v>0</v>
      </c>
    </row>
    <row r="84" spans="1:20">
      <c r="A84" s="33" t="s">
        <v>363</v>
      </c>
      <c r="B84" s="45">
        <v>45174</v>
      </c>
      <c r="C84" s="33" t="s">
        <v>73</v>
      </c>
      <c r="D84" s="33" t="s">
        <v>21</v>
      </c>
      <c r="E84" s="33" t="s">
        <v>22</v>
      </c>
      <c r="F84" s="33" t="s">
        <v>79</v>
      </c>
      <c r="G84" s="33" t="str">
        <f t="shared" si="4"/>
        <v>Boston → Newark</v>
      </c>
      <c r="H84" s="33" t="s">
        <v>80</v>
      </c>
      <c r="I84" s="33" t="s">
        <v>143</v>
      </c>
      <c r="J84" s="33" t="s">
        <v>365</v>
      </c>
      <c r="K84" s="33">
        <v>286</v>
      </c>
      <c r="L84" s="33">
        <v>2279</v>
      </c>
      <c r="M84" s="33">
        <v>199.45</v>
      </c>
      <c r="N84" t="s">
        <v>1463</v>
      </c>
      <c r="O84" s="33">
        <v>246</v>
      </c>
      <c r="P84" s="33">
        <v>141</v>
      </c>
      <c r="Q84" s="46">
        <f t="shared" si="5"/>
        <v>57.317073170731703</v>
      </c>
      <c r="R84" s="33" t="s">
        <v>28</v>
      </c>
      <c r="S84" s="47" t="str">
        <f t="shared" si="3"/>
        <v>2023-09</v>
      </c>
      <c r="T84" s="33">
        <v>0</v>
      </c>
    </row>
    <row r="85" spans="1:20">
      <c r="A85" s="37" t="s">
        <v>366</v>
      </c>
      <c r="B85" s="48">
        <v>45166</v>
      </c>
      <c r="C85" s="33" t="s">
        <v>20</v>
      </c>
      <c r="D85" s="37" t="s">
        <v>66</v>
      </c>
      <c r="E85" s="37" t="s">
        <v>67</v>
      </c>
      <c r="F85" s="37" t="s">
        <v>21</v>
      </c>
      <c r="G85" s="33" t="str">
        <f t="shared" si="4"/>
        <v>Minneapolis → Boston</v>
      </c>
      <c r="H85" s="37" t="s">
        <v>22</v>
      </c>
      <c r="I85" s="37" t="s">
        <v>317</v>
      </c>
      <c r="J85" s="37" t="s">
        <v>119</v>
      </c>
      <c r="K85" s="37">
        <v>400</v>
      </c>
      <c r="L85" s="37">
        <v>2334</v>
      </c>
      <c r="M85" s="37">
        <v>1012.78</v>
      </c>
      <c r="N85" s="37" t="s">
        <v>44</v>
      </c>
      <c r="O85" s="37">
        <v>298</v>
      </c>
      <c r="P85" s="37">
        <v>254</v>
      </c>
      <c r="Q85" s="46">
        <f t="shared" si="5"/>
        <v>85.2348993288591</v>
      </c>
      <c r="R85" s="37" t="s">
        <v>28</v>
      </c>
      <c r="S85" s="49" t="str">
        <f t="shared" si="3"/>
        <v>2023-08</v>
      </c>
      <c r="T85" s="37">
        <v>0</v>
      </c>
    </row>
    <row r="86" spans="1:20">
      <c r="A86" s="33" t="s">
        <v>368</v>
      </c>
      <c r="B86" s="45">
        <v>45283</v>
      </c>
      <c r="C86" s="33" t="s">
        <v>31</v>
      </c>
      <c r="D86" s="33" t="s">
        <v>183</v>
      </c>
      <c r="E86" s="33" t="s">
        <v>184</v>
      </c>
      <c r="F86" s="33" t="s">
        <v>95</v>
      </c>
      <c r="G86" s="33" t="str">
        <f t="shared" si="4"/>
        <v>Seattle → Las Vegas</v>
      </c>
      <c r="H86" s="33" t="s">
        <v>96</v>
      </c>
      <c r="I86" s="33" t="s">
        <v>58</v>
      </c>
      <c r="J86" s="33" t="s">
        <v>370</v>
      </c>
      <c r="K86" s="33">
        <v>411</v>
      </c>
      <c r="L86" s="33">
        <v>697</v>
      </c>
      <c r="M86" s="33">
        <v>677.70500000000004</v>
      </c>
      <c r="N86" s="33" t="s">
        <v>27</v>
      </c>
      <c r="O86" s="33">
        <v>110</v>
      </c>
      <c r="P86" s="33">
        <v>69</v>
      </c>
      <c r="Q86" s="46">
        <f t="shared" si="5"/>
        <v>62.727272727272698</v>
      </c>
      <c r="R86" s="33" t="s">
        <v>70</v>
      </c>
      <c r="S86" s="47" t="str">
        <f t="shared" si="3"/>
        <v>2023-12</v>
      </c>
      <c r="T86" s="33">
        <v>23</v>
      </c>
    </row>
    <row r="87" spans="1:20">
      <c r="A87" s="37" t="s">
        <v>371</v>
      </c>
      <c r="B87" s="48">
        <v>45309</v>
      </c>
      <c r="C87" s="33" t="s">
        <v>63</v>
      </c>
      <c r="D87" s="37" t="s">
        <v>54</v>
      </c>
      <c r="E87" s="37" t="s">
        <v>55</v>
      </c>
      <c r="F87" s="37" t="s">
        <v>156</v>
      </c>
      <c r="G87" s="33" t="str">
        <f t="shared" si="4"/>
        <v>Chicago → Phoenix</v>
      </c>
      <c r="H87" s="37" t="s">
        <v>157</v>
      </c>
      <c r="I87" s="37" t="s">
        <v>248</v>
      </c>
      <c r="J87" s="37" t="s">
        <v>372</v>
      </c>
      <c r="K87" s="37">
        <v>179</v>
      </c>
      <c r="L87" s="37">
        <v>1122</v>
      </c>
      <c r="M87" s="37">
        <v>228.02</v>
      </c>
      <c r="N87" s="37" t="s">
        <v>27</v>
      </c>
      <c r="O87" s="37">
        <v>324</v>
      </c>
      <c r="P87" s="37">
        <v>237</v>
      </c>
      <c r="Q87" s="46">
        <f t="shared" si="5"/>
        <v>73.148148148148195</v>
      </c>
      <c r="R87" s="37" t="s">
        <v>28</v>
      </c>
      <c r="S87" s="49" t="str">
        <f t="shared" si="3"/>
        <v>2024-01</v>
      </c>
      <c r="T87" s="37">
        <v>0</v>
      </c>
    </row>
    <row r="88" spans="1:20">
      <c r="A88" s="33" t="s">
        <v>373</v>
      </c>
      <c r="B88" s="45">
        <v>45120</v>
      </c>
      <c r="C88" s="33" t="s">
        <v>63</v>
      </c>
      <c r="D88" s="33" t="s">
        <v>21</v>
      </c>
      <c r="E88" s="33" t="s">
        <v>22</v>
      </c>
      <c r="F88" s="33" t="s">
        <v>116</v>
      </c>
      <c r="G88" s="33" t="str">
        <f t="shared" si="4"/>
        <v>Boston → Houston</v>
      </c>
      <c r="H88" s="33" t="s">
        <v>117</v>
      </c>
      <c r="I88" s="33" t="s">
        <v>283</v>
      </c>
      <c r="J88" s="33" t="s">
        <v>375</v>
      </c>
      <c r="K88" s="33">
        <v>148</v>
      </c>
      <c r="L88" s="33">
        <v>2218</v>
      </c>
      <c r="M88" s="33">
        <v>1158.44</v>
      </c>
      <c r="N88" s="33" t="s">
        <v>60</v>
      </c>
      <c r="O88" s="33">
        <v>293</v>
      </c>
      <c r="P88" s="33">
        <v>107</v>
      </c>
      <c r="Q88" s="46">
        <f t="shared" si="5"/>
        <v>36.518771331057998</v>
      </c>
      <c r="R88" s="33" t="s">
        <v>70</v>
      </c>
      <c r="S88" s="47" t="str">
        <f t="shared" si="3"/>
        <v>2023-07</v>
      </c>
      <c r="T88" s="33">
        <v>116</v>
      </c>
    </row>
    <row r="89" spans="1:20" ht="25.5">
      <c r="A89" s="37" t="s">
        <v>376</v>
      </c>
      <c r="B89" s="48">
        <v>45311</v>
      </c>
      <c r="C89" s="33" t="s">
        <v>94</v>
      </c>
      <c r="D89" s="37" t="s">
        <v>66</v>
      </c>
      <c r="E89" s="37" t="s">
        <v>67</v>
      </c>
      <c r="F89" s="37" t="s">
        <v>174</v>
      </c>
      <c r="G89" s="33" t="str">
        <f t="shared" si="4"/>
        <v>Minneapolis → New York</v>
      </c>
      <c r="H89" s="37" t="s">
        <v>175</v>
      </c>
      <c r="I89" s="37" t="s">
        <v>378</v>
      </c>
      <c r="J89" s="37" t="s">
        <v>379</v>
      </c>
      <c r="K89" s="37">
        <v>322</v>
      </c>
      <c r="L89" s="37">
        <v>1809</v>
      </c>
      <c r="M89" s="37">
        <v>833.57</v>
      </c>
      <c r="N89" s="37" t="s">
        <v>27</v>
      </c>
      <c r="O89" s="37">
        <v>167</v>
      </c>
      <c r="P89" s="37">
        <v>124</v>
      </c>
      <c r="Q89" s="46">
        <f t="shared" si="5"/>
        <v>74.251497005988</v>
      </c>
      <c r="R89" s="37" t="s">
        <v>28</v>
      </c>
      <c r="S89" s="49" t="str">
        <f t="shared" si="3"/>
        <v>2024-01</v>
      </c>
      <c r="T89" s="37">
        <v>0</v>
      </c>
    </row>
    <row r="90" spans="1:20">
      <c r="A90" s="33" t="s">
        <v>380</v>
      </c>
      <c r="B90" s="45">
        <v>45322</v>
      </c>
      <c r="C90" s="33" t="s">
        <v>94</v>
      </c>
      <c r="D90" s="33" t="s">
        <v>23</v>
      </c>
      <c r="E90" s="33" t="s">
        <v>24</v>
      </c>
      <c r="F90" s="33" t="s">
        <v>116</v>
      </c>
      <c r="G90" s="33" t="str">
        <f t="shared" si="4"/>
        <v>Denver → Houston</v>
      </c>
      <c r="H90" s="33" t="s">
        <v>117</v>
      </c>
      <c r="I90" s="33" t="s">
        <v>382</v>
      </c>
      <c r="J90" s="33" t="s">
        <v>383</v>
      </c>
      <c r="K90" s="33">
        <v>402</v>
      </c>
      <c r="L90" s="33">
        <v>1206</v>
      </c>
      <c r="M90" s="33">
        <v>805.37</v>
      </c>
      <c r="N90" s="33" t="s">
        <v>27</v>
      </c>
      <c r="O90" s="33">
        <v>310</v>
      </c>
      <c r="P90" s="33">
        <v>287</v>
      </c>
      <c r="Q90" s="46">
        <f t="shared" si="5"/>
        <v>92.580645161290306</v>
      </c>
      <c r="R90" s="33" t="s">
        <v>70</v>
      </c>
      <c r="S90" s="47" t="str">
        <f t="shared" si="3"/>
        <v>2024-01</v>
      </c>
      <c r="T90" s="33">
        <v>92</v>
      </c>
    </row>
    <row r="91" spans="1:20">
      <c r="A91" s="37" t="s">
        <v>384</v>
      </c>
      <c r="B91" s="48">
        <v>45398</v>
      </c>
      <c r="C91" s="33" t="s">
        <v>94</v>
      </c>
      <c r="D91" s="37" t="s">
        <v>101</v>
      </c>
      <c r="E91" s="37" t="s">
        <v>102</v>
      </c>
      <c r="F91" s="37" t="s">
        <v>56</v>
      </c>
      <c r="G91" s="33" t="str">
        <f t="shared" si="4"/>
        <v>Dallas → Los Angeles</v>
      </c>
      <c r="H91" s="37" t="s">
        <v>57</v>
      </c>
      <c r="I91" s="37" t="s">
        <v>179</v>
      </c>
      <c r="J91" s="37" t="s">
        <v>383</v>
      </c>
      <c r="K91" s="37">
        <v>342</v>
      </c>
      <c r="L91" s="37">
        <v>775</v>
      </c>
      <c r="M91" s="37">
        <v>188.86</v>
      </c>
      <c r="N91" s="37" t="s">
        <v>27</v>
      </c>
      <c r="O91" s="37">
        <v>134</v>
      </c>
      <c r="P91" s="37">
        <v>99</v>
      </c>
      <c r="Q91" s="46">
        <f t="shared" si="5"/>
        <v>73.880597014925399</v>
      </c>
      <c r="R91" s="37" t="s">
        <v>28</v>
      </c>
      <c r="S91" s="49" t="str">
        <f t="shared" si="3"/>
        <v>2024-04</v>
      </c>
      <c r="T91" s="37">
        <v>0</v>
      </c>
    </row>
    <row r="92" spans="1:20">
      <c r="A92" s="33" t="s">
        <v>386</v>
      </c>
      <c r="B92" s="45">
        <v>45420</v>
      </c>
      <c r="C92" s="33" t="s">
        <v>63</v>
      </c>
      <c r="D92" s="33" t="s">
        <v>129</v>
      </c>
      <c r="E92" s="33" t="s">
        <v>130</v>
      </c>
      <c r="F92" s="33" t="s">
        <v>197</v>
      </c>
      <c r="G92" s="33" t="str">
        <f t="shared" si="4"/>
        <v>Detroit → Atlanta</v>
      </c>
      <c r="H92" s="33" t="s">
        <v>198</v>
      </c>
      <c r="I92" s="33" t="s">
        <v>389</v>
      </c>
      <c r="J92" s="33" t="s">
        <v>390</v>
      </c>
      <c r="K92" s="33">
        <v>233</v>
      </c>
      <c r="L92" s="33">
        <v>434</v>
      </c>
      <c r="M92" s="33">
        <v>853.11</v>
      </c>
      <c r="N92" s="33" t="s">
        <v>60</v>
      </c>
      <c r="O92" s="33">
        <v>213</v>
      </c>
      <c r="P92" s="33">
        <v>136</v>
      </c>
      <c r="Q92" s="46">
        <f t="shared" si="5"/>
        <v>63.849765258216003</v>
      </c>
      <c r="R92" s="33" t="s">
        <v>149</v>
      </c>
      <c r="S92" s="47" t="str">
        <f t="shared" si="3"/>
        <v>2024-05</v>
      </c>
      <c r="T92" s="33">
        <v>0</v>
      </c>
    </row>
    <row r="93" spans="1:20" ht="25.5">
      <c r="A93" s="37" t="s">
        <v>391</v>
      </c>
      <c r="B93" s="48">
        <v>45304</v>
      </c>
      <c r="C93" s="33" t="s">
        <v>94</v>
      </c>
      <c r="D93" s="37" t="s">
        <v>64</v>
      </c>
      <c r="E93" s="37" t="s">
        <v>65</v>
      </c>
      <c r="F93" s="37" t="s">
        <v>54</v>
      </c>
      <c r="G93" s="33" t="str">
        <f t="shared" si="4"/>
        <v>San Francisco → Chicago</v>
      </c>
      <c r="H93" s="37" t="s">
        <v>74</v>
      </c>
      <c r="I93" s="37" t="s">
        <v>393</v>
      </c>
      <c r="J93" s="37" t="s">
        <v>394</v>
      </c>
      <c r="K93" s="37">
        <v>121</v>
      </c>
      <c r="L93" s="37">
        <v>1930</v>
      </c>
      <c r="M93" s="37">
        <v>388.99</v>
      </c>
      <c r="N93" s="37" t="s">
        <v>60</v>
      </c>
      <c r="O93" s="37">
        <v>342</v>
      </c>
      <c r="P93" s="37">
        <v>282</v>
      </c>
      <c r="Q93" s="46">
        <f t="shared" si="5"/>
        <v>82.456140350877206</v>
      </c>
      <c r="R93" s="37" t="s">
        <v>28</v>
      </c>
      <c r="S93" s="49" t="str">
        <f t="shared" si="3"/>
        <v>2024-01</v>
      </c>
      <c r="T93" s="37">
        <v>0</v>
      </c>
    </row>
    <row r="94" spans="1:20" ht="25.5">
      <c r="A94" s="33" t="s">
        <v>395</v>
      </c>
      <c r="B94" s="45">
        <v>44996</v>
      </c>
      <c r="C94" s="33" t="s">
        <v>20</v>
      </c>
      <c r="D94" s="33" t="s">
        <v>56</v>
      </c>
      <c r="E94" s="33" t="s">
        <v>57</v>
      </c>
      <c r="F94" s="33" t="s">
        <v>64</v>
      </c>
      <c r="G94" s="33" t="str">
        <f t="shared" si="4"/>
        <v>Los Angeles → San Francisco</v>
      </c>
      <c r="H94" s="33" t="s">
        <v>65</v>
      </c>
      <c r="I94" s="33" t="s">
        <v>25</v>
      </c>
      <c r="J94" s="33" t="s">
        <v>397</v>
      </c>
      <c r="K94" s="33">
        <v>379</v>
      </c>
      <c r="L94" s="33">
        <v>1140</v>
      </c>
      <c r="M94" s="33">
        <v>156.84</v>
      </c>
      <c r="N94" s="33" t="s">
        <v>27</v>
      </c>
      <c r="O94" s="33">
        <v>153</v>
      </c>
      <c r="P94" s="33">
        <v>125</v>
      </c>
      <c r="Q94" s="46">
        <f t="shared" si="5"/>
        <v>81.699346405228795</v>
      </c>
      <c r="R94" s="33" t="s">
        <v>28</v>
      </c>
      <c r="S94" s="47" t="str">
        <f t="shared" si="3"/>
        <v>2023-03</v>
      </c>
      <c r="T94" s="33">
        <v>0</v>
      </c>
    </row>
    <row r="95" spans="1:20">
      <c r="A95" s="37" t="s">
        <v>398</v>
      </c>
      <c r="B95" s="48">
        <v>45039</v>
      </c>
      <c r="C95" s="33" t="s">
        <v>47</v>
      </c>
      <c r="D95" s="37" t="s">
        <v>101</v>
      </c>
      <c r="E95" s="37" t="s">
        <v>102</v>
      </c>
      <c r="F95" s="37" t="s">
        <v>174</v>
      </c>
      <c r="G95" s="33" t="str">
        <f t="shared" si="4"/>
        <v>Dallas → New York</v>
      </c>
      <c r="H95" s="37" t="s">
        <v>175</v>
      </c>
      <c r="I95" s="37" t="s">
        <v>400</v>
      </c>
      <c r="J95" s="37" t="s">
        <v>288</v>
      </c>
      <c r="K95" s="37">
        <v>156</v>
      </c>
      <c r="L95" s="37">
        <v>2512</v>
      </c>
      <c r="M95" s="37">
        <v>360.73</v>
      </c>
      <c r="N95" s="37" t="s">
        <v>60</v>
      </c>
      <c r="O95" s="37">
        <v>128</v>
      </c>
      <c r="P95" s="37">
        <v>53</v>
      </c>
      <c r="Q95" s="46">
        <f t="shared" si="5"/>
        <v>41.40625</v>
      </c>
      <c r="R95" s="37" t="s">
        <v>28</v>
      </c>
      <c r="S95" s="49" t="str">
        <f t="shared" si="3"/>
        <v>2023-04</v>
      </c>
      <c r="T95" s="37">
        <v>0</v>
      </c>
    </row>
    <row r="96" spans="1:20">
      <c r="A96" s="33" t="s">
        <v>401</v>
      </c>
      <c r="B96" s="45">
        <v>45295</v>
      </c>
      <c r="C96" s="33" t="s">
        <v>31</v>
      </c>
      <c r="D96" s="33" t="s">
        <v>54</v>
      </c>
      <c r="E96" s="33" t="s">
        <v>74</v>
      </c>
      <c r="F96" s="33" t="s">
        <v>156</v>
      </c>
      <c r="G96" s="33" t="str">
        <f t="shared" si="4"/>
        <v>Chicago → Phoenix</v>
      </c>
      <c r="H96" s="33" t="s">
        <v>157</v>
      </c>
      <c r="I96" s="33" t="s">
        <v>252</v>
      </c>
      <c r="J96" s="33" t="s">
        <v>403</v>
      </c>
      <c r="K96" s="33">
        <v>225</v>
      </c>
      <c r="L96" s="33">
        <v>514</v>
      </c>
      <c r="M96" s="33">
        <v>221.97</v>
      </c>
      <c r="N96" s="33" t="s">
        <v>44</v>
      </c>
      <c r="O96" s="33">
        <v>234</v>
      </c>
      <c r="P96" s="33">
        <v>79</v>
      </c>
      <c r="Q96" s="46">
        <f t="shared" si="5"/>
        <v>33.760683760683797</v>
      </c>
      <c r="R96" s="33" t="s">
        <v>70</v>
      </c>
      <c r="S96" s="47" t="str">
        <f t="shared" si="3"/>
        <v>2024-01</v>
      </c>
      <c r="T96" s="33">
        <v>136</v>
      </c>
    </row>
    <row r="97" spans="1:20">
      <c r="A97" s="37" t="s">
        <v>404</v>
      </c>
      <c r="B97" s="48">
        <v>45480</v>
      </c>
      <c r="C97" s="33" t="s">
        <v>47</v>
      </c>
      <c r="D97" s="37" t="s">
        <v>116</v>
      </c>
      <c r="E97" s="37" t="s">
        <v>117</v>
      </c>
      <c r="F97" s="37" t="s">
        <v>48</v>
      </c>
      <c r="G97" s="33" t="str">
        <f t="shared" si="4"/>
        <v>Houston → San Diego</v>
      </c>
      <c r="H97" s="37" t="s">
        <v>49</v>
      </c>
      <c r="I97" s="37" t="s">
        <v>406</v>
      </c>
      <c r="J97" s="37" t="s">
        <v>407</v>
      </c>
      <c r="K97" s="37">
        <v>347</v>
      </c>
      <c r="L97" s="37">
        <v>1207</v>
      </c>
      <c r="M97" s="37">
        <v>1138.8699999999999</v>
      </c>
      <c r="N97" s="37" t="s">
        <v>60</v>
      </c>
      <c r="O97" s="37">
        <v>286</v>
      </c>
      <c r="P97" s="37">
        <v>250</v>
      </c>
      <c r="Q97" s="46">
        <f t="shared" si="5"/>
        <v>87.412587412587399</v>
      </c>
      <c r="R97" s="37" t="s">
        <v>70</v>
      </c>
      <c r="S97" s="49" t="str">
        <f t="shared" si="3"/>
        <v>2024-07</v>
      </c>
      <c r="T97" s="37">
        <v>148</v>
      </c>
    </row>
    <row r="98" spans="1:20">
      <c r="A98" s="33" t="s">
        <v>409</v>
      </c>
      <c r="B98" s="45">
        <v>45179</v>
      </c>
      <c r="C98" s="33" t="s">
        <v>115</v>
      </c>
      <c r="D98" s="33" t="s">
        <v>174</v>
      </c>
      <c r="E98" s="33" t="s">
        <v>175</v>
      </c>
      <c r="F98" s="33" t="s">
        <v>54</v>
      </c>
      <c r="G98" s="33" t="str">
        <f t="shared" si="4"/>
        <v>New York → Chicago</v>
      </c>
      <c r="H98" s="33" t="s">
        <v>55</v>
      </c>
      <c r="I98" s="33" t="s">
        <v>389</v>
      </c>
      <c r="J98" s="33" t="s">
        <v>411</v>
      </c>
      <c r="K98" s="33">
        <v>308</v>
      </c>
      <c r="L98" s="33">
        <v>742</v>
      </c>
      <c r="M98" s="33">
        <v>629.1</v>
      </c>
      <c r="N98" s="33" t="s">
        <v>44</v>
      </c>
      <c r="O98" s="33">
        <v>118</v>
      </c>
      <c r="P98" s="33">
        <v>60</v>
      </c>
      <c r="Q98" s="46">
        <f t="shared" si="5"/>
        <v>50.847457627118601</v>
      </c>
      <c r="R98" s="33" t="s">
        <v>28</v>
      </c>
      <c r="S98" s="47" t="str">
        <f t="shared" si="3"/>
        <v>2023-09</v>
      </c>
      <c r="T98" s="33">
        <v>0</v>
      </c>
    </row>
    <row r="99" spans="1:20">
      <c r="A99" s="37" t="s">
        <v>412</v>
      </c>
      <c r="B99" s="48">
        <v>44865</v>
      </c>
      <c r="C99" s="33" t="s">
        <v>94</v>
      </c>
      <c r="D99" s="37" t="s">
        <v>101</v>
      </c>
      <c r="E99" s="37" t="s">
        <v>102</v>
      </c>
      <c r="F99" s="37" t="s">
        <v>95</v>
      </c>
      <c r="G99" s="33" t="str">
        <f t="shared" si="4"/>
        <v>Dallas → Las Vegas</v>
      </c>
      <c r="H99" s="37" t="s">
        <v>96</v>
      </c>
      <c r="I99" s="37" t="s">
        <v>414</v>
      </c>
      <c r="J99" s="37" t="s">
        <v>252</v>
      </c>
      <c r="K99" s="37">
        <v>285</v>
      </c>
      <c r="L99" s="37">
        <v>2746</v>
      </c>
      <c r="M99" s="37">
        <v>674.22</v>
      </c>
      <c r="N99" s="37" t="s">
        <v>44</v>
      </c>
      <c r="O99" s="37">
        <v>229</v>
      </c>
      <c r="P99" s="37">
        <v>204</v>
      </c>
      <c r="Q99" s="46">
        <f t="shared" si="5"/>
        <v>89.0829694323144</v>
      </c>
      <c r="R99" s="37" t="s">
        <v>28</v>
      </c>
      <c r="S99" s="49" t="str">
        <f t="shared" si="3"/>
        <v>2022-10</v>
      </c>
      <c r="T99" s="37">
        <v>0</v>
      </c>
    </row>
    <row r="100" spans="1:20">
      <c r="A100" s="33" t="s">
        <v>415</v>
      </c>
      <c r="B100" s="45">
        <v>44796</v>
      </c>
      <c r="C100" s="33" t="s">
        <v>31</v>
      </c>
      <c r="D100" s="33" t="s">
        <v>129</v>
      </c>
      <c r="E100" s="33" t="s">
        <v>130</v>
      </c>
      <c r="F100" s="33" t="s">
        <v>79</v>
      </c>
      <c r="G100" s="33" t="str">
        <f t="shared" si="4"/>
        <v>Detroit → Newark</v>
      </c>
      <c r="H100" s="33" t="s">
        <v>80</v>
      </c>
      <c r="I100" s="33" t="s">
        <v>417</v>
      </c>
      <c r="J100" s="33" t="s">
        <v>418</v>
      </c>
      <c r="K100" s="33">
        <v>263</v>
      </c>
      <c r="L100" s="33">
        <v>2157</v>
      </c>
      <c r="M100" s="33">
        <v>526.58000000000004</v>
      </c>
      <c r="N100" s="33" t="s">
        <v>27</v>
      </c>
      <c r="O100" s="33">
        <v>124</v>
      </c>
      <c r="P100" s="33">
        <v>90</v>
      </c>
      <c r="Q100" s="46">
        <f t="shared" si="5"/>
        <v>72.580645161290306</v>
      </c>
      <c r="R100" s="33" t="s">
        <v>28</v>
      </c>
      <c r="S100" s="47" t="str">
        <f t="shared" si="3"/>
        <v>2022-08</v>
      </c>
      <c r="T100" s="33">
        <v>0</v>
      </c>
    </row>
    <row r="101" spans="1:20">
      <c r="A101" s="37" t="s">
        <v>419</v>
      </c>
      <c r="B101" s="48">
        <v>45084</v>
      </c>
      <c r="C101" s="33" t="s">
        <v>47</v>
      </c>
      <c r="D101" s="37" t="s">
        <v>101</v>
      </c>
      <c r="E101" s="37" t="s">
        <v>102</v>
      </c>
      <c r="F101" s="37" t="s">
        <v>116</v>
      </c>
      <c r="G101" s="33" t="str">
        <f t="shared" si="4"/>
        <v>Dallas → Houston</v>
      </c>
      <c r="H101" s="37" t="s">
        <v>117</v>
      </c>
      <c r="I101" s="37" t="s">
        <v>107</v>
      </c>
      <c r="J101" s="37" t="s">
        <v>421</v>
      </c>
      <c r="K101" s="37">
        <v>133</v>
      </c>
      <c r="L101" s="37">
        <v>681</v>
      </c>
      <c r="M101" s="37">
        <v>563.70000000000005</v>
      </c>
      <c r="N101" s="37" t="s">
        <v>27</v>
      </c>
      <c r="O101" s="37">
        <v>289</v>
      </c>
      <c r="P101" s="37">
        <v>145</v>
      </c>
      <c r="Q101" s="46">
        <f t="shared" si="5"/>
        <v>50.173010380622799</v>
      </c>
      <c r="R101" s="37" t="s">
        <v>70</v>
      </c>
      <c r="S101" s="49" t="str">
        <f t="shared" si="3"/>
        <v>2023-06</v>
      </c>
      <c r="T101" s="37">
        <v>157</v>
      </c>
    </row>
    <row r="102" spans="1:20">
      <c r="A102" s="33" t="s">
        <v>422</v>
      </c>
      <c r="B102" s="45">
        <v>44684</v>
      </c>
      <c r="C102" s="33" t="s">
        <v>47</v>
      </c>
      <c r="D102" s="33" t="s">
        <v>197</v>
      </c>
      <c r="E102" s="33" t="s">
        <v>198</v>
      </c>
      <c r="F102" s="33" t="s">
        <v>40</v>
      </c>
      <c r="G102" s="33" t="str">
        <f t="shared" si="4"/>
        <v>Atlanta → Charlotte</v>
      </c>
      <c r="H102" s="33" t="s">
        <v>41</v>
      </c>
      <c r="I102" s="33" t="s">
        <v>193</v>
      </c>
      <c r="J102" s="33" t="s">
        <v>424</v>
      </c>
      <c r="K102" s="33">
        <v>459</v>
      </c>
      <c r="L102" s="33">
        <v>510</v>
      </c>
      <c r="M102" s="33">
        <v>1164.6099999999999</v>
      </c>
      <c r="N102" s="33" t="s">
        <v>27</v>
      </c>
      <c r="O102" s="33">
        <v>179</v>
      </c>
      <c r="P102" s="33">
        <v>140</v>
      </c>
      <c r="Q102" s="46">
        <f t="shared" si="5"/>
        <v>78.212290502793294</v>
      </c>
      <c r="R102" s="33" t="s">
        <v>28</v>
      </c>
      <c r="S102" s="47" t="str">
        <f t="shared" si="3"/>
        <v>2022-05</v>
      </c>
      <c r="T102" s="33">
        <v>0</v>
      </c>
    </row>
    <row r="103" spans="1:20">
      <c r="A103" s="37" t="s">
        <v>425</v>
      </c>
      <c r="B103" s="48">
        <v>45601</v>
      </c>
      <c r="C103" s="33" t="s">
        <v>31</v>
      </c>
      <c r="D103" s="37" t="s">
        <v>101</v>
      </c>
      <c r="E103" s="37" t="s">
        <v>102</v>
      </c>
      <c r="F103" s="37" t="s">
        <v>116</v>
      </c>
      <c r="G103" s="33" t="str">
        <f t="shared" si="4"/>
        <v>Dallas → Houston</v>
      </c>
      <c r="H103" s="37" t="s">
        <v>117</v>
      </c>
      <c r="I103" s="37" t="s">
        <v>426</v>
      </c>
      <c r="J103" s="37" t="s">
        <v>427</v>
      </c>
      <c r="K103" s="37">
        <v>269</v>
      </c>
      <c r="L103" s="37">
        <v>2578</v>
      </c>
      <c r="M103" s="37">
        <v>491.67</v>
      </c>
      <c r="N103" s="37" t="s">
        <v>44</v>
      </c>
      <c r="O103" s="37">
        <v>246</v>
      </c>
      <c r="P103" s="37">
        <v>142</v>
      </c>
      <c r="Q103" s="46">
        <f t="shared" si="5"/>
        <v>57.723577235772403</v>
      </c>
      <c r="R103" s="37" t="s">
        <v>70</v>
      </c>
      <c r="S103" s="49" t="str">
        <f t="shared" si="3"/>
        <v>2024-11</v>
      </c>
      <c r="T103" s="37">
        <v>158</v>
      </c>
    </row>
    <row r="104" spans="1:20">
      <c r="A104" s="33" t="s">
        <v>428</v>
      </c>
      <c r="B104" s="45">
        <v>44615</v>
      </c>
      <c r="C104" s="33" t="s">
        <v>1462</v>
      </c>
      <c r="D104" s="33" t="s">
        <v>174</v>
      </c>
      <c r="E104" s="33" t="s">
        <v>175</v>
      </c>
      <c r="F104" s="33" t="s">
        <v>183</v>
      </c>
      <c r="G104" s="33" t="str">
        <f t="shared" si="4"/>
        <v>New York → Seattle</v>
      </c>
      <c r="H104" s="33" t="s">
        <v>184</v>
      </c>
      <c r="I104" s="33" t="s">
        <v>287</v>
      </c>
      <c r="J104" s="33" t="s">
        <v>430</v>
      </c>
      <c r="K104" s="33">
        <v>263</v>
      </c>
      <c r="L104" s="33">
        <v>1737</v>
      </c>
      <c r="M104" s="33">
        <v>86.84</v>
      </c>
      <c r="N104" s="33" t="s">
        <v>60</v>
      </c>
      <c r="O104" s="33">
        <v>244</v>
      </c>
      <c r="P104" s="33">
        <v>218</v>
      </c>
      <c r="Q104" s="46">
        <f t="shared" si="5"/>
        <v>89.344262295082004</v>
      </c>
      <c r="R104" s="33" t="s">
        <v>28</v>
      </c>
      <c r="S104" s="47" t="str">
        <f t="shared" si="3"/>
        <v>2022-02</v>
      </c>
      <c r="T104" s="33">
        <v>0</v>
      </c>
    </row>
    <row r="105" spans="1:20">
      <c r="A105" s="37" t="s">
        <v>431</v>
      </c>
      <c r="B105" s="48">
        <v>44852</v>
      </c>
      <c r="C105" s="33" t="s">
        <v>20</v>
      </c>
      <c r="D105" s="37" t="s">
        <v>54</v>
      </c>
      <c r="E105" s="37" t="s">
        <v>55</v>
      </c>
      <c r="F105" s="37" t="s">
        <v>32</v>
      </c>
      <c r="G105" s="33" t="str">
        <f t="shared" si="4"/>
        <v>Chicago → Orlando</v>
      </c>
      <c r="H105" s="37" t="s">
        <v>33</v>
      </c>
      <c r="I105" s="37" t="s">
        <v>139</v>
      </c>
      <c r="J105" s="37" t="s">
        <v>433</v>
      </c>
      <c r="K105" s="37">
        <v>304</v>
      </c>
      <c r="L105" s="37">
        <v>2158</v>
      </c>
      <c r="M105" s="37">
        <v>461.8</v>
      </c>
      <c r="N105" s="37" t="s">
        <v>44</v>
      </c>
      <c r="O105" s="37">
        <v>179</v>
      </c>
      <c r="P105" s="37">
        <v>133</v>
      </c>
      <c r="Q105" s="46">
        <f t="shared" si="5"/>
        <v>74.301675977653602</v>
      </c>
      <c r="R105" s="37" t="s">
        <v>70</v>
      </c>
      <c r="S105" s="49" t="str">
        <f t="shared" si="3"/>
        <v>2022-10</v>
      </c>
      <c r="T105" s="37">
        <v>160</v>
      </c>
    </row>
    <row r="106" spans="1:20">
      <c r="A106" s="33" t="s">
        <v>434</v>
      </c>
      <c r="B106" s="45">
        <v>44735</v>
      </c>
      <c r="C106" s="33" t="s">
        <v>20</v>
      </c>
      <c r="D106" s="33" t="s">
        <v>101</v>
      </c>
      <c r="E106" s="33" t="s">
        <v>102</v>
      </c>
      <c r="F106" s="33" t="s">
        <v>183</v>
      </c>
      <c r="G106" s="33" t="str">
        <f t="shared" si="4"/>
        <v>Dallas → Seattle</v>
      </c>
      <c r="H106" s="33" t="s">
        <v>184</v>
      </c>
      <c r="I106" s="33" t="s">
        <v>34</v>
      </c>
      <c r="J106" s="33" t="s">
        <v>147</v>
      </c>
      <c r="K106" s="33">
        <v>435</v>
      </c>
      <c r="L106" s="33">
        <v>634</v>
      </c>
      <c r="M106" s="33">
        <v>579.745</v>
      </c>
      <c r="N106" s="33" t="s">
        <v>27</v>
      </c>
      <c r="O106" s="33">
        <v>208</v>
      </c>
      <c r="P106" s="33">
        <v>174</v>
      </c>
      <c r="Q106" s="46">
        <f t="shared" si="5"/>
        <v>83.653846153846203</v>
      </c>
      <c r="R106" s="33" t="s">
        <v>28</v>
      </c>
      <c r="S106" s="47" t="str">
        <f t="shared" si="3"/>
        <v>2022-06</v>
      </c>
      <c r="T106" s="33">
        <v>0</v>
      </c>
    </row>
    <row r="107" spans="1:20">
      <c r="A107" s="37" t="s">
        <v>436</v>
      </c>
      <c r="B107" s="48">
        <v>45410</v>
      </c>
      <c r="C107" s="33" t="s">
        <v>1462</v>
      </c>
      <c r="D107" s="37" t="s">
        <v>183</v>
      </c>
      <c r="E107" s="37" t="s">
        <v>184</v>
      </c>
      <c r="F107" s="37" t="s">
        <v>32</v>
      </c>
      <c r="G107" s="33" t="str">
        <f t="shared" si="4"/>
        <v>Seattle → Orlando</v>
      </c>
      <c r="H107" s="37" t="s">
        <v>33</v>
      </c>
      <c r="I107" s="37" t="s">
        <v>438</v>
      </c>
      <c r="J107" s="37" t="s">
        <v>439</v>
      </c>
      <c r="K107" s="37">
        <v>310</v>
      </c>
      <c r="L107" s="37">
        <v>754</v>
      </c>
      <c r="M107" s="37">
        <v>397.24</v>
      </c>
      <c r="N107" s="37" t="s">
        <v>27</v>
      </c>
      <c r="O107" s="37">
        <v>251</v>
      </c>
      <c r="P107" s="37">
        <v>174</v>
      </c>
      <c r="Q107" s="46">
        <f t="shared" si="5"/>
        <v>69.322709163346602</v>
      </c>
      <c r="R107" s="37" t="s">
        <v>28</v>
      </c>
      <c r="S107" s="49" t="str">
        <f t="shared" si="3"/>
        <v>2024-04</v>
      </c>
      <c r="T107" s="37">
        <v>0</v>
      </c>
    </row>
    <row r="108" spans="1:20">
      <c r="A108" s="33" t="s">
        <v>440</v>
      </c>
      <c r="B108" s="45">
        <v>45193</v>
      </c>
      <c r="C108" s="33" t="s">
        <v>20</v>
      </c>
      <c r="D108" s="33" t="s">
        <v>23</v>
      </c>
      <c r="E108" s="33" t="s">
        <v>24</v>
      </c>
      <c r="F108" s="33" t="s">
        <v>129</v>
      </c>
      <c r="G108" s="33" t="str">
        <f t="shared" si="4"/>
        <v>Denver → Detroit</v>
      </c>
      <c r="H108" s="33" t="s">
        <v>130</v>
      </c>
      <c r="I108" s="33" t="s">
        <v>34</v>
      </c>
      <c r="J108" s="33" t="s">
        <v>442</v>
      </c>
      <c r="K108" s="33">
        <v>93</v>
      </c>
      <c r="L108" s="33">
        <v>1137</v>
      </c>
      <c r="M108" s="33">
        <v>417.59</v>
      </c>
      <c r="N108" s="33" t="s">
        <v>60</v>
      </c>
      <c r="O108" s="33">
        <v>296</v>
      </c>
      <c r="P108" s="33">
        <v>85</v>
      </c>
      <c r="Q108" s="46">
        <f t="shared" si="5"/>
        <v>28.7162162162162</v>
      </c>
      <c r="R108" s="33" t="s">
        <v>70</v>
      </c>
      <c r="S108" s="47" t="str">
        <f t="shared" si="3"/>
        <v>2023-09</v>
      </c>
      <c r="T108" s="33">
        <v>89</v>
      </c>
    </row>
    <row r="109" spans="1:20">
      <c r="A109" s="37" t="s">
        <v>443</v>
      </c>
      <c r="B109" s="48">
        <v>45233</v>
      </c>
      <c r="C109" s="33" t="s">
        <v>94</v>
      </c>
      <c r="D109" s="37" t="s">
        <v>174</v>
      </c>
      <c r="E109" s="37" t="s">
        <v>175</v>
      </c>
      <c r="F109" s="37" t="s">
        <v>116</v>
      </c>
      <c r="G109" s="33" t="str">
        <f t="shared" si="4"/>
        <v>New York → Houston</v>
      </c>
      <c r="H109" s="37" t="s">
        <v>117</v>
      </c>
      <c r="I109" s="37" t="s">
        <v>275</v>
      </c>
      <c r="J109" s="37" t="s">
        <v>445</v>
      </c>
      <c r="K109" s="37">
        <v>179</v>
      </c>
      <c r="L109" s="37">
        <v>829</v>
      </c>
      <c r="M109" s="37">
        <v>505.83</v>
      </c>
      <c r="N109" s="37" t="s">
        <v>27</v>
      </c>
      <c r="O109" s="37">
        <v>158</v>
      </c>
      <c r="P109" s="37">
        <v>114</v>
      </c>
      <c r="Q109" s="46">
        <f t="shared" si="5"/>
        <v>72.151898734177195</v>
      </c>
      <c r="R109" s="37" t="s">
        <v>28</v>
      </c>
      <c r="S109" s="49" t="str">
        <f t="shared" si="3"/>
        <v>2023-11</v>
      </c>
      <c r="T109" s="37">
        <v>0</v>
      </c>
    </row>
    <row r="110" spans="1:20" ht="25.5">
      <c r="A110" s="33" t="s">
        <v>446</v>
      </c>
      <c r="B110" s="45">
        <v>45287</v>
      </c>
      <c r="C110" s="33" t="s">
        <v>94</v>
      </c>
      <c r="D110" s="33" t="s">
        <v>66</v>
      </c>
      <c r="E110" s="33" t="s">
        <v>67</v>
      </c>
      <c r="F110" s="33" t="s">
        <v>56</v>
      </c>
      <c r="G110" s="33" t="str">
        <f t="shared" si="4"/>
        <v>Minneapolis → Los Angeles</v>
      </c>
      <c r="H110" s="33" t="s">
        <v>57</v>
      </c>
      <c r="I110" s="33" t="s">
        <v>185</v>
      </c>
      <c r="J110" s="33" t="s">
        <v>448</v>
      </c>
      <c r="K110" s="33">
        <v>325</v>
      </c>
      <c r="L110" s="33">
        <v>618</v>
      </c>
      <c r="M110" s="33">
        <v>1045.56</v>
      </c>
      <c r="N110" s="33" t="s">
        <v>27</v>
      </c>
      <c r="O110" s="33">
        <v>209</v>
      </c>
      <c r="P110" s="33">
        <v>196</v>
      </c>
      <c r="Q110" s="46">
        <f t="shared" si="5"/>
        <v>93.779904306220104</v>
      </c>
      <c r="R110" s="33" t="s">
        <v>28</v>
      </c>
      <c r="S110" s="47" t="str">
        <f t="shared" si="3"/>
        <v>2023-12</v>
      </c>
      <c r="T110" s="33">
        <v>0</v>
      </c>
    </row>
    <row r="111" spans="1:20">
      <c r="A111" s="37" t="s">
        <v>449</v>
      </c>
      <c r="B111" s="48">
        <v>45417</v>
      </c>
      <c r="C111" s="33" t="s">
        <v>1462</v>
      </c>
      <c r="D111" s="37" t="s">
        <v>197</v>
      </c>
      <c r="E111" s="37" t="s">
        <v>198</v>
      </c>
      <c r="F111" s="37" t="s">
        <v>129</v>
      </c>
      <c r="G111" s="33" t="str">
        <f t="shared" si="4"/>
        <v>Atlanta → Detroit</v>
      </c>
      <c r="H111" s="37" t="s">
        <v>130</v>
      </c>
      <c r="I111" s="37" t="s">
        <v>382</v>
      </c>
      <c r="J111" s="37" t="s">
        <v>253</v>
      </c>
      <c r="K111" s="37">
        <v>177</v>
      </c>
      <c r="L111" s="37">
        <v>2831</v>
      </c>
      <c r="M111" s="37">
        <v>595.30999999999995</v>
      </c>
      <c r="N111" s="37" t="s">
        <v>27</v>
      </c>
      <c r="O111" s="37">
        <v>335</v>
      </c>
      <c r="P111" s="37">
        <v>235</v>
      </c>
      <c r="Q111" s="46">
        <f t="shared" si="5"/>
        <v>70.149253731343293</v>
      </c>
      <c r="R111" s="37" t="s">
        <v>28</v>
      </c>
      <c r="S111" s="49" t="str">
        <f t="shared" si="3"/>
        <v>2024-05</v>
      </c>
      <c r="T111" s="37">
        <v>0</v>
      </c>
    </row>
    <row r="112" spans="1:20">
      <c r="A112" s="33" t="s">
        <v>451</v>
      </c>
      <c r="B112" s="45">
        <v>44778</v>
      </c>
      <c r="C112" s="33" t="s">
        <v>31</v>
      </c>
      <c r="D112" s="33" t="s">
        <v>129</v>
      </c>
      <c r="E112" s="33" t="s">
        <v>130</v>
      </c>
      <c r="F112" s="33" t="s">
        <v>48</v>
      </c>
      <c r="G112" s="33" t="str">
        <f t="shared" si="4"/>
        <v>Detroit → San Diego</v>
      </c>
      <c r="H112" s="33" t="s">
        <v>49</v>
      </c>
      <c r="I112" s="33" t="s">
        <v>453</v>
      </c>
      <c r="J112" s="33" t="s">
        <v>454</v>
      </c>
      <c r="K112" s="33">
        <v>292</v>
      </c>
      <c r="L112" s="33">
        <v>1570</v>
      </c>
      <c r="M112" s="33">
        <v>915.3</v>
      </c>
      <c r="N112" s="33" t="s">
        <v>60</v>
      </c>
      <c r="O112" s="33">
        <v>185</v>
      </c>
      <c r="P112" s="33">
        <v>93</v>
      </c>
      <c r="Q112" s="46">
        <f t="shared" si="5"/>
        <v>50.270270270270302</v>
      </c>
      <c r="R112" s="33" t="s">
        <v>28</v>
      </c>
      <c r="S112" s="47" t="str">
        <f t="shared" si="3"/>
        <v>2022-08</v>
      </c>
      <c r="T112" s="33">
        <v>0</v>
      </c>
    </row>
    <row r="113" spans="1:20" ht="25.5">
      <c r="A113" s="37" t="s">
        <v>455</v>
      </c>
      <c r="B113" s="48">
        <v>44795</v>
      </c>
      <c r="C113" s="33" t="s">
        <v>31</v>
      </c>
      <c r="D113" s="37" t="s">
        <v>64</v>
      </c>
      <c r="E113" s="37" t="s">
        <v>65</v>
      </c>
      <c r="F113" s="37" t="s">
        <v>66</v>
      </c>
      <c r="G113" s="33" t="str">
        <f t="shared" si="4"/>
        <v>San Francisco → Minneapolis</v>
      </c>
      <c r="H113" s="37" t="s">
        <v>67</v>
      </c>
      <c r="I113" s="37" t="s">
        <v>338</v>
      </c>
      <c r="J113" s="37" t="s">
        <v>170</v>
      </c>
      <c r="K113" s="37">
        <v>210</v>
      </c>
      <c r="L113" s="37">
        <v>721</v>
      </c>
      <c r="M113" s="37">
        <v>244.02</v>
      </c>
      <c r="N113" s="37" t="s">
        <v>60</v>
      </c>
      <c r="O113" s="37">
        <v>144</v>
      </c>
      <c r="P113" s="37">
        <v>127</v>
      </c>
      <c r="Q113" s="46">
        <f t="shared" si="5"/>
        <v>88.1944444444444</v>
      </c>
      <c r="R113" s="37" t="s">
        <v>28</v>
      </c>
      <c r="S113" s="49" t="str">
        <f t="shared" si="3"/>
        <v>2022-08</v>
      </c>
      <c r="T113" s="37">
        <v>0</v>
      </c>
    </row>
    <row r="114" spans="1:20">
      <c r="A114" s="33" t="s">
        <v>457</v>
      </c>
      <c r="B114" s="45">
        <v>44716</v>
      </c>
      <c r="C114" s="33" t="s">
        <v>63</v>
      </c>
      <c r="D114" s="33" t="s">
        <v>79</v>
      </c>
      <c r="E114" s="33" t="s">
        <v>80</v>
      </c>
      <c r="F114" s="33" t="s">
        <v>40</v>
      </c>
      <c r="G114" s="33" t="str">
        <f t="shared" si="4"/>
        <v>Newark → Charlotte</v>
      </c>
      <c r="H114" s="33" t="s">
        <v>41</v>
      </c>
      <c r="I114" s="33" t="s">
        <v>342</v>
      </c>
      <c r="J114" s="33" t="s">
        <v>459</v>
      </c>
      <c r="K114" s="33">
        <v>438</v>
      </c>
      <c r="L114" s="33">
        <v>2612</v>
      </c>
      <c r="M114" s="33">
        <v>800.15</v>
      </c>
      <c r="N114" s="33" t="s">
        <v>27</v>
      </c>
      <c r="O114" s="33">
        <v>182</v>
      </c>
      <c r="P114" s="33">
        <v>130</v>
      </c>
      <c r="Q114" s="46">
        <f t="shared" si="5"/>
        <v>71.428571428571402</v>
      </c>
      <c r="R114" s="33" t="s">
        <v>28</v>
      </c>
      <c r="S114" s="47" t="str">
        <f t="shared" si="3"/>
        <v>2022-06</v>
      </c>
      <c r="T114" s="33">
        <v>0</v>
      </c>
    </row>
    <row r="115" spans="1:20" ht="25.5">
      <c r="A115" s="37" t="s">
        <v>460</v>
      </c>
      <c r="B115" s="48">
        <v>44701</v>
      </c>
      <c r="C115" s="33" t="s">
        <v>115</v>
      </c>
      <c r="D115" s="37" t="s">
        <v>40</v>
      </c>
      <c r="E115" s="37" t="s">
        <v>41</v>
      </c>
      <c r="F115" s="37" t="s">
        <v>95</v>
      </c>
      <c r="G115" s="33" t="str">
        <f t="shared" si="4"/>
        <v>Charlotte → Las Vegas</v>
      </c>
      <c r="H115" s="37" t="s">
        <v>96</v>
      </c>
      <c r="I115" s="37" t="s">
        <v>378</v>
      </c>
      <c r="J115" s="37" t="s">
        <v>462</v>
      </c>
      <c r="K115" s="37">
        <v>270</v>
      </c>
      <c r="L115" s="37">
        <v>2378</v>
      </c>
      <c r="M115" s="37">
        <v>163.09</v>
      </c>
      <c r="N115" s="37" t="s">
        <v>44</v>
      </c>
      <c r="O115" s="37">
        <v>215</v>
      </c>
      <c r="P115" s="37">
        <v>59</v>
      </c>
      <c r="Q115" s="46">
        <f t="shared" si="5"/>
        <v>27.441860465116299</v>
      </c>
      <c r="R115" s="37" t="s">
        <v>28</v>
      </c>
      <c r="S115" s="49" t="str">
        <f t="shared" si="3"/>
        <v>2022-05</v>
      </c>
      <c r="T115" s="37">
        <v>0</v>
      </c>
    </row>
    <row r="116" spans="1:20">
      <c r="A116" s="33" t="s">
        <v>463</v>
      </c>
      <c r="B116" s="45">
        <v>45149</v>
      </c>
      <c r="C116" s="33" t="s">
        <v>94</v>
      </c>
      <c r="D116" s="33" t="s">
        <v>54</v>
      </c>
      <c r="E116" s="33" t="s">
        <v>55</v>
      </c>
      <c r="F116" s="33" t="s">
        <v>32</v>
      </c>
      <c r="G116" s="33" t="str">
        <f t="shared" si="4"/>
        <v>Chicago → Orlando</v>
      </c>
      <c r="H116" s="33" t="s">
        <v>33</v>
      </c>
      <c r="I116" s="33" t="s">
        <v>465</v>
      </c>
      <c r="J116" s="33" t="s">
        <v>466</v>
      </c>
      <c r="K116" s="33">
        <v>387</v>
      </c>
      <c r="L116" s="33">
        <v>2570</v>
      </c>
      <c r="M116" s="33">
        <v>1148.74</v>
      </c>
      <c r="N116" s="33" t="s">
        <v>27</v>
      </c>
      <c r="O116" s="33">
        <v>329</v>
      </c>
      <c r="P116" s="33">
        <v>71</v>
      </c>
      <c r="Q116" s="46">
        <f t="shared" si="5"/>
        <v>21.580547112462</v>
      </c>
      <c r="R116" s="33" t="s">
        <v>28</v>
      </c>
      <c r="S116" s="47" t="str">
        <f t="shared" si="3"/>
        <v>2023-08</v>
      </c>
      <c r="T116" s="33">
        <v>0</v>
      </c>
    </row>
    <row r="117" spans="1:20">
      <c r="A117" s="37" t="s">
        <v>467</v>
      </c>
      <c r="B117" s="48">
        <v>44947</v>
      </c>
      <c r="C117" s="33" t="s">
        <v>47</v>
      </c>
      <c r="D117" s="37" t="s">
        <v>48</v>
      </c>
      <c r="E117" s="37" t="s">
        <v>49</v>
      </c>
      <c r="F117" s="37" t="s">
        <v>79</v>
      </c>
      <c r="G117" s="33" t="str">
        <f t="shared" si="4"/>
        <v>San Diego → Newark</v>
      </c>
      <c r="H117" s="37" t="s">
        <v>80</v>
      </c>
      <c r="I117" s="37" t="s">
        <v>469</v>
      </c>
      <c r="J117" s="37" t="s">
        <v>470</v>
      </c>
      <c r="K117" s="37">
        <v>121</v>
      </c>
      <c r="L117" s="37">
        <v>2145</v>
      </c>
      <c r="M117" s="37">
        <v>195.92</v>
      </c>
      <c r="N117" s="37" t="s">
        <v>44</v>
      </c>
      <c r="O117" s="37">
        <v>282</v>
      </c>
      <c r="P117" s="37">
        <v>142</v>
      </c>
      <c r="Q117" s="46">
        <f t="shared" si="5"/>
        <v>50.354609929078002</v>
      </c>
      <c r="R117" s="37" t="s">
        <v>28</v>
      </c>
      <c r="S117" s="49" t="str">
        <f t="shared" si="3"/>
        <v>2023-01</v>
      </c>
      <c r="T117" s="37">
        <v>0</v>
      </c>
    </row>
    <row r="118" spans="1:20">
      <c r="A118" s="33" t="s">
        <v>471</v>
      </c>
      <c r="B118" s="45">
        <v>44915</v>
      </c>
      <c r="C118" s="33" t="s">
        <v>20</v>
      </c>
      <c r="D118" s="33" t="s">
        <v>23</v>
      </c>
      <c r="E118" s="33" t="s">
        <v>24</v>
      </c>
      <c r="F118" s="33" t="s">
        <v>79</v>
      </c>
      <c r="G118" s="33" t="str">
        <f t="shared" si="4"/>
        <v>Denver → Newark</v>
      </c>
      <c r="H118" s="33" t="s">
        <v>80</v>
      </c>
      <c r="I118" s="33" t="s">
        <v>473</v>
      </c>
      <c r="J118" s="33" t="s">
        <v>347</v>
      </c>
      <c r="K118" s="33">
        <v>276</v>
      </c>
      <c r="L118" s="33">
        <v>1827</v>
      </c>
      <c r="M118" s="33">
        <v>1108.0899999999999</v>
      </c>
      <c r="N118" s="33" t="s">
        <v>44</v>
      </c>
      <c r="O118" s="33">
        <v>204</v>
      </c>
      <c r="P118" s="33">
        <v>136</v>
      </c>
      <c r="Q118" s="46">
        <f t="shared" si="5"/>
        <v>66.6666666666667</v>
      </c>
      <c r="R118" s="33" t="s">
        <v>70</v>
      </c>
      <c r="S118" s="47" t="str">
        <f t="shared" si="3"/>
        <v>2022-12</v>
      </c>
      <c r="T118" s="33">
        <v>28</v>
      </c>
    </row>
    <row r="119" spans="1:20">
      <c r="A119" s="37" t="s">
        <v>474</v>
      </c>
      <c r="B119" s="48">
        <v>45247</v>
      </c>
      <c r="C119" s="33" t="s">
        <v>94</v>
      </c>
      <c r="D119" s="37" t="s">
        <v>156</v>
      </c>
      <c r="E119" s="37" t="s">
        <v>157</v>
      </c>
      <c r="F119" s="37" t="s">
        <v>197</v>
      </c>
      <c r="G119" s="33" t="str">
        <f t="shared" si="4"/>
        <v>Phoenix → Atlanta</v>
      </c>
      <c r="H119" s="37" t="s">
        <v>198</v>
      </c>
      <c r="I119" s="37" t="s">
        <v>476</v>
      </c>
      <c r="J119" s="37" t="s">
        <v>477</v>
      </c>
      <c r="K119" s="37">
        <v>235</v>
      </c>
      <c r="L119" s="37">
        <v>1332</v>
      </c>
      <c r="M119" s="37">
        <v>890.58</v>
      </c>
      <c r="N119" s="37" t="s">
        <v>27</v>
      </c>
      <c r="O119" s="37">
        <v>346</v>
      </c>
      <c r="P119" s="37">
        <v>126</v>
      </c>
      <c r="Q119" s="46">
        <f t="shared" si="5"/>
        <v>36.416184971098303</v>
      </c>
      <c r="R119" s="37" t="s">
        <v>28</v>
      </c>
      <c r="S119" s="49" t="str">
        <f t="shared" si="3"/>
        <v>2023-11</v>
      </c>
      <c r="T119" s="37">
        <v>0</v>
      </c>
    </row>
    <row r="120" spans="1:20">
      <c r="A120" s="33" t="s">
        <v>478</v>
      </c>
      <c r="B120" s="45">
        <v>44851</v>
      </c>
      <c r="C120" s="33" t="s">
        <v>47</v>
      </c>
      <c r="D120" s="33" t="s">
        <v>95</v>
      </c>
      <c r="E120" s="33" t="s">
        <v>96</v>
      </c>
      <c r="F120" s="33" t="s">
        <v>129</v>
      </c>
      <c r="G120" s="33" t="str">
        <f t="shared" si="4"/>
        <v>Las Vegas → Detroit</v>
      </c>
      <c r="H120" s="33" t="s">
        <v>130</v>
      </c>
      <c r="I120" s="33" t="s">
        <v>403</v>
      </c>
      <c r="J120" s="33" t="s">
        <v>480</v>
      </c>
      <c r="K120" s="33">
        <v>248</v>
      </c>
      <c r="L120" s="33">
        <v>2589</v>
      </c>
      <c r="M120" s="33">
        <v>501.88</v>
      </c>
      <c r="N120" s="33" t="s">
        <v>44</v>
      </c>
      <c r="O120" s="33">
        <v>308</v>
      </c>
      <c r="P120" s="33">
        <v>115</v>
      </c>
      <c r="Q120" s="46">
        <f t="shared" si="5"/>
        <v>37.337662337662302</v>
      </c>
      <c r="R120" s="33" t="s">
        <v>70</v>
      </c>
      <c r="S120" s="47" t="str">
        <f t="shared" si="3"/>
        <v>2022-10</v>
      </c>
      <c r="T120" s="33">
        <v>149</v>
      </c>
    </row>
    <row r="121" spans="1:20" ht="25.5">
      <c r="A121" s="37" t="s">
        <v>481</v>
      </c>
      <c r="B121" s="48">
        <v>44753</v>
      </c>
      <c r="C121" s="33" t="s">
        <v>73</v>
      </c>
      <c r="D121" s="37" t="s">
        <v>116</v>
      </c>
      <c r="E121" s="37" t="s">
        <v>117</v>
      </c>
      <c r="F121" s="37" t="s">
        <v>64</v>
      </c>
      <c r="G121" s="33" t="str">
        <f t="shared" si="4"/>
        <v>Houston → San Francisco</v>
      </c>
      <c r="H121" s="37" t="s">
        <v>65</v>
      </c>
      <c r="I121" s="37" t="s">
        <v>382</v>
      </c>
      <c r="J121" s="37" t="s">
        <v>482</v>
      </c>
      <c r="K121" s="37">
        <v>248</v>
      </c>
      <c r="L121" s="37">
        <v>1038</v>
      </c>
      <c r="M121" s="37">
        <v>1145.31</v>
      </c>
      <c r="N121" s="37" t="s">
        <v>44</v>
      </c>
      <c r="O121" s="37">
        <v>342</v>
      </c>
      <c r="P121" s="37">
        <v>298</v>
      </c>
      <c r="Q121" s="46">
        <f t="shared" si="5"/>
        <v>87.134502923976598</v>
      </c>
      <c r="R121" s="37" t="s">
        <v>28</v>
      </c>
      <c r="S121" s="49" t="str">
        <f t="shared" si="3"/>
        <v>2022-07</v>
      </c>
      <c r="T121" s="37">
        <v>0</v>
      </c>
    </row>
    <row r="122" spans="1:20">
      <c r="A122" s="33" t="s">
        <v>483</v>
      </c>
      <c r="B122" s="45">
        <v>44843</v>
      </c>
      <c r="C122" s="33" t="s">
        <v>63</v>
      </c>
      <c r="D122" s="33" t="s">
        <v>54</v>
      </c>
      <c r="E122" s="33" t="s">
        <v>55</v>
      </c>
      <c r="F122" s="33" t="s">
        <v>156</v>
      </c>
      <c r="G122" s="33" t="str">
        <f t="shared" si="4"/>
        <v>Chicago → Phoenix</v>
      </c>
      <c r="H122" s="33" t="s">
        <v>157</v>
      </c>
      <c r="I122" s="33" t="s">
        <v>166</v>
      </c>
      <c r="J122" s="33" t="s">
        <v>485</v>
      </c>
      <c r="K122" s="33">
        <v>428</v>
      </c>
      <c r="L122" s="33">
        <v>1679</v>
      </c>
      <c r="M122" s="33">
        <v>1061.56</v>
      </c>
      <c r="N122" s="33" t="s">
        <v>27</v>
      </c>
      <c r="O122" s="33">
        <v>133</v>
      </c>
      <c r="P122" s="33">
        <v>126</v>
      </c>
      <c r="Q122" s="46">
        <f t="shared" si="5"/>
        <v>94.736842105263193</v>
      </c>
      <c r="R122" s="33" t="s">
        <v>28</v>
      </c>
      <c r="S122" s="47" t="str">
        <f t="shared" si="3"/>
        <v>2022-10</v>
      </c>
      <c r="T122" s="33">
        <v>0</v>
      </c>
    </row>
    <row r="123" spans="1:20">
      <c r="A123" s="37" t="s">
        <v>486</v>
      </c>
      <c r="B123" s="48">
        <v>44894</v>
      </c>
      <c r="C123" s="33" t="s">
        <v>63</v>
      </c>
      <c r="D123" s="37" t="s">
        <v>48</v>
      </c>
      <c r="E123" s="37" t="s">
        <v>49</v>
      </c>
      <c r="F123" s="37" t="s">
        <v>38</v>
      </c>
      <c r="G123" s="33" t="str">
        <f t="shared" si="4"/>
        <v>San Diego → Miami</v>
      </c>
      <c r="H123" s="37" t="s">
        <v>39</v>
      </c>
      <c r="I123" s="37" t="s">
        <v>275</v>
      </c>
      <c r="J123" s="37" t="s">
        <v>488</v>
      </c>
      <c r="K123" s="37">
        <v>112</v>
      </c>
      <c r="L123" s="37">
        <v>1982</v>
      </c>
      <c r="M123" s="37">
        <v>488.02</v>
      </c>
      <c r="N123" s="37" t="s">
        <v>27</v>
      </c>
      <c r="O123" s="37">
        <v>160</v>
      </c>
      <c r="P123" s="37">
        <v>106</v>
      </c>
      <c r="Q123" s="46">
        <f t="shared" si="5"/>
        <v>66.25</v>
      </c>
      <c r="R123" s="37" t="s">
        <v>28</v>
      </c>
      <c r="S123" s="49" t="str">
        <f t="shared" si="3"/>
        <v>2022-11</v>
      </c>
      <c r="T123" s="37">
        <v>0</v>
      </c>
    </row>
    <row r="124" spans="1:20">
      <c r="A124" s="33" t="s">
        <v>489</v>
      </c>
      <c r="B124" s="45">
        <v>45481</v>
      </c>
      <c r="C124" s="33" t="s">
        <v>31</v>
      </c>
      <c r="D124" s="33" t="s">
        <v>32</v>
      </c>
      <c r="E124" s="33" t="s">
        <v>33</v>
      </c>
      <c r="F124" s="33" t="s">
        <v>23</v>
      </c>
      <c r="G124" s="33" t="str">
        <f t="shared" si="4"/>
        <v>Orlando → Denver</v>
      </c>
      <c r="H124" s="33" t="s">
        <v>24</v>
      </c>
      <c r="I124" s="33" t="s">
        <v>210</v>
      </c>
      <c r="J124" s="33" t="s">
        <v>491</v>
      </c>
      <c r="K124" s="33">
        <v>189</v>
      </c>
      <c r="L124" s="33">
        <v>1806</v>
      </c>
      <c r="M124" s="33">
        <v>839.7</v>
      </c>
      <c r="N124" s="33" t="s">
        <v>27</v>
      </c>
      <c r="O124" s="33">
        <v>212</v>
      </c>
      <c r="P124" s="33">
        <v>168</v>
      </c>
      <c r="Q124" s="46">
        <f t="shared" si="5"/>
        <v>79.245283018867894</v>
      </c>
      <c r="R124" s="33" t="s">
        <v>70</v>
      </c>
      <c r="S124" s="47" t="str">
        <f t="shared" si="3"/>
        <v>2024-07</v>
      </c>
      <c r="T124" s="33">
        <v>112</v>
      </c>
    </row>
    <row r="125" spans="1:20">
      <c r="A125" s="37" t="s">
        <v>492</v>
      </c>
      <c r="B125" s="48">
        <v>45591</v>
      </c>
      <c r="C125" s="33" t="s">
        <v>73</v>
      </c>
      <c r="D125" s="37" t="s">
        <v>38</v>
      </c>
      <c r="E125" s="37" t="s">
        <v>39</v>
      </c>
      <c r="F125" s="37" t="s">
        <v>23</v>
      </c>
      <c r="G125" s="33" t="str">
        <f t="shared" si="4"/>
        <v>Miami → Denver</v>
      </c>
      <c r="H125" s="37" t="s">
        <v>24</v>
      </c>
      <c r="I125" s="37" t="s">
        <v>494</v>
      </c>
      <c r="J125" s="37" t="s">
        <v>495</v>
      </c>
      <c r="K125" s="37">
        <v>218</v>
      </c>
      <c r="L125" s="37">
        <v>513</v>
      </c>
      <c r="M125" s="37">
        <v>798.12</v>
      </c>
      <c r="N125" s="37" t="s">
        <v>44</v>
      </c>
      <c r="O125" s="37">
        <v>241</v>
      </c>
      <c r="P125" s="37">
        <v>76</v>
      </c>
      <c r="Q125" s="46">
        <f t="shared" si="5"/>
        <v>31.535269709543599</v>
      </c>
      <c r="R125" s="37" t="s">
        <v>70</v>
      </c>
      <c r="S125" s="49" t="str">
        <f t="shared" si="3"/>
        <v>2024-10</v>
      </c>
      <c r="T125" s="37">
        <v>0</v>
      </c>
    </row>
    <row r="126" spans="1:20">
      <c r="A126" s="33" t="s">
        <v>496</v>
      </c>
      <c r="B126" s="45">
        <v>44817</v>
      </c>
      <c r="C126" s="33" t="s">
        <v>1462</v>
      </c>
      <c r="D126" s="33" t="s">
        <v>54</v>
      </c>
      <c r="E126" s="33" t="s">
        <v>55</v>
      </c>
      <c r="F126" s="33" t="s">
        <v>183</v>
      </c>
      <c r="G126" s="33" t="str">
        <f t="shared" si="4"/>
        <v>Chicago → Seattle</v>
      </c>
      <c r="H126" s="33" t="s">
        <v>184</v>
      </c>
      <c r="I126" s="33" t="s">
        <v>140</v>
      </c>
      <c r="J126" s="33" t="s">
        <v>249</v>
      </c>
      <c r="K126" s="33">
        <v>352</v>
      </c>
      <c r="L126" s="33">
        <v>903</v>
      </c>
      <c r="M126" s="33">
        <v>498.48</v>
      </c>
      <c r="N126" s="33" t="s">
        <v>60</v>
      </c>
      <c r="O126" s="33">
        <v>342</v>
      </c>
      <c r="P126" s="33">
        <v>163</v>
      </c>
      <c r="Q126" s="46">
        <f t="shared" si="5"/>
        <v>47.660818713450297</v>
      </c>
      <c r="R126" s="33" t="s">
        <v>70</v>
      </c>
      <c r="S126" s="47" t="str">
        <f t="shared" si="3"/>
        <v>2022-09</v>
      </c>
      <c r="T126" s="33">
        <v>104</v>
      </c>
    </row>
    <row r="127" spans="1:20">
      <c r="A127" s="37" t="s">
        <v>497</v>
      </c>
      <c r="B127" s="48">
        <v>44616</v>
      </c>
      <c r="C127" s="33" t="s">
        <v>73</v>
      </c>
      <c r="D127" s="37" t="s">
        <v>56</v>
      </c>
      <c r="E127" s="37" t="s">
        <v>57</v>
      </c>
      <c r="F127" s="37" t="s">
        <v>129</v>
      </c>
      <c r="G127" s="33" t="str">
        <f t="shared" si="4"/>
        <v>Los Angeles → Detroit</v>
      </c>
      <c r="H127" s="37" t="s">
        <v>130</v>
      </c>
      <c r="I127" s="37" t="s">
        <v>90</v>
      </c>
      <c r="J127" s="37" t="s">
        <v>499</v>
      </c>
      <c r="K127" s="37">
        <v>210</v>
      </c>
      <c r="L127" s="37">
        <v>1881</v>
      </c>
      <c r="M127" s="37">
        <v>1193.8699999999999</v>
      </c>
      <c r="N127" s="37" t="s">
        <v>44</v>
      </c>
      <c r="O127" s="37">
        <v>157</v>
      </c>
      <c r="P127" s="37">
        <v>53</v>
      </c>
      <c r="Q127" s="46">
        <f t="shared" si="5"/>
        <v>33.757961783439498</v>
      </c>
      <c r="R127" s="37" t="s">
        <v>28</v>
      </c>
      <c r="S127" s="49" t="str">
        <f t="shared" si="3"/>
        <v>2022-02</v>
      </c>
      <c r="T127" s="37">
        <v>0</v>
      </c>
    </row>
    <row r="128" spans="1:20">
      <c r="A128" s="33" t="s">
        <v>500</v>
      </c>
      <c r="B128" s="45">
        <v>44764</v>
      </c>
      <c r="C128" s="33" t="s">
        <v>47</v>
      </c>
      <c r="D128" s="33" t="s">
        <v>101</v>
      </c>
      <c r="E128" s="33" t="s">
        <v>102</v>
      </c>
      <c r="F128" s="33" t="s">
        <v>38</v>
      </c>
      <c r="G128" s="33" t="str">
        <f t="shared" si="4"/>
        <v>Dallas → Miami</v>
      </c>
      <c r="H128" s="33" t="s">
        <v>39</v>
      </c>
      <c r="I128" s="33" t="s">
        <v>179</v>
      </c>
      <c r="J128" s="33" t="s">
        <v>87</v>
      </c>
      <c r="K128" s="33">
        <v>331</v>
      </c>
      <c r="L128" s="33">
        <v>868</v>
      </c>
      <c r="M128" s="33">
        <v>929.9</v>
      </c>
      <c r="N128" s="33" t="s">
        <v>44</v>
      </c>
      <c r="O128" s="33">
        <v>214</v>
      </c>
      <c r="P128" s="33">
        <v>207</v>
      </c>
      <c r="Q128" s="46">
        <f t="shared" si="5"/>
        <v>96.728971962616797</v>
      </c>
      <c r="R128" s="33" t="s">
        <v>28</v>
      </c>
      <c r="S128" s="47" t="str">
        <f t="shared" si="3"/>
        <v>2022-07</v>
      </c>
      <c r="T128" s="33">
        <v>0</v>
      </c>
    </row>
    <row r="129" spans="1:20">
      <c r="A129" s="37" t="s">
        <v>502</v>
      </c>
      <c r="B129" s="48">
        <v>44724</v>
      </c>
      <c r="C129" s="33" t="s">
        <v>20</v>
      </c>
      <c r="D129" s="37" t="s">
        <v>21</v>
      </c>
      <c r="E129" s="37" t="s">
        <v>22</v>
      </c>
      <c r="F129" s="37" t="s">
        <v>183</v>
      </c>
      <c r="G129" s="33" t="str">
        <f t="shared" si="4"/>
        <v>Boston → Seattle</v>
      </c>
      <c r="H129" s="37" t="s">
        <v>184</v>
      </c>
      <c r="I129" s="37" t="s">
        <v>86</v>
      </c>
      <c r="J129" s="37" t="s">
        <v>504</v>
      </c>
      <c r="K129" s="37">
        <v>146</v>
      </c>
      <c r="L129" s="37">
        <v>1480</v>
      </c>
      <c r="M129" s="37">
        <v>346.16</v>
      </c>
      <c r="N129" s="37" t="s">
        <v>60</v>
      </c>
      <c r="O129" s="37">
        <v>112</v>
      </c>
      <c r="P129" s="37">
        <v>65</v>
      </c>
      <c r="Q129" s="46">
        <f t="shared" si="5"/>
        <v>58.035714285714299</v>
      </c>
      <c r="R129" s="37" t="s">
        <v>28</v>
      </c>
      <c r="S129" s="49" t="str">
        <f t="shared" si="3"/>
        <v>2022-06</v>
      </c>
      <c r="T129" s="37">
        <v>0</v>
      </c>
    </row>
    <row r="130" spans="1:20">
      <c r="A130" s="33" t="s">
        <v>505</v>
      </c>
      <c r="B130" s="45">
        <v>45498</v>
      </c>
      <c r="C130" s="33" t="s">
        <v>94</v>
      </c>
      <c r="D130" s="33" t="s">
        <v>197</v>
      </c>
      <c r="E130" s="33" t="s">
        <v>198</v>
      </c>
      <c r="F130" s="33" t="s">
        <v>116</v>
      </c>
      <c r="G130" s="33" t="str">
        <f t="shared" si="4"/>
        <v>Atlanta → Houston</v>
      </c>
      <c r="H130" s="33" t="s">
        <v>117</v>
      </c>
      <c r="I130" s="33" t="s">
        <v>34</v>
      </c>
      <c r="J130" s="33" t="s">
        <v>507</v>
      </c>
      <c r="K130" s="33">
        <v>413</v>
      </c>
      <c r="L130" s="33">
        <v>2410</v>
      </c>
      <c r="M130" s="33">
        <v>724.05</v>
      </c>
      <c r="N130" s="33" t="s">
        <v>27</v>
      </c>
      <c r="O130" s="33">
        <v>136</v>
      </c>
      <c r="P130" s="33">
        <v>87</v>
      </c>
      <c r="Q130" s="46">
        <f t="shared" si="5"/>
        <v>63.970588235294102</v>
      </c>
      <c r="R130" s="33" t="s">
        <v>28</v>
      </c>
      <c r="S130" s="47" t="str">
        <f t="shared" ref="S130:S193" si="6">TEXT(B130,"YYYY-MM")</f>
        <v>2024-07</v>
      </c>
      <c r="T130" s="33">
        <v>0</v>
      </c>
    </row>
    <row r="131" spans="1:20">
      <c r="A131" s="37" t="s">
        <v>508</v>
      </c>
      <c r="B131" s="48">
        <v>45284</v>
      </c>
      <c r="C131" s="33" t="s">
        <v>31</v>
      </c>
      <c r="D131" s="37" t="s">
        <v>54</v>
      </c>
      <c r="E131" s="37" t="s">
        <v>74</v>
      </c>
      <c r="F131" s="37" t="s">
        <v>129</v>
      </c>
      <c r="G131" s="33" t="str">
        <f t="shared" ref="G131:G194" si="7">D131&amp;" → "&amp;F131</f>
        <v>Chicago → Detroit</v>
      </c>
      <c r="H131" s="37" t="s">
        <v>130</v>
      </c>
      <c r="I131" s="37" t="s">
        <v>103</v>
      </c>
      <c r="J131" s="37" t="s">
        <v>510</v>
      </c>
      <c r="K131" s="37">
        <v>358</v>
      </c>
      <c r="L131" s="37">
        <v>1777</v>
      </c>
      <c r="M131" s="37">
        <v>155.80000000000001</v>
      </c>
      <c r="N131" s="37" t="s">
        <v>27</v>
      </c>
      <c r="O131" s="37">
        <v>239</v>
      </c>
      <c r="P131" s="37">
        <v>179</v>
      </c>
      <c r="Q131" s="46">
        <f t="shared" ref="Q131:Q194" si="8">P131/O131*100</f>
        <v>74.895397489539704</v>
      </c>
      <c r="R131" s="37" t="s">
        <v>70</v>
      </c>
      <c r="S131" s="49" t="str">
        <f t="shared" si="6"/>
        <v>2023-12</v>
      </c>
      <c r="T131" s="37">
        <v>144</v>
      </c>
    </row>
    <row r="132" spans="1:20" ht="25.5">
      <c r="A132" s="33" t="s">
        <v>511</v>
      </c>
      <c r="B132" s="45">
        <v>44603</v>
      </c>
      <c r="C132" s="33" t="s">
        <v>73</v>
      </c>
      <c r="D132" s="33" t="s">
        <v>79</v>
      </c>
      <c r="E132" s="33" t="s">
        <v>80</v>
      </c>
      <c r="F132" s="33" t="s">
        <v>56</v>
      </c>
      <c r="G132" s="33" t="str">
        <f t="shared" si="7"/>
        <v>Newark → Los Angeles</v>
      </c>
      <c r="H132" s="33" t="s">
        <v>57</v>
      </c>
      <c r="I132" s="33" t="s">
        <v>81</v>
      </c>
      <c r="J132" s="33" t="s">
        <v>513</v>
      </c>
      <c r="K132" s="33">
        <v>281</v>
      </c>
      <c r="L132" s="33">
        <v>1338</v>
      </c>
      <c r="M132" s="33">
        <v>916.99</v>
      </c>
      <c r="N132" s="33" t="s">
        <v>44</v>
      </c>
      <c r="O132" s="33">
        <v>301</v>
      </c>
      <c r="P132" s="33">
        <v>67</v>
      </c>
      <c r="Q132" s="46">
        <f t="shared" si="8"/>
        <v>22.2591362126246</v>
      </c>
      <c r="R132" s="33" t="s">
        <v>28</v>
      </c>
      <c r="S132" s="47" t="str">
        <f t="shared" si="6"/>
        <v>2022-02</v>
      </c>
      <c r="T132" s="33">
        <v>0</v>
      </c>
    </row>
    <row r="133" spans="1:20">
      <c r="A133" s="37" t="s">
        <v>514</v>
      </c>
      <c r="B133" s="48">
        <v>44774</v>
      </c>
      <c r="C133" s="33" t="s">
        <v>47</v>
      </c>
      <c r="D133" s="37" t="s">
        <v>101</v>
      </c>
      <c r="E133" s="37" t="s">
        <v>102</v>
      </c>
      <c r="F133" s="37" t="s">
        <v>56</v>
      </c>
      <c r="G133" s="33" t="str">
        <f t="shared" si="7"/>
        <v>Dallas → Los Angeles</v>
      </c>
      <c r="H133" s="37" t="s">
        <v>57</v>
      </c>
      <c r="I133" s="37" t="s">
        <v>162</v>
      </c>
      <c r="J133" s="37" t="s">
        <v>516</v>
      </c>
      <c r="K133" s="37">
        <v>419</v>
      </c>
      <c r="L133" s="37">
        <v>1017</v>
      </c>
      <c r="M133" s="37">
        <v>1010.03</v>
      </c>
      <c r="N133" s="37" t="s">
        <v>27</v>
      </c>
      <c r="O133" s="37">
        <v>218</v>
      </c>
      <c r="P133" s="37">
        <v>172</v>
      </c>
      <c r="Q133" s="46">
        <f t="shared" si="8"/>
        <v>78.899082568807302</v>
      </c>
      <c r="R133" s="37" t="s">
        <v>28</v>
      </c>
      <c r="S133" s="49" t="str">
        <f t="shared" si="6"/>
        <v>2022-08</v>
      </c>
      <c r="T133" s="37">
        <v>0</v>
      </c>
    </row>
    <row r="134" spans="1:20" ht="25.5">
      <c r="A134" s="33" t="s">
        <v>517</v>
      </c>
      <c r="B134" s="45">
        <v>44838</v>
      </c>
      <c r="C134" s="33" t="s">
        <v>94</v>
      </c>
      <c r="D134" s="33" t="s">
        <v>40</v>
      </c>
      <c r="E134" s="33" t="s">
        <v>41</v>
      </c>
      <c r="F134" s="33" t="s">
        <v>56</v>
      </c>
      <c r="G134" s="33" t="str">
        <f t="shared" si="7"/>
        <v>Charlotte → Los Angeles</v>
      </c>
      <c r="H134" s="33" t="s">
        <v>57</v>
      </c>
      <c r="I134" s="33" t="s">
        <v>143</v>
      </c>
      <c r="J134" s="33" t="s">
        <v>519</v>
      </c>
      <c r="K134" s="33">
        <v>112</v>
      </c>
      <c r="L134" s="33">
        <v>1117</v>
      </c>
      <c r="M134" s="33">
        <v>1072.0899999999999</v>
      </c>
      <c r="N134" s="33" t="s">
        <v>44</v>
      </c>
      <c r="O134" s="33">
        <v>338</v>
      </c>
      <c r="P134" s="33">
        <v>208</v>
      </c>
      <c r="Q134" s="46">
        <f t="shared" si="8"/>
        <v>61.538461538461497</v>
      </c>
      <c r="R134" s="33" t="s">
        <v>28</v>
      </c>
      <c r="S134" s="47" t="str">
        <f t="shared" si="6"/>
        <v>2022-10</v>
      </c>
      <c r="T134" s="33">
        <v>0</v>
      </c>
    </row>
    <row r="135" spans="1:20" ht="25.5">
      <c r="A135" s="37" t="s">
        <v>520</v>
      </c>
      <c r="B135" s="48">
        <v>45531</v>
      </c>
      <c r="C135" s="33" t="s">
        <v>1462</v>
      </c>
      <c r="D135" s="37" t="s">
        <v>56</v>
      </c>
      <c r="E135" s="37" t="s">
        <v>57</v>
      </c>
      <c r="F135" s="37" t="s">
        <v>23</v>
      </c>
      <c r="G135" s="33" t="str">
        <f t="shared" si="7"/>
        <v>Los Angeles → Denver</v>
      </c>
      <c r="H135" s="37" t="s">
        <v>24</v>
      </c>
      <c r="I135" s="37" t="s">
        <v>283</v>
      </c>
      <c r="J135" s="37" t="s">
        <v>522</v>
      </c>
      <c r="K135" s="37">
        <v>114</v>
      </c>
      <c r="L135" s="37">
        <v>2985</v>
      </c>
      <c r="M135" s="37">
        <v>451.76</v>
      </c>
      <c r="N135" s="37" t="s">
        <v>60</v>
      </c>
      <c r="O135" s="37">
        <v>304</v>
      </c>
      <c r="P135" s="37">
        <v>144</v>
      </c>
      <c r="Q135" s="46">
        <f t="shared" si="8"/>
        <v>47.368421052631597</v>
      </c>
      <c r="R135" s="37" t="s">
        <v>28</v>
      </c>
      <c r="S135" s="49" t="str">
        <f t="shared" si="6"/>
        <v>2024-08</v>
      </c>
      <c r="T135" s="37">
        <v>0</v>
      </c>
    </row>
    <row r="136" spans="1:20" ht="25.5">
      <c r="A136" s="33" t="s">
        <v>523</v>
      </c>
      <c r="B136" s="45">
        <v>45381</v>
      </c>
      <c r="C136" s="33" t="s">
        <v>115</v>
      </c>
      <c r="D136" s="33" t="s">
        <v>66</v>
      </c>
      <c r="E136" s="33" t="s">
        <v>67</v>
      </c>
      <c r="F136" s="33" t="s">
        <v>156</v>
      </c>
      <c r="G136" s="33" t="str">
        <f t="shared" si="7"/>
        <v>Minneapolis → Phoenix</v>
      </c>
      <c r="H136" s="33" t="s">
        <v>157</v>
      </c>
      <c r="I136" s="33" t="s">
        <v>97</v>
      </c>
      <c r="J136" s="33" t="s">
        <v>525</v>
      </c>
      <c r="K136" s="33">
        <v>444</v>
      </c>
      <c r="L136" s="33">
        <v>2337</v>
      </c>
      <c r="M136" s="33">
        <v>491.43</v>
      </c>
      <c r="N136" s="33" t="s">
        <v>27</v>
      </c>
      <c r="O136" s="33">
        <v>168</v>
      </c>
      <c r="P136" s="33">
        <v>152</v>
      </c>
      <c r="Q136" s="46">
        <f t="shared" si="8"/>
        <v>90.476190476190496</v>
      </c>
      <c r="R136" s="33" t="s">
        <v>28</v>
      </c>
      <c r="S136" s="47" t="str">
        <f t="shared" si="6"/>
        <v>2024-03</v>
      </c>
      <c r="T136" s="33">
        <v>0</v>
      </c>
    </row>
    <row r="137" spans="1:20">
      <c r="A137" s="37" t="s">
        <v>526</v>
      </c>
      <c r="B137" s="48">
        <v>45431</v>
      </c>
      <c r="C137" s="33" t="s">
        <v>94</v>
      </c>
      <c r="D137" s="37" t="s">
        <v>129</v>
      </c>
      <c r="E137" s="37" t="s">
        <v>130</v>
      </c>
      <c r="F137" s="37" t="s">
        <v>38</v>
      </c>
      <c r="G137" s="33" t="str">
        <f t="shared" si="7"/>
        <v>Detroit → Miami</v>
      </c>
      <c r="H137" s="37" t="s">
        <v>39</v>
      </c>
      <c r="I137" s="37" t="s">
        <v>528</v>
      </c>
      <c r="J137" s="37" t="s">
        <v>529</v>
      </c>
      <c r="K137" s="37">
        <v>254</v>
      </c>
      <c r="L137" s="37">
        <v>720</v>
      </c>
      <c r="M137" s="37">
        <v>169.68</v>
      </c>
      <c r="N137" s="37" t="s">
        <v>27</v>
      </c>
      <c r="O137" s="37">
        <v>175</v>
      </c>
      <c r="P137" s="37">
        <v>89</v>
      </c>
      <c r="Q137" s="46">
        <f t="shared" si="8"/>
        <v>50.857142857142897</v>
      </c>
      <c r="R137" s="37" t="s">
        <v>28</v>
      </c>
      <c r="S137" s="49" t="str">
        <f t="shared" si="6"/>
        <v>2024-05</v>
      </c>
      <c r="T137" s="37">
        <v>0</v>
      </c>
    </row>
    <row r="138" spans="1:20" ht="25.5">
      <c r="A138" s="33" t="s">
        <v>530</v>
      </c>
      <c r="B138" s="45">
        <v>45434</v>
      </c>
      <c r="C138" s="33" t="s">
        <v>63</v>
      </c>
      <c r="D138" s="33" t="s">
        <v>40</v>
      </c>
      <c r="E138" s="33" t="s">
        <v>41</v>
      </c>
      <c r="F138" s="33" t="s">
        <v>64</v>
      </c>
      <c r="G138" s="33" t="str">
        <f t="shared" si="7"/>
        <v>Charlotte → San Francisco</v>
      </c>
      <c r="H138" s="33" t="s">
        <v>65</v>
      </c>
      <c r="I138" s="33" t="s">
        <v>135</v>
      </c>
      <c r="J138" s="33" t="s">
        <v>532</v>
      </c>
      <c r="K138" s="33">
        <v>462</v>
      </c>
      <c r="L138" s="33">
        <v>1744</v>
      </c>
      <c r="M138" s="33">
        <v>768.63</v>
      </c>
      <c r="N138" s="33" t="s">
        <v>44</v>
      </c>
      <c r="O138" s="33">
        <v>170</v>
      </c>
      <c r="P138" s="33">
        <v>131</v>
      </c>
      <c r="Q138" s="46">
        <f t="shared" si="8"/>
        <v>77.058823529411796</v>
      </c>
      <c r="R138" s="33" t="s">
        <v>149</v>
      </c>
      <c r="S138" s="47" t="str">
        <f t="shared" si="6"/>
        <v>2024-05</v>
      </c>
      <c r="T138" s="33">
        <v>0</v>
      </c>
    </row>
    <row r="139" spans="1:20" ht="25.5">
      <c r="A139" s="37" t="s">
        <v>533</v>
      </c>
      <c r="B139" s="48">
        <v>44679</v>
      </c>
      <c r="C139" s="33" t="s">
        <v>94</v>
      </c>
      <c r="D139" s="37" t="s">
        <v>66</v>
      </c>
      <c r="E139" s="37" t="s">
        <v>67</v>
      </c>
      <c r="F139" s="37" t="s">
        <v>64</v>
      </c>
      <c r="G139" s="33" t="str">
        <f t="shared" si="7"/>
        <v>Minneapolis → San Francisco</v>
      </c>
      <c r="H139" s="37" t="s">
        <v>65</v>
      </c>
      <c r="I139" s="37" t="s">
        <v>469</v>
      </c>
      <c r="J139" s="37" t="s">
        <v>244</v>
      </c>
      <c r="K139" s="37">
        <v>105</v>
      </c>
      <c r="L139" s="37">
        <v>884</v>
      </c>
      <c r="M139" s="37">
        <v>1030.51</v>
      </c>
      <c r="N139" s="37" t="s">
        <v>27</v>
      </c>
      <c r="O139" s="37">
        <v>300</v>
      </c>
      <c r="P139" s="37">
        <v>162</v>
      </c>
      <c r="Q139" s="46">
        <f t="shared" si="8"/>
        <v>54</v>
      </c>
      <c r="R139" s="37" t="s">
        <v>28</v>
      </c>
      <c r="S139" s="49" t="str">
        <f t="shared" si="6"/>
        <v>2022-04</v>
      </c>
      <c r="T139" s="37">
        <v>0</v>
      </c>
    </row>
    <row r="140" spans="1:20" ht="25.5">
      <c r="A140" s="33" t="s">
        <v>535</v>
      </c>
      <c r="B140" s="45">
        <v>44699</v>
      </c>
      <c r="C140" s="33" t="s">
        <v>31</v>
      </c>
      <c r="D140" s="33" t="s">
        <v>64</v>
      </c>
      <c r="E140" s="33" t="s">
        <v>65</v>
      </c>
      <c r="F140" s="33" t="s">
        <v>66</v>
      </c>
      <c r="G140" s="33" t="str">
        <f t="shared" si="7"/>
        <v>San Francisco → Minneapolis</v>
      </c>
      <c r="H140" s="33" t="s">
        <v>67</v>
      </c>
      <c r="I140" s="33" t="s">
        <v>453</v>
      </c>
      <c r="J140" s="33" t="s">
        <v>537</v>
      </c>
      <c r="K140" s="33">
        <v>399</v>
      </c>
      <c r="L140" s="33">
        <v>928</v>
      </c>
      <c r="M140" s="33">
        <v>840.55</v>
      </c>
      <c r="N140" s="33" t="s">
        <v>44</v>
      </c>
      <c r="O140" s="33">
        <v>195</v>
      </c>
      <c r="P140" s="33">
        <v>163</v>
      </c>
      <c r="Q140" s="46">
        <f t="shared" si="8"/>
        <v>83.589743589743605</v>
      </c>
      <c r="R140" s="33" t="s">
        <v>70</v>
      </c>
      <c r="S140" s="47" t="str">
        <f t="shared" si="6"/>
        <v>2022-05</v>
      </c>
      <c r="T140" s="33">
        <v>161</v>
      </c>
    </row>
    <row r="141" spans="1:20" ht="25.5">
      <c r="A141" s="37" t="s">
        <v>538</v>
      </c>
      <c r="B141" s="48">
        <v>44843</v>
      </c>
      <c r="C141" s="33" t="s">
        <v>47</v>
      </c>
      <c r="D141" s="37" t="s">
        <v>66</v>
      </c>
      <c r="E141" s="37" t="s">
        <v>67</v>
      </c>
      <c r="F141" s="37" t="s">
        <v>156</v>
      </c>
      <c r="G141" s="33" t="str">
        <f t="shared" si="7"/>
        <v>Minneapolis → Phoenix</v>
      </c>
      <c r="H141" s="37" t="s">
        <v>157</v>
      </c>
      <c r="I141" s="37" t="s">
        <v>393</v>
      </c>
      <c r="J141" s="37" t="s">
        <v>539</v>
      </c>
      <c r="K141" s="37">
        <v>217</v>
      </c>
      <c r="L141" s="37">
        <v>764</v>
      </c>
      <c r="M141" s="37">
        <v>109.02</v>
      </c>
      <c r="N141" s="37" t="s">
        <v>60</v>
      </c>
      <c r="O141" s="37">
        <v>227</v>
      </c>
      <c r="P141" s="37">
        <v>182</v>
      </c>
      <c r="Q141" s="46">
        <f t="shared" si="8"/>
        <v>80.1762114537445</v>
      </c>
      <c r="R141" s="37" t="s">
        <v>28</v>
      </c>
      <c r="S141" s="49" t="str">
        <f t="shared" si="6"/>
        <v>2022-10</v>
      </c>
      <c r="T141" s="37">
        <v>0</v>
      </c>
    </row>
    <row r="142" spans="1:20">
      <c r="A142" s="33" t="s">
        <v>540</v>
      </c>
      <c r="B142" s="45">
        <v>44803</v>
      </c>
      <c r="C142" s="33" t="s">
        <v>1462</v>
      </c>
      <c r="D142" s="33" t="s">
        <v>21</v>
      </c>
      <c r="E142" s="33" t="s">
        <v>22</v>
      </c>
      <c r="F142" s="33" t="s">
        <v>79</v>
      </c>
      <c r="G142" s="33" t="str">
        <f t="shared" si="7"/>
        <v>Boston → Newark</v>
      </c>
      <c r="H142" s="33" t="s">
        <v>80</v>
      </c>
      <c r="I142" s="33" t="s">
        <v>68</v>
      </c>
      <c r="J142" s="33" t="s">
        <v>542</v>
      </c>
      <c r="K142" s="33">
        <v>445</v>
      </c>
      <c r="L142" s="33">
        <v>2311</v>
      </c>
      <c r="M142" s="33">
        <v>304.2</v>
      </c>
      <c r="N142" s="33" t="s">
        <v>60</v>
      </c>
      <c r="O142" s="33">
        <v>318</v>
      </c>
      <c r="P142" s="33">
        <v>87</v>
      </c>
      <c r="Q142" s="46">
        <f t="shared" si="8"/>
        <v>27.358490566037698</v>
      </c>
      <c r="R142" s="33" t="s">
        <v>28</v>
      </c>
      <c r="S142" s="47" t="str">
        <f t="shared" si="6"/>
        <v>2022-08</v>
      </c>
      <c r="T142" s="33">
        <v>0</v>
      </c>
    </row>
    <row r="143" spans="1:20" ht="25.5">
      <c r="A143" s="37" t="s">
        <v>543</v>
      </c>
      <c r="B143" s="48">
        <v>45473</v>
      </c>
      <c r="C143" s="33" t="s">
        <v>94</v>
      </c>
      <c r="D143" s="37" t="s">
        <v>156</v>
      </c>
      <c r="E143" s="37" t="s">
        <v>157</v>
      </c>
      <c r="F143" s="37" t="s">
        <v>66</v>
      </c>
      <c r="G143" s="33" t="str">
        <f t="shared" si="7"/>
        <v>Phoenix → Minneapolis</v>
      </c>
      <c r="H143" s="37" t="s">
        <v>67</v>
      </c>
      <c r="I143" s="37" t="s">
        <v>545</v>
      </c>
      <c r="J143" s="37" t="s">
        <v>546</v>
      </c>
      <c r="K143" s="37">
        <v>371</v>
      </c>
      <c r="L143" s="37">
        <v>2520</v>
      </c>
      <c r="M143" s="37">
        <v>607.15771802325605</v>
      </c>
      <c r="N143" s="37" t="s">
        <v>44</v>
      </c>
      <c r="O143" s="37">
        <v>317</v>
      </c>
      <c r="P143" s="37">
        <v>130</v>
      </c>
      <c r="Q143" s="46">
        <f t="shared" si="8"/>
        <v>41.009463722397498</v>
      </c>
      <c r="R143" s="37" t="s">
        <v>70</v>
      </c>
      <c r="S143" s="49" t="str">
        <f t="shared" si="6"/>
        <v>2024-06</v>
      </c>
      <c r="T143" s="37">
        <v>178</v>
      </c>
    </row>
    <row r="144" spans="1:20">
      <c r="A144" s="33" t="s">
        <v>547</v>
      </c>
      <c r="B144" s="45">
        <v>44918</v>
      </c>
      <c r="C144" s="33" t="s">
        <v>47</v>
      </c>
      <c r="D144" s="33" t="s">
        <v>116</v>
      </c>
      <c r="E144" s="33" t="s">
        <v>117</v>
      </c>
      <c r="F144" s="33" t="s">
        <v>23</v>
      </c>
      <c r="G144" s="33" t="str">
        <f t="shared" si="7"/>
        <v>Houston → Denver</v>
      </c>
      <c r="H144" s="33" t="s">
        <v>24</v>
      </c>
      <c r="I144" s="33" t="s">
        <v>118</v>
      </c>
      <c r="J144" s="33" t="s">
        <v>549</v>
      </c>
      <c r="K144" s="33">
        <v>161</v>
      </c>
      <c r="L144" s="33">
        <v>1269</v>
      </c>
      <c r="M144" s="33">
        <v>965.22</v>
      </c>
      <c r="N144" s="33" t="s">
        <v>60</v>
      </c>
      <c r="O144" s="33">
        <v>192</v>
      </c>
      <c r="P144" s="33">
        <v>191</v>
      </c>
      <c r="Q144" s="46">
        <f t="shared" si="8"/>
        <v>99.4791666666667</v>
      </c>
      <c r="R144" s="33" t="s">
        <v>28</v>
      </c>
      <c r="S144" s="47" t="str">
        <f t="shared" si="6"/>
        <v>2022-12</v>
      </c>
      <c r="T144" s="33">
        <v>0</v>
      </c>
    </row>
    <row r="145" spans="1:20">
      <c r="A145" s="37" t="s">
        <v>550</v>
      </c>
      <c r="B145" s="48">
        <v>45519</v>
      </c>
      <c r="C145" s="33" t="s">
        <v>63</v>
      </c>
      <c r="D145" s="37" t="s">
        <v>48</v>
      </c>
      <c r="E145" s="37" t="s">
        <v>49</v>
      </c>
      <c r="F145" s="37" t="s">
        <v>54</v>
      </c>
      <c r="G145" s="33" t="str">
        <f t="shared" si="7"/>
        <v>San Diego → Chicago</v>
      </c>
      <c r="H145" s="37" t="s">
        <v>55</v>
      </c>
      <c r="I145" s="37" t="s">
        <v>230</v>
      </c>
      <c r="J145" s="37" t="s">
        <v>552</v>
      </c>
      <c r="K145" s="37">
        <v>293</v>
      </c>
      <c r="L145" s="37">
        <v>2260</v>
      </c>
      <c r="M145" s="37">
        <v>668.78</v>
      </c>
      <c r="N145" s="37" t="s">
        <v>44</v>
      </c>
      <c r="O145" s="37">
        <v>310</v>
      </c>
      <c r="P145" s="37">
        <v>87</v>
      </c>
      <c r="Q145" s="46">
        <f t="shared" si="8"/>
        <v>28.064516129032299</v>
      </c>
      <c r="R145" s="37" t="s">
        <v>28</v>
      </c>
      <c r="S145" s="49" t="str">
        <f t="shared" si="6"/>
        <v>2024-08</v>
      </c>
      <c r="T145" s="37">
        <v>0</v>
      </c>
    </row>
    <row r="146" spans="1:20">
      <c r="A146" s="33" t="s">
        <v>553</v>
      </c>
      <c r="B146" s="45">
        <v>45211</v>
      </c>
      <c r="C146" s="33" t="s">
        <v>94</v>
      </c>
      <c r="D146" s="33" t="s">
        <v>40</v>
      </c>
      <c r="E146" s="33" t="s">
        <v>41</v>
      </c>
      <c r="F146" s="33" t="s">
        <v>79</v>
      </c>
      <c r="G146" s="33" t="str">
        <f t="shared" si="7"/>
        <v>Charlotte → Newark</v>
      </c>
      <c r="H146" s="33" t="s">
        <v>80</v>
      </c>
      <c r="I146" s="33" t="s">
        <v>216</v>
      </c>
      <c r="J146" s="33" t="s">
        <v>554</v>
      </c>
      <c r="K146" s="33">
        <v>155</v>
      </c>
      <c r="L146" s="33">
        <v>2558</v>
      </c>
      <c r="M146" s="33">
        <v>796.57</v>
      </c>
      <c r="N146" s="33" t="s">
        <v>60</v>
      </c>
      <c r="O146" s="33">
        <v>296</v>
      </c>
      <c r="P146" s="33">
        <v>83</v>
      </c>
      <c r="Q146" s="46">
        <f t="shared" si="8"/>
        <v>28.040540540540501</v>
      </c>
      <c r="R146" s="33" t="s">
        <v>28</v>
      </c>
      <c r="S146" s="47" t="str">
        <f t="shared" si="6"/>
        <v>2023-10</v>
      </c>
      <c r="T146" s="33">
        <v>0</v>
      </c>
    </row>
    <row r="147" spans="1:20">
      <c r="A147" s="37" t="s">
        <v>555</v>
      </c>
      <c r="B147" s="48">
        <v>44675</v>
      </c>
      <c r="C147" s="33" t="s">
        <v>94</v>
      </c>
      <c r="D147" s="37" t="s">
        <v>116</v>
      </c>
      <c r="E147" s="37" t="s">
        <v>117</v>
      </c>
      <c r="F147" s="37" t="s">
        <v>101</v>
      </c>
      <c r="G147" s="33" t="str">
        <f t="shared" si="7"/>
        <v>Houston → Dallas</v>
      </c>
      <c r="H147" s="37" t="s">
        <v>102</v>
      </c>
      <c r="I147" s="37" t="s">
        <v>143</v>
      </c>
      <c r="J147" s="37" t="s">
        <v>557</v>
      </c>
      <c r="K147" s="37">
        <v>172</v>
      </c>
      <c r="L147" s="37">
        <v>1621</v>
      </c>
      <c r="M147" s="37">
        <v>1126.9100000000001</v>
      </c>
      <c r="N147" s="37" t="s">
        <v>60</v>
      </c>
      <c r="O147" s="37">
        <v>188</v>
      </c>
      <c r="P147" s="37">
        <v>182</v>
      </c>
      <c r="Q147" s="46">
        <f t="shared" si="8"/>
        <v>96.808510638297903</v>
      </c>
      <c r="R147" s="37" t="s">
        <v>70</v>
      </c>
      <c r="S147" s="49" t="str">
        <f t="shared" si="6"/>
        <v>2022-04</v>
      </c>
      <c r="T147" s="37">
        <v>35</v>
      </c>
    </row>
    <row r="148" spans="1:20">
      <c r="A148" s="33" t="s">
        <v>558</v>
      </c>
      <c r="B148" s="45">
        <v>45075</v>
      </c>
      <c r="C148" s="33" t="s">
        <v>31</v>
      </c>
      <c r="D148" s="33" t="s">
        <v>32</v>
      </c>
      <c r="E148" s="33" t="s">
        <v>33</v>
      </c>
      <c r="F148" s="33" t="s">
        <v>21</v>
      </c>
      <c r="G148" s="33" t="str">
        <f t="shared" si="7"/>
        <v>Orlando → Boston</v>
      </c>
      <c r="H148" s="33" t="s">
        <v>22</v>
      </c>
      <c r="I148" s="33" t="s">
        <v>560</v>
      </c>
      <c r="J148" s="33" t="s">
        <v>144</v>
      </c>
      <c r="K148" s="33">
        <v>404</v>
      </c>
      <c r="L148" s="33">
        <v>2485</v>
      </c>
      <c r="M148" s="33">
        <v>184.64</v>
      </c>
      <c r="N148" s="33" t="s">
        <v>27</v>
      </c>
      <c r="O148" s="33">
        <v>143</v>
      </c>
      <c r="P148" s="33">
        <v>125</v>
      </c>
      <c r="Q148" s="46">
        <f t="shared" si="8"/>
        <v>87.412587412587399</v>
      </c>
      <c r="R148" s="33" t="s">
        <v>149</v>
      </c>
      <c r="S148" s="47" t="str">
        <f t="shared" si="6"/>
        <v>2023-05</v>
      </c>
      <c r="T148" s="33">
        <v>0</v>
      </c>
    </row>
    <row r="149" spans="1:20">
      <c r="A149" s="37" t="s">
        <v>561</v>
      </c>
      <c r="B149" s="48">
        <v>44877</v>
      </c>
      <c r="C149" s="33" t="s">
        <v>63</v>
      </c>
      <c r="D149" s="37" t="s">
        <v>48</v>
      </c>
      <c r="E149" s="37" t="s">
        <v>49</v>
      </c>
      <c r="F149" s="37" t="s">
        <v>156</v>
      </c>
      <c r="G149" s="33" t="str">
        <f t="shared" si="7"/>
        <v>San Diego → Phoenix</v>
      </c>
      <c r="H149" s="37" t="s">
        <v>157</v>
      </c>
      <c r="I149" s="37" t="s">
        <v>244</v>
      </c>
      <c r="J149" s="37" t="s">
        <v>563</v>
      </c>
      <c r="K149" s="37">
        <v>104</v>
      </c>
      <c r="L149" s="37">
        <v>632</v>
      </c>
      <c r="M149" s="37">
        <v>130.91999999999999</v>
      </c>
      <c r="N149" s="37" t="s">
        <v>27</v>
      </c>
      <c r="O149" s="37">
        <v>297</v>
      </c>
      <c r="P149" s="37">
        <v>197</v>
      </c>
      <c r="Q149" s="46">
        <f t="shared" si="8"/>
        <v>66.329966329966297</v>
      </c>
      <c r="R149" s="37" t="s">
        <v>28</v>
      </c>
      <c r="S149" s="49" t="str">
        <f t="shared" si="6"/>
        <v>2022-11</v>
      </c>
      <c r="T149" s="37">
        <v>0</v>
      </c>
    </row>
    <row r="150" spans="1:20" ht="25.5">
      <c r="A150" s="33" t="s">
        <v>564</v>
      </c>
      <c r="B150" s="45">
        <v>44993</v>
      </c>
      <c r="C150" s="33" t="s">
        <v>73</v>
      </c>
      <c r="D150" s="33" t="s">
        <v>48</v>
      </c>
      <c r="E150" s="33" t="s">
        <v>49</v>
      </c>
      <c r="F150" s="33" t="s">
        <v>174</v>
      </c>
      <c r="G150" s="33" t="str">
        <f t="shared" si="7"/>
        <v>San Diego → New York</v>
      </c>
      <c r="H150" s="33" t="s">
        <v>175</v>
      </c>
      <c r="I150" s="33" t="s">
        <v>334</v>
      </c>
      <c r="J150" s="33" t="s">
        <v>566</v>
      </c>
      <c r="K150" s="33">
        <v>418</v>
      </c>
      <c r="L150" s="33">
        <v>1537</v>
      </c>
      <c r="M150" s="33">
        <v>620.9</v>
      </c>
      <c r="N150" t="s">
        <v>1463</v>
      </c>
      <c r="O150" s="33">
        <v>203</v>
      </c>
      <c r="P150" s="33">
        <v>126</v>
      </c>
      <c r="Q150" s="46">
        <f t="shared" si="8"/>
        <v>62.068965517241402</v>
      </c>
      <c r="R150" s="33" t="s">
        <v>28</v>
      </c>
      <c r="S150" s="47" t="str">
        <f t="shared" si="6"/>
        <v>2023-03</v>
      </c>
      <c r="T150" s="33">
        <v>0</v>
      </c>
    </row>
    <row r="151" spans="1:20">
      <c r="A151" s="37" t="s">
        <v>567</v>
      </c>
      <c r="B151" s="48">
        <v>44684</v>
      </c>
      <c r="C151" s="33" t="s">
        <v>63</v>
      </c>
      <c r="D151" s="37" t="s">
        <v>40</v>
      </c>
      <c r="E151" s="37" t="s">
        <v>41</v>
      </c>
      <c r="F151" s="37" t="s">
        <v>129</v>
      </c>
      <c r="G151" s="33" t="str">
        <f t="shared" si="7"/>
        <v>Charlotte → Detroit</v>
      </c>
      <c r="H151" s="37" t="s">
        <v>130</v>
      </c>
      <c r="I151" s="37" t="s">
        <v>389</v>
      </c>
      <c r="J151" s="37" t="s">
        <v>568</v>
      </c>
      <c r="K151" s="37">
        <v>194</v>
      </c>
      <c r="L151" s="37">
        <v>1693</v>
      </c>
      <c r="M151" s="37">
        <v>759.46</v>
      </c>
      <c r="N151" s="37" t="s">
        <v>44</v>
      </c>
      <c r="O151" s="37">
        <v>320</v>
      </c>
      <c r="P151" s="37">
        <v>213</v>
      </c>
      <c r="Q151" s="46">
        <f t="shared" si="8"/>
        <v>66.5625</v>
      </c>
      <c r="R151" s="37" t="s">
        <v>70</v>
      </c>
      <c r="S151" s="49" t="str">
        <f t="shared" si="6"/>
        <v>2022-05</v>
      </c>
      <c r="T151" s="37">
        <v>103</v>
      </c>
    </row>
    <row r="152" spans="1:20" ht="25.5">
      <c r="A152" s="33" t="s">
        <v>569</v>
      </c>
      <c r="B152" s="45">
        <v>45378</v>
      </c>
      <c r="C152" s="33" t="s">
        <v>63</v>
      </c>
      <c r="D152" s="33" t="s">
        <v>64</v>
      </c>
      <c r="E152" s="33" t="s">
        <v>65</v>
      </c>
      <c r="F152" s="33" t="s">
        <v>32</v>
      </c>
      <c r="G152" s="33" t="str">
        <f t="shared" si="7"/>
        <v>San Francisco → Orlando</v>
      </c>
      <c r="H152" s="33" t="s">
        <v>33</v>
      </c>
      <c r="I152" s="33" t="s">
        <v>571</v>
      </c>
      <c r="J152" s="33" t="s">
        <v>572</v>
      </c>
      <c r="K152" s="33">
        <v>253</v>
      </c>
      <c r="L152" s="33">
        <v>1290</v>
      </c>
      <c r="M152" s="33">
        <v>607.15771802325605</v>
      </c>
      <c r="N152" s="33" t="s">
        <v>44</v>
      </c>
      <c r="O152" s="33">
        <v>215</v>
      </c>
      <c r="P152" s="33">
        <v>113</v>
      </c>
      <c r="Q152" s="46">
        <f t="shared" si="8"/>
        <v>52.558139534883701</v>
      </c>
      <c r="R152" s="33" t="s">
        <v>28</v>
      </c>
      <c r="S152" s="47" t="str">
        <f t="shared" si="6"/>
        <v>2024-03</v>
      </c>
      <c r="T152" s="33">
        <v>0</v>
      </c>
    </row>
    <row r="153" spans="1:20" ht="25.5">
      <c r="A153" s="37" t="s">
        <v>574</v>
      </c>
      <c r="B153" s="48">
        <v>44665</v>
      </c>
      <c r="C153" s="33" t="s">
        <v>1462</v>
      </c>
      <c r="D153" s="37" t="s">
        <v>66</v>
      </c>
      <c r="E153" s="37" t="s">
        <v>67</v>
      </c>
      <c r="F153" s="37" t="s">
        <v>40</v>
      </c>
      <c r="G153" s="33" t="str">
        <f t="shared" si="7"/>
        <v>Minneapolis → Charlotte</v>
      </c>
      <c r="H153" s="37" t="s">
        <v>41</v>
      </c>
      <c r="I153" s="37" t="s">
        <v>25</v>
      </c>
      <c r="J153" s="37" t="s">
        <v>576</v>
      </c>
      <c r="K153" s="37">
        <v>257</v>
      </c>
      <c r="L153" s="37">
        <v>2666</v>
      </c>
      <c r="M153" s="37">
        <v>887.66</v>
      </c>
      <c r="N153" s="37" t="s">
        <v>60</v>
      </c>
      <c r="O153" s="37">
        <v>295</v>
      </c>
      <c r="P153" s="37">
        <v>90</v>
      </c>
      <c r="Q153" s="46">
        <f t="shared" si="8"/>
        <v>30.508474576271201</v>
      </c>
      <c r="R153" s="37" t="s">
        <v>28</v>
      </c>
      <c r="S153" s="49" t="str">
        <f t="shared" si="6"/>
        <v>2022-04</v>
      </c>
      <c r="T153" s="37">
        <v>0</v>
      </c>
    </row>
    <row r="154" spans="1:20">
      <c r="A154" s="33" t="s">
        <v>577</v>
      </c>
      <c r="B154" s="45">
        <v>45616</v>
      </c>
      <c r="C154" s="33" t="s">
        <v>115</v>
      </c>
      <c r="D154" s="33" t="s">
        <v>79</v>
      </c>
      <c r="E154" s="33" t="s">
        <v>80</v>
      </c>
      <c r="F154" s="33" t="s">
        <v>95</v>
      </c>
      <c r="G154" s="33" t="str">
        <f t="shared" si="7"/>
        <v>Newark → Las Vegas</v>
      </c>
      <c r="H154" s="33" t="s">
        <v>96</v>
      </c>
      <c r="I154" s="33" t="s">
        <v>240</v>
      </c>
      <c r="J154" s="33" t="s">
        <v>579</v>
      </c>
      <c r="K154" s="33">
        <v>136</v>
      </c>
      <c r="L154" s="33">
        <v>1910</v>
      </c>
      <c r="M154" s="33">
        <v>646.1</v>
      </c>
      <c r="N154" s="33" t="s">
        <v>60</v>
      </c>
      <c r="O154" s="33">
        <v>155</v>
      </c>
      <c r="P154" s="33">
        <v>124</v>
      </c>
      <c r="Q154" s="46">
        <f t="shared" si="8"/>
        <v>80</v>
      </c>
      <c r="R154" s="33" t="s">
        <v>28</v>
      </c>
      <c r="S154" s="47" t="str">
        <f t="shared" si="6"/>
        <v>2024-11</v>
      </c>
      <c r="T154" s="33">
        <v>0</v>
      </c>
    </row>
    <row r="155" spans="1:20">
      <c r="A155" s="37" t="s">
        <v>580</v>
      </c>
      <c r="B155" s="48">
        <v>44665</v>
      </c>
      <c r="C155" s="33" t="s">
        <v>1462</v>
      </c>
      <c r="D155" s="37" t="s">
        <v>79</v>
      </c>
      <c r="E155" s="37" t="s">
        <v>80</v>
      </c>
      <c r="F155" s="37" t="s">
        <v>116</v>
      </c>
      <c r="G155" s="33" t="str">
        <f t="shared" si="7"/>
        <v>Newark → Houston</v>
      </c>
      <c r="H155" s="37" t="s">
        <v>117</v>
      </c>
      <c r="I155" s="37" t="s">
        <v>296</v>
      </c>
      <c r="J155" s="37" t="s">
        <v>581</v>
      </c>
      <c r="K155" s="37">
        <v>145</v>
      </c>
      <c r="L155" s="37">
        <v>2065</v>
      </c>
      <c r="M155" s="37">
        <v>230.01</v>
      </c>
      <c r="N155" s="37" t="s">
        <v>44</v>
      </c>
      <c r="O155" s="37">
        <v>286</v>
      </c>
      <c r="P155" s="37">
        <v>143</v>
      </c>
      <c r="Q155" s="46">
        <f t="shared" si="8"/>
        <v>50</v>
      </c>
      <c r="R155" s="37" t="s">
        <v>70</v>
      </c>
      <c r="S155" s="49" t="str">
        <f t="shared" si="6"/>
        <v>2022-04</v>
      </c>
      <c r="T155" s="37">
        <v>108</v>
      </c>
    </row>
    <row r="156" spans="1:20" ht="25.5">
      <c r="A156" s="33" t="s">
        <v>582</v>
      </c>
      <c r="B156" s="45">
        <v>44654</v>
      </c>
      <c r="C156" s="33" t="s">
        <v>73</v>
      </c>
      <c r="D156" s="33" t="s">
        <v>56</v>
      </c>
      <c r="E156" s="33" t="s">
        <v>57</v>
      </c>
      <c r="F156" s="33" t="s">
        <v>48</v>
      </c>
      <c r="G156" s="33" t="str">
        <f t="shared" si="7"/>
        <v>Los Angeles → San Diego</v>
      </c>
      <c r="H156" s="33" t="s">
        <v>49</v>
      </c>
      <c r="I156" s="33" t="s">
        <v>202</v>
      </c>
      <c r="J156" s="33" t="s">
        <v>584</v>
      </c>
      <c r="K156" s="33">
        <v>275</v>
      </c>
      <c r="L156" s="33">
        <v>2566</v>
      </c>
      <c r="M156" s="33">
        <v>403.23</v>
      </c>
      <c r="N156" s="33" t="s">
        <v>44</v>
      </c>
      <c r="O156" s="33">
        <v>229</v>
      </c>
      <c r="P156" s="33">
        <v>165</v>
      </c>
      <c r="Q156" s="46">
        <f t="shared" si="8"/>
        <v>72.052401746724897</v>
      </c>
      <c r="R156" s="33" t="s">
        <v>70</v>
      </c>
      <c r="S156" s="47" t="str">
        <f t="shared" si="6"/>
        <v>2022-04</v>
      </c>
      <c r="T156" s="33">
        <v>0</v>
      </c>
    </row>
    <row r="157" spans="1:20">
      <c r="A157" s="37" t="s">
        <v>585</v>
      </c>
      <c r="B157" s="48">
        <v>44805</v>
      </c>
      <c r="C157" s="33" t="s">
        <v>63</v>
      </c>
      <c r="D157" s="37" t="s">
        <v>197</v>
      </c>
      <c r="E157" s="37" t="s">
        <v>198</v>
      </c>
      <c r="F157" s="37" t="s">
        <v>129</v>
      </c>
      <c r="G157" s="33" t="str">
        <f t="shared" si="7"/>
        <v>Atlanta → Detroit</v>
      </c>
      <c r="H157" s="37" t="s">
        <v>130</v>
      </c>
      <c r="I157" s="37" t="s">
        <v>162</v>
      </c>
      <c r="J157" s="37" t="s">
        <v>476</v>
      </c>
      <c r="K157" s="37">
        <v>375</v>
      </c>
      <c r="L157" s="37">
        <v>1797</v>
      </c>
      <c r="M157" s="37">
        <v>527.08500000000004</v>
      </c>
      <c r="N157" s="37" t="s">
        <v>60</v>
      </c>
      <c r="O157" s="37">
        <v>254</v>
      </c>
      <c r="P157" s="37">
        <v>180</v>
      </c>
      <c r="Q157" s="46">
        <f t="shared" si="8"/>
        <v>70.866141732283495</v>
      </c>
      <c r="R157" s="37" t="s">
        <v>28</v>
      </c>
      <c r="S157" s="49" t="str">
        <f t="shared" si="6"/>
        <v>2022-09</v>
      </c>
      <c r="T157" s="37">
        <v>0</v>
      </c>
    </row>
    <row r="158" spans="1:20">
      <c r="A158" s="33" t="s">
        <v>587</v>
      </c>
      <c r="B158" s="45">
        <v>44644</v>
      </c>
      <c r="C158" s="33" t="s">
        <v>20</v>
      </c>
      <c r="D158" s="33" t="s">
        <v>56</v>
      </c>
      <c r="E158" s="33" t="s">
        <v>57</v>
      </c>
      <c r="F158" s="33" t="s">
        <v>38</v>
      </c>
      <c r="G158" s="33" t="str">
        <f t="shared" si="7"/>
        <v>Los Angeles → Miami</v>
      </c>
      <c r="H158" s="33" t="s">
        <v>39</v>
      </c>
      <c r="I158" s="33" t="s">
        <v>307</v>
      </c>
      <c r="J158" s="33" t="s">
        <v>588</v>
      </c>
      <c r="K158" s="33">
        <v>332</v>
      </c>
      <c r="L158" s="33">
        <v>2427</v>
      </c>
      <c r="M158" s="33">
        <v>591.83000000000004</v>
      </c>
      <c r="N158" s="33" t="s">
        <v>27</v>
      </c>
      <c r="O158" s="33">
        <v>328</v>
      </c>
      <c r="P158" s="33">
        <v>313</v>
      </c>
      <c r="Q158" s="46">
        <f t="shared" si="8"/>
        <v>95.426829268292707</v>
      </c>
      <c r="R158" s="33" t="s">
        <v>28</v>
      </c>
      <c r="S158" s="47" t="str">
        <f t="shared" si="6"/>
        <v>2022-03</v>
      </c>
      <c r="T158" s="33">
        <v>0</v>
      </c>
    </row>
    <row r="159" spans="1:20" ht="25.5">
      <c r="A159" s="37" t="s">
        <v>589</v>
      </c>
      <c r="B159" s="48">
        <v>45214</v>
      </c>
      <c r="C159" s="33" t="s">
        <v>63</v>
      </c>
      <c r="D159" s="37" t="s">
        <v>66</v>
      </c>
      <c r="E159" s="37" t="s">
        <v>67</v>
      </c>
      <c r="F159" s="37" t="s">
        <v>95</v>
      </c>
      <c r="G159" s="33" t="str">
        <f t="shared" si="7"/>
        <v>Minneapolis → Las Vegas</v>
      </c>
      <c r="H159" s="37" t="s">
        <v>96</v>
      </c>
      <c r="I159" s="37" t="s">
        <v>591</v>
      </c>
      <c r="J159" s="37" t="s">
        <v>592</v>
      </c>
      <c r="K159" s="37">
        <v>349</v>
      </c>
      <c r="L159" s="37">
        <v>2387</v>
      </c>
      <c r="M159" s="37">
        <v>676.22</v>
      </c>
      <c r="N159" s="37" t="s">
        <v>27</v>
      </c>
      <c r="O159" s="37">
        <v>244</v>
      </c>
      <c r="P159" s="37">
        <v>126</v>
      </c>
      <c r="Q159" s="46">
        <f t="shared" si="8"/>
        <v>51.639344262295097</v>
      </c>
      <c r="R159" s="37" t="s">
        <v>28</v>
      </c>
      <c r="S159" s="49" t="str">
        <f t="shared" si="6"/>
        <v>2023-10</v>
      </c>
      <c r="T159" s="37">
        <v>0</v>
      </c>
    </row>
    <row r="160" spans="1:20">
      <c r="A160" s="33" t="s">
        <v>593</v>
      </c>
      <c r="B160" s="45">
        <v>44596</v>
      </c>
      <c r="C160" s="33" t="s">
        <v>47</v>
      </c>
      <c r="D160" s="33" t="s">
        <v>156</v>
      </c>
      <c r="E160" s="33" t="s">
        <v>157</v>
      </c>
      <c r="F160" s="33" t="s">
        <v>197</v>
      </c>
      <c r="G160" s="33" t="str">
        <f t="shared" si="7"/>
        <v>Phoenix → Atlanta</v>
      </c>
      <c r="H160" s="33" t="s">
        <v>198</v>
      </c>
      <c r="I160" s="33" t="s">
        <v>152</v>
      </c>
      <c r="J160" s="33" t="s">
        <v>595</v>
      </c>
      <c r="K160" s="33">
        <v>461</v>
      </c>
      <c r="L160" s="33">
        <v>2877</v>
      </c>
      <c r="M160" s="33">
        <v>109.84</v>
      </c>
      <c r="N160" s="33" t="s">
        <v>44</v>
      </c>
      <c r="O160" s="33">
        <v>167</v>
      </c>
      <c r="P160" s="33">
        <v>133</v>
      </c>
      <c r="Q160" s="46">
        <f t="shared" si="8"/>
        <v>79.640718562874198</v>
      </c>
      <c r="R160" s="33" t="s">
        <v>70</v>
      </c>
      <c r="S160" s="47" t="str">
        <f t="shared" si="6"/>
        <v>2022-02</v>
      </c>
      <c r="T160" s="33">
        <v>163</v>
      </c>
    </row>
    <row r="161" spans="1:20">
      <c r="A161" s="37" t="s">
        <v>596</v>
      </c>
      <c r="B161" s="48">
        <v>45028</v>
      </c>
      <c r="C161" s="33" t="s">
        <v>20</v>
      </c>
      <c r="D161" s="37" t="s">
        <v>54</v>
      </c>
      <c r="E161" s="37" t="s">
        <v>74</v>
      </c>
      <c r="F161" s="37" t="s">
        <v>79</v>
      </c>
      <c r="G161" s="33" t="str">
        <f t="shared" si="7"/>
        <v>Chicago → Newark</v>
      </c>
      <c r="H161" s="37" t="s">
        <v>80</v>
      </c>
      <c r="I161" s="37" t="s">
        <v>97</v>
      </c>
      <c r="J161" s="37" t="s">
        <v>287</v>
      </c>
      <c r="K161" s="37">
        <v>165</v>
      </c>
      <c r="L161" s="37">
        <v>1292</v>
      </c>
      <c r="M161" s="37">
        <v>115.36</v>
      </c>
      <c r="N161" s="37" t="s">
        <v>27</v>
      </c>
      <c r="O161" s="37">
        <v>128</v>
      </c>
      <c r="P161" s="37">
        <v>74</v>
      </c>
      <c r="Q161" s="46">
        <f t="shared" si="8"/>
        <v>57.8125</v>
      </c>
      <c r="R161" s="37" t="s">
        <v>28</v>
      </c>
      <c r="S161" s="49" t="str">
        <f t="shared" si="6"/>
        <v>2023-04</v>
      </c>
      <c r="T161" s="37">
        <v>0</v>
      </c>
    </row>
    <row r="162" spans="1:20">
      <c r="A162" s="33" t="s">
        <v>598</v>
      </c>
      <c r="B162" s="45">
        <v>45204</v>
      </c>
      <c r="C162" s="33" t="s">
        <v>73</v>
      </c>
      <c r="D162" s="33" t="s">
        <v>101</v>
      </c>
      <c r="E162" s="33" t="s">
        <v>102</v>
      </c>
      <c r="F162" s="33" t="s">
        <v>40</v>
      </c>
      <c r="G162" s="33" t="str">
        <f t="shared" si="7"/>
        <v>Dallas → Charlotte</v>
      </c>
      <c r="H162" s="33" t="s">
        <v>41</v>
      </c>
      <c r="I162" s="33" t="s">
        <v>600</v>
      </c>
      <c r="J162" s="33" t="s">
        <v>118</v>
      </c>
      <c r="K162" s="33">
        <v>300</v>
      </c>
      <c r="L162" s="33">
        <v>2355</v>
      </c>
      <c r="M162" s="33">
        <v>947.97</v>
      </c>
      <c r="N162" s="33" t="s">
        <v>44</v>
      </c>
      <c r="O162" s="33">
        <v>323</v>
      </c>
      <c r="P162" s="33">
        <v>81</v>
      </c>
      <c r="Q162" s="46">
        <f t="shared" si="8"/>
        <v>25.077399380805002</v>
      </c>
      <c r="R162" s="33" t="s">
        <v>70</v>
      </c>
      <c r="S162" s="47" t="str">
        <f t="shared" si="6"/>
        <v>2023-10</v>
      </c>
      <c r="T162" s="33">
        <v>147</v>
      </c>
    </row>
    <row r="163" spans="1:20">
      <c r="A163" s="37" t="s">
        <v>601</v>
      </c>
      <c r="B163" s="48">
        <v>44986</v>
      </c>
      <c r="C163" s="33" t="s">
        <v>47</v>
      </c>
      <c r="D163" s="37" t="s">
        <v>79</v>
      </c>
      <c r="E163" s="37" t="s">
        <v>80</v>
      </c>
      <c r="F163" s="37" t="s">
        <v>32</v>
      </c>
      <c r="G163" s="33" t="str">
        <f t="shared" si="7"/>
        <v>Newark → Orlando</v>
      </c>
      <c r="H163" s="37" t="s">
        <v>33</v>
      </c>
      <c r="I163" s="37" t="s">
        <v>462</v>
      </c>
      <c r="J163" s="37" t="s">
        <v>603</v>
      </c>
      <c r="K163" s="37">
        <v>178</v>
      </c>
      <c r="L163" s="37">
        <v>2182</v>
      </c>
      <c r="M163" s="37">
        <v>1101.58</v>
      </c>
      <c r="N163" s="37" t="s">
        <v>44</v>
      </c>
      <c r="O163" s="37">
        <v>239</v>
      </c>
      <c r="P163" s="37">
        <v>140</v>
      </c>
      <c r="Q163" s="46">
        <f t="shared" si="8"/>
        <v>58.577405857740601</v>
      </c>
      <c r="R163" s="37" t="s">
        <v>70</v>
      </c>
      <c r="S163" s="49" t="str">
        <f t="shared" si="6"/>
        <v>2023-03</v>
      </c>
      <c r="T163" s="37">
        <v>179</v>
      </c>
    </row>
    <row r="164" spans="1:20">
      <c r="A164" s="33" t="s">
        <v>604</v>
      </c>
      <c r="B164" s="45">
        <v>45103</v>
      </c>
      <c r="C164" s="33" t="s">
        <v>115</v>
      </c>
      <c r="D164" s="33" t="s">
        <v>183</v>
      </c>
      <c r="E164" s="33" t="s">
        <v>184</v>
      </c>
      <c r="F164" s="33" t="s">
        <v>21</v>
      </c>
      <c r="G164" s="33" t="str">
        <f t="shared" si="7"/>
        <v>Seattle → Boston</v>
      </c>
      <c r="H164" s="33" t="s">
        <v>22</v>
      </c>
      <c r="I164" s="33" t="s">
        <v>287</v>
      </c>
      <c r="J164" s="33" t="s">
        <v>607</v>
      </c>
      <c r="K164" s="33">
        <v>205</v>
      </c>
      <c r="L164" s="33">
        <v>1519</v>
      </c>
      <c r="M164" s="33">
        <v>943.72</v>
      </c>
      <c r="N164" s="33" t="s">
        <v>27</v>
      </c>
      <c r="O164" s="33">
        <v>153</v>
      </c>
      <c r="P164" s="33">
        <v>138</v>
      </c>
      <c r="Q164" s="46">
        <f t="shared" si="8"/>
        <v>90.196078431372598</v>
      </c>
      <c r="R164" s="33" t="s">
        <v>70</v>
      </c>
      <c r="S164" s="47" t="str">
        <f t="shared" si="6"/>
        <v>2023-06</v>
      </c>
      <c r="T164" s="33">
        <v>96</v>
      </c>
    </row>
    <row r="165" spans="1:20">
      <c r="A165" s="37" t="s">
        <v>608</v>
      </c>
      <c r="B165" s="48">
        <v>45544</v>
      </c>
      <c r="C165" s="33" t="s">
        <v>47</v>
      </c>
      <c r="D165" s="37" t="s">
        <v>32</v>
      </c>
      <c r="E165" s="37" t="s">
        <v>33</v>
      </c>
      <c r="F165" s="37" t="s">
        <v>21</v>
      </c>
      <c r="G165" s="33" t="str">
        <f t="shared" si="7"/>
        <v>Orlando → Boston</v>
      </c>
      <c r="H165" s="37" t="s">
        <v>22</v>
      </c>
      <c r="I165" s="37" t="s">
        <v>296</v>
      </c>
      <c r="J165" s="37" t="s">
        <v>610</v>
      </c>
      <c r="K165" s="37">
        <v>383</v>
      </c>
      <c r="L165" s="37">
        <v>2524</v>
      </c>
      <c r="M165" s="37">
        <v>505.26</v>
      </c>
      <c r="N165" s="37" t="s">
        <v>44</v>
      </c>
      <c r="O165" s="37">
        <v>309</v>
      </c>
      <c r="P165" s="37">
        <v>226</v>
      </c>
      <c r="Q165" s="46">
        <f t="shared" si="8"/>
        <v>73.139158576051798</v>
      </c>
      <c r="R165" s="37" t="s">
        <v>149</v>
      </c>
      <c r="S165" s="49" t="str">
        <f t="shared" si="6"/>
        <v>2024-09</v>
      </c>
      <c r="T165" s="37">
        <v>0</v>
      </c>
    </row>
    <row r="166" spans="1:20" ht="25.5">
      <c r="A166" s="33" t="s">
        <v>611</v>
      </c>
      <c r="B166" s="45">
        <v>44861</v>
      </c>
      <c r="C166" s="33" t="s">
        <v>1462</v>
      </c>
      <c r="D166" s="33" t="s">
        <v>56</v>
      </c>
      <c r="E166" s="33" t="s">
        <v>57</v>
      </c>
      <c r="F166" s="33" t="s">
        <v>156</v>
      </c>
      <c r="G166" s="33" t="str">
        <f t="shared" si="7"/>
        <v>Los Angeles → Phoenix</v>
      </c>
      <c r="H166" s="33" t="s">
        <v>157</v>
      </c>
      <c r="I166" s="33" t="s">
        <v>545</v>
      </c>
      <c r="J166" s="33" t="s">
        <v>613</v>
      </c>
      <c r="K166" s="33">
        <v>267</v>
      </c>
      <c r="L166" s="33">
        <v>2111</v>
      </c>
      <c r="M166" s="33">
        <v>814.69</v>
      </c>
      <c r="N166" s="33" t="s">
        <v>27</v>
      </c>
      <c r="O166" s="33">
        <v>222</v>
      </c>
      <c r="P166" s="33">
        <v>104</v>
      </c>
      <c r="Q166" s="46">
        <f t="shared" si="8"/>
        <v>46.846846846846802</v>
      </c>
      <c r="R166" s="33" t="s">
        <v>28</v>
      </c>
      <c r="S166" s="47" t="str">
        <f t="shared" si="6"/>
        <v>2022-10</v>
      </c>
      <c r="T166" s="33">
        <v>0</v>
      </c>
    </row>
    <row r="167" spans="1:20">
      <c r="A167" s="37" t="s">
        <v>614</v>
      </c>
      <c r="B167" s="48">
        <v>45117</v>
      </c>
      <c r="C167" s="33" t="s">
        <v>1462</v>
      </c>
      <c r="D167" s="37" t="s">
        <v>101</v>
      </c>
      <c r="E167" s="37" t="s">
        <v>102</v>
      </c>
      <c r="F167" s="37" t="s">
        <v>197</v>
      </c>
      <c r="G167" s="33" t="str">
        <f t="shared" si="7"/>
        <v>Dallas → Atlanta</v>
      </c>
      <c r="H167" s="37" t="s">
        <v>198</v>
      </c>
      <c r="I167" s="37" t="s">
        <v>494</v>
      </c>
      <c r="J167" s="37" t="s">
        <v>616</v>
      </c>
      <c r="K167" s="37">
        <v>214</v>
      </c>
      <c r="L167" s="37">
        <v>507</v>
      </c>
      <c r="M167" s="37">
        <v>830.21</v>
      </c>
      <c r="N167" s="37" t="s">
        <v>27</v>
      </c>
      <c r="O167" s="37">
        <v>157</v>
      </c>
      <c r="P167" s="37">
        <v>131</v>
      </c>
      <c r="Q167" s="46">
        <f t="shared" si="8"/>
        <v>83.439490445859903</v>
      </c>
      <c r="R167" s="37" t="s">
        <v>28</v>
      </c>
      <c r="S167" s="49" t="str">
        <f t="shared" si="6"/>
        <v>2023-07</v>
      </c>
      <c r="T167" s="37">
        <v>0</v>
      </c>
    </row>
    <row r="168" spans="1:20">
      <c r="A168" s="33" t="s">
        <v>617</v>
      </c>
      <c r="B168" s="45">
        <v>44767</v>
      </c>
      <c r="C168" s="33" t="s">
        <v>73</v>
      </c>
      <c r="D168" s="33" t="s">
        <v>156</v>
      </c>
      <c r="E168" s="33" t="s">
        <v>157</v>
      </c>
      <c r="F168" s="33" t="s">
        <v>116</v>
      </c>
      <c r="G168" s="33" t="str">
        <f t="shared" si="7"/>
        <v>Phoenix → Houston</v>
      </c>
      <c r="H168" s="33" t="s">
        <v>117</v>
      </c>
      <c r="I168" s="33" t="s">
        <v>118</v>
      </c>
      <c r="J168" s="33" t="s">
        <v>180</v>
      </c>
      <c r="K168" s="33">
        <v>92</v>
      </c>
      <c r="L168" s="33">
        <v>2554</v>
      </c>
      <c r="M168" s="33">
        <v>1175.26</v>
      </c>
      <c r="N168" t="s">
        <v>1463</v>
      </c>
      <c r="O168" s="33">
        <v>204</v>
      </c>
      <c r="P168" s="33">
        <v>171</v>
      </c>
      <c r="Q168" s="46">
        <f t="shared" si="8"/>
        <v>83.823529411764696</v>
      </c>
      <c r="R168" s="33" t="s">
        <v>28</v>
      </c>
      <c r="S168" s="47" t="str">
        <f t="shared" si="6"/>
        <v>2022-07</v>
      </c>
      <c r="T168" s="33">
        <v>0</v>
      </c>
    </row>
    <row r="169" spans="1:20">
      <c r="A169" s="37" t="s">
        <v>619</v>
      </c>
      <c r="B169" s="48">
        <v>44970</v>
      </c>
      <c r="C169" s="33" t="s">
        <v>1462</v>
      </c>
      <c r="D169" s="37" t="s">
        <v>156</v>
      </c>
      <c r="E169" s="37" t="s">
        <v>157</v>
      </c>
      <c r="F169" s="37" t="s">
        <v>95</v>
      </c>
      <c r="G169" s="33" t="str">
        <f t="shared" si="7"/>
        <v>Phoenix → Las Vegas</v>
      </c>
      <c r="H169" s="37" t="s">
        <v>96</v>
      </c>
      <c r="I169" s="37" t="s">
        <v>499</v>
      </c>
      <c r="J169" s="37" t="s">
        <v>600</v>
      </c>
      <c r="K169" s="37">
        <v>135</v>
      </c>
      <c r="L169" s="37">
        <v>2971</v>
      </c>
      <c r="M169" s="37">
        <v>723.03</v>
      </c>
      <c r="N169" s="37" t="s">
        <v>27</v>
      </c>
      <c r="O169" s="37">
        <v>289</v>
      </c>
      <c r="P169" s="37">
        <v>235</v>
      </c>
      <c r="Q169" s="46">
        <f t="shared" si="8"/>
        <v>81.314878892733603</v>
      </c>
      <c r="R169" s="37" t="s">
        <v>70</v>
      </c>
      <c r="S169" s="49" t="str">
        <f t="shared" si="6"/>
        <v>2023-02</v>
      </c>
      <c r="T169" s="37">
        <v>24</v>
      </c>
    </row>
    <row r="170" spans="1:20">
      <c r="A170" s="33" t="s">
        <v>621</v>
      </c>
      <c r="B170" s="45">
        <v>44920</v>
      </c>
      <c r="C170" s="33" t="s">
        <v>73</v>
      </c>
      <c r="D170" s="33" t="s">
        <v>38</v>
      </c>
      <c r="E170" s="33" t="s">
        <v>39</v>
      </c>
      <c r="F170" s="33" t="s">
        <v>56</v>
      </c>
      <c r="G170" s="33" t="str">
        <f t="shared" si="7"/>
        <v>Miami → Los Angeles</v>
      </c>
      <c r="H170" s="33" t="s">
        <v>57</v>
      </c>
      <c r="I170" s="33" t="s">
        <v>465</v>
      </c>
      <c r="J170" s="33" t="s">
        <v>623</v>
      </c>
      <c r="K170" s="33">
        <v>185</v>
      </c>
      <c r="L170" s="33">
        <v>1485</v>
      </c>
      <c r="M170" s="33">
        <v>1061.95</v>
      </c>
      <c r="N170" s="33" t="s">
        <v>60</v>
      </c>
      <c r="O170" s="33">
        <v>176</v>
      </c>
      <c r="P170" s="33">
        <v>122</v>
      </c>
      <c r="Q170" s="46">
        <f t="shared" si="8"/>
        <v>69.318181818181799</v>
      </c>
      <c r="R170" s="33" t="s">
        <v>28</v>
      </c>
      <c r="S170" s="47" t="str">
        <f t="shared" si="6"/>
        <v>2022-12</v>
      </c>
      <c r="T170" s="33">
        <v>0</v>
      </c>
    </row>
    <row r="171" spans="1:20">
      <c r="A171" s="37" t="s">
        <v>624</v>
      </c>
      <c r="B171" s="48">
        <v>45248</v>
      </c>
      <c r="C171" s="33" t="s">
        <v>1462</v>
      </c>
      <c r="D171" s="37" t="s">
        <v>40</v>
      </c>
      <c r="E171" s="37" t="s">
        <v>41</v>
      </c>
      <c r="F171" s="37" t="s">
        <v>54</v>
      </c>
      <c r="G171" s="33" t="str">
        <f t="shared" si="7"/>
        <v>Charlotte → Chicago</v>
      </c>
      <c r="H171" s="37" t="s">
        <v>74</v>
      </c>
      <c r="I171" s="37" t="s">
        <v>626</v>
      </c>
      <c r="J171" s="37" t="s">
        <v>627</v>
      </c>
      <c r="K171" s="37">
        <v>158</v>
      </c>
      <c r="L171" s="37">
        <v>2365</v>
      </c>
      <c r="M171" s="37">
        <v>604.17999999999995</v>
      </c>
      <c r="N171" s="37" t="s">
        <v>60</v>
      </c>
      <c r="O171" s="37">
        <v>307</v>
      </c>
      <c r="P171" s="37">
        <v>107</v>
      </c>
      <c r="Q171" s="46">
        <f t="shared" si="8"/>
        <v>34.853420195439703</v>
      </c>
      <c r="R171" s="37" t="s">
        <v>28</v>
      </c>
      <c r="S171" s="49" t="str">
        <f t="shared" si="6"/>
        <v>2023-11</v>
      </c>
      <c r="T171" s="37">
        <v>0</v>
      </c>
    </row>
    <row r="172" spans="1:20">
      <c r="A172" s="33" t="s">
        <v>628</v>
      </c>
      <c r="B172" s="45">
        <v>45501</v>
      </c>
      <c r="C172" s="33" t="s">
        <v>1462</v>
      </c>
      <c r="D172" s="33" t="s">
        <v>38</v>
      </c>
      <c r="E172" s="33" t="s">
        <v>39</v>
      </c>
      <c r="F172" s="33" t="s">
        <v>174</v>
      </c>
      <c r="G172" s="33" t="str">
        <f t="shared" si="7"/>
        <v>Miami → New York</v>
      </c>
      <c r="H172" s="33" t="s">
        <v>175</v>
      </c>
      <c r="I172" s="33" t="s">
        <v>131</v>
      </c>
      <c r="J172" s="33" t="s">
        <v>630</v>
      </c>
      <c r="K172" s="33">
        <v>241</v>
      </c>
      <c r="L172" s="33">
        <v>2625</v>
      </c>
      <c r="M172" s="33">
        <v>835.33</v>
      </c>
      <c r="N172" s="33" t="s">
        <v>60</v>
      </c>
      <c r="O172" s="33">
        <v>144</v>
      </c>
      <c r="P172" s="33">
        <v>128</v>
      </c>
      <c r="Q172" s="46">
        <f t="shared" si="8"/>
        <v>88.8888888888889</v>
      </c>
      <c r="R172" s="33" t="s">
        <v>70</v>
      </c>
      <c r="S172" s="47" t="str">
        <f t="shared" si="6"/>
        <v>2024-07</v>
      </c>
      <c r="T172" s="33">
        <v>118</v>
      </c>
    </row>
    <row r="173" spans="1:20">
      <c r="A173" s="37" t="s">
        <v>631</v>
      </c>
      <c r="B173" s="48">
        <v>45437</v>
      </c>
      <c r="C173" s="33" t="s">
        <v>47</v>
      </c>
      <c r="D173" s="37" t="s">
        <v>54</v>
      </c>
      <c r="E173" s="37" t="s">
        <v>55</v>
      </c>
      <c r="F173" s="37" t="s">
        <v>129</v>
      </c>
      <c r="G173" s="33" t="str">
        <f t="shared" si="7"/>
        <v>Chicago → Detroit</v>
      </c>
      <c r="H173" s="37" t="s">
        <v>130</v>
      </c>
      <c r="I173" s="37" t="s">
        <v>266</v>
      </c>
      <c r="J173" s="37" t="s">
        <v>633</v>
      </c>
      <c r="K173" s="37">
        <v>184</v>
      </c>
      <c r="L173" s="37">
        <v>875</v>
      </c>
      <c r="M173" s="37">
        <v>614.75</v>
      </c>
      <c r="N173" s="37" t="s">
        <v>60</v>
      </c>
      <c r="O173" s="37">
        <v>101</v>
      </c>
      <c r="P173" s="37">
        <v>66</v>
      </c>
      <c r="Q173" s="46">
        <f t="shared" si="8"/>
        <v>65.346534653465397</v>
      </c>
      <c r="R173" s="37" t="s">
        <v>28</v>
      </c>
      <c r="S173" s="49" t="str">
        <f t="shared" si="6"/>
        <v>2024-05</v>
      </c>
      <c r="T173" s="37">
        <v>0</v>
      </c>
    </row>
    <row r="174" spans="1:20">
      <c r="A174" s="33" t="s">
        <v>634</v>
      </c>
      <c r="B174" s="45">
        <v>45476</v>
      </c>
      <c r="C174" s="33" t="s">
        <v>1462</v>
      </c>
      <c r="D174" s="33" t="s">
        <v>156</v>
      </c>
      <c r="E174" s="33" t="s">
        <v>157</v>
      </c>
      <c r="F174" s="33" t="s">
        <v>95</v>
      </c>
      <c r="G174" s="33" t="str">
        <f t="shared" si="7"/>
        <v>Phoenix → Las Vegas</v>
      </c>
      <c r="H174" s="33" t="s">
        <v>96</v>
      </c>
      <c r="I174" s="33" t="s">
        <v>244</v>
      </c>
      <c r="J174" s="33" t="s">
        <v>636</v>
      </c>
      <c r="K174" s="33">
        <v>223</v>
      </c>
      <c r="L174" s="33">
        <v>2977</v>
      </c>
      <c r="M174" s="33">
        <v>482.7</v>
      </c>
      <c r="N174" s="33" t="s">
        <v>60</v>
      </c>
      <c r="O174" s="33">
        <v>115</v>
      </c>
      <c r="P174" s="33">
        <v>65</v>
      </c>
      <c r="Q174" s="46">
        <f t="shared" si="8"/>
        <v>56.521739130434803</v>
      </c>
      <c r="R174" s="33" t="s">
        <v>28</v>
      </c>
      <c r="S174" s="47" t="str">
        <f t="shared" si="6"/>
        <v>2024-07</v>
      </c>
      <c r="T174" s="33">
        <v>0</v>
      </c>
    </row>
    <row r="175" spans="1:20">
      <c r="A175" s="37" t="s">
        <v>637</v>
      </c>
      <c r="B175" s="48">
        <v>44889</v>
      </c>
      <c r="C175" s="33" t="s">
        <v>73</v>
      </c>
      <c r="D175" s="37" t="s">
        <v>116</v>
      </c>
      <c r="E175" s="37" t="s">
        <v>117</v>
      </c>
      <c r="F175" s="37" t="s">
        <v>95</v>
      </c>
      <c r="G175" s="33" t="str">
        <f t="shared" si="7"/>
        <v>Houston → Las Vegas</v>
      </c>
      <c r="H175" s="37" t="s">
        <v>96</v>
      </c>
      <c r="I175" s="37" t="s">
        <v>545</v>
      </c>
      <c r="J175" s="37" t="s">
        <v>639</v>
      </c>
      <c r="K175" s="37">
        <v>417</v>
      </c>
      <c r="L175" s="37">
        <v>1508</v>
      </c>
      <c r="M175" s="37">
        <v>491.65</v>
      </c>
      <c r="N175" s="37" t="s">
        <v>60</v>
      </c>
      <c r="O175" s="37">
        <v>156</v>
      </c>
      <c r="P175" s="37">
        <v>67</v>
      </c>
      <c r="Q175" s="46">
        <f t="shared" si="8"/>
        <v>42.948717948717899</v>
      </c>
      <c r="R175" s="37" t="s">
        <v>28</v>
      </c>
      <c r="S175" s="49" t="str">
        <f t="shared" si="6"/>
        <v>2022-11</v>
      </c>
      <c r="T175" s="37">
        <v>0</v>
      </c>
    </row>
    <row r="176" spans="1:20">
      <c r="A176" s="33" t="s">
        <v>640</v>
      </c>
      <c r="B176" s="45">
        <v>45493</v>
      </c>
      <c r="C176" s="33" t="s">
        <v>47</v>
      </c>
      <c r="D176" s="33" t="s">
        <v>129</v>
      </c>
      <c r="E176" s="33" t="s">
        <v>130</v>
      </c>
      <c r="F176" s="33" t="s">
        <v>54</v>
      </c>
      <c r="G176" s="33" t="str">
        <f t="shared" si="7"/>
        <v>Detroit → Chicago</v>
      </c>
      <c r="H176" s="33" t="s">
        <v>74</v>
      </c>
      <c r="I176" s="33" t="s">
        <v>642</v>
      </c>
      <c r="J176" s="33" t="s">
        <v>338</v>
      </c>
      <c r="K176" s="33">
        <v>480</v>
      </c>
      <c r="L176" s="33">
        <v>1313</v>
      </c>
      <c r="M176" s="33">
        <v>841.98</v>
      </c>
      <c r="N176" s="33" t="s">
        <v>27</v>
      </c>
      <c r="O176" s="33">
        <v>323</v>
      </c>
      <c r="P176" s="33">
        <v>91</v>
      </c>
      <c r="Q176" s="46">
        <f t="shared" si="8"/>
        <v>28.173374613003102</v>
      </c>
      <c r="R176" s="33" t="s">
        <v>28</v>
      </c>
      <c r="S176" s="47" t="str">
        <f t="shared" si="6"/>
        <v>2024-07</v>
      </c>
      <c r="T176" s="33">
        <v>0</v>
      </c>
    </row>
    <row r="177" spans="1:20">
      <c r="A177" s="37" t="s">
        <v>643</v>
      </c>
      <c r="B177" s="48">
        <v>45643</v>
      </c>
      <c r="C177" s="33" t="s">
        <v>47</v>
      </c>
      <c r="D177" s="37" t="s">
        <v>54</v>
      </c>
      <c r="E177" s="37" t="s">
        <v>55</v>
      </c>
      <c r="F177" s="37" t="s">
        <v>48</v>
      </c>
      <c r="G177" s="33" t="str">
        <f t="shared" si="7"/>
        <v>Chicago → San Diego</v>
      </c>
      <c r="H177" s="37" t="s">
        <v>49</v>
      </c>
      <c r="I177" s="37" t="s">
        <v>166</v>
      </c>
      <c r="J177" s="37" t="s">
        <v>645</v>
      </c>
      <c r="K177" s="37">
        <v>370</v>
      </c>
      <c r="L177" s="37">
        <v>2370</v>
      </c>
      <c r="M177" s="37">
        <v>306.42</v>
      </c>
      <c r="N177" s="37" t="s">
        <v>27</v>
      </c>
      <c r="O177" s="37">
        <v>138</v>
      </c>
      <c r="P177" s="37">
        <v>71</v>
      </c>
      <c r="Q177" s="46">
        <f t="shared" si="8"/>
        <v>51.449275362318801</v>
      </c>
      <c r="R177" s="37" t="s">
        <v>28</v>
      </c>
      <c r="S177" s="49" t="str">
        <f t="shared" si="6"/>
        <v>2024-12</v>
      </c>
      <c r="T177" s="37">
        <v>0</v>
      </c>
    </row>
    <row r="178" spans="1:20">
      <c r="A178" s="33" t="s">
        <v>646</v>
      </c>
      <c r="B178" s="45">
        <v>45627</v>
      </c>
      <c r="C178" s="33" t="s">
        <v>115</v>
      </c>
      <c r="D178" s="33" t="s">
        <v>197</v>
      </c>
      <c r="E178" s="33" t="s">
        <v>198</v>
      </c>
      <c r="F178" s="33" t="s">
        <v>23</v>
      </c>
      <c r="G178" s="33" t="str">
        <f t="shared" si="7"/>
        <v>Atlanta → Denver</v>
      </c>
      <c r="H178" s="33" t="s">
        <v>24</v>
      </c>
      <c r="I178" s="33" t="s">
        <v>648</v>
      </c>
      <c r="J178" s="33" t="s">
        <v>649</v>
      </c>
      <c r="K178" s="33">
        <v>136</v>
      </c>
      <c r="L178" s="33">
        <v>2390</v>
      </c>
      <c r="M178" s="33">
        <v>578.94000000000005</v>
      </c>
      <c r="N178" s="33" t="s">
        <v>60</v>
      </c>
      <c r="O178" s="33">
        <v>216</v>
      </c>
      <c r="P178" s="33">
        <v>83</v>
      </c>
      <c r="Q178" s="46">
        <f t="shared" si="8"/>
        <v>38.425925925925903</v>
      </c>
      <c r="R178" s="33" t="s">
        <v>28</v>
      </c>
      <c r="S178" s="47" t="str">
        <f t="shared" si="6"/>
        <v>2024-12</v>
      </c>
      <c r="T178" s="33">
        <v>0</v>
      </c>
    </row>
    <row r="179" spans="1:20">
      <c r="A179" s="37" t="s">
        <v>650</v>
      </c>
      <c r="B179" s="48">
        <v>45497</v>
      </c>
      <c r="C179" s="33" t="s">
        <v>20</v>
      </c>
      <c r="D179" s="37" t="s">
        <v>32</v>
      </c>
      <c r="E179" s="37" t="s">
        <v>33</v>
      </c>
      <c r="F179" s="37" t="s">
        <v>40</v>
      </c>
      <c r="G179" s="33" t="str">
        <f t="shared" si="7"/>
        <v>Orlando → Charlotte</v>
      </c>
      <c r="H179" s="37" t="s">
        <v>41</v>
      </c>
      <c r="I179" s="37" t="s">
        <v>216</v>
      </c>
      <c r="J179" s="37" t="s">
        <v>652</v>
      </c>
      <c r="K179" s="37">
        <v>460</v>
      </c>
      <c r="L179" s="37">
        <v>389</v>
      </c>
      <c r="M179" s="37">
        <v>523.46</v>
      </c>
      <c r="N179" s="37" t="s">
        <v>60</v>
      </c>
      <c r="O179" s="37">
        <v>290</v>
      </c>
      <c r="P179" s="37">
        <v>105</v>
      </c>
      <c r="Q179" s="46">
        <f t="shared" si="8"/>
        <v>36.2068965517241</v>
      </c>
      <c r="R179" s="37" t="s">
        <v>28</v>
      </c>
      <c r="S179" s="49" t="str">
        <f t="shared" si="6"/>
        <v>2024-07</v>
      </c>
      <c r="T179" s="37">
        <v>0</v>
      </c>
    </row>
    <row r="180" spans="1:20" ht="25.5">
      <c r="A180" s="33" t="s">
        <v>653</v>
      </c>
      <c r="B180" s="45">
        <v>44654</v>
      </c>
      <c r="C180" s="33" t="s">
        <v>73</v>
      </c>
      <c r="D180" s="33" t="s">
        <v>64</v>
      </c>
      <c r="E180" s="33" t="s">
        <v>65</v>
      </c>
      <c r="F180" s="33" t="s">
        <v>54</v>
      </c>
      <c r="G180" s="33" t="str">
        <f t="shared" si="7"/>
        <v>San Francisco → Chicago</v>
      </c>
      <c r="H180" s="33" t="s">
        <v>55</v>
      </c>
      <c r="I180" s="33" t="s">
        <v>571</v>
      </c>
      <c r="J180" s="33" t="s">
        <v>654</v>
      </c>
      <c r="K180" s="33">
        <v>125</v>
      </c>
      <c r="L180" s="33">
        <v>2233</v>
      </c>
      <c r="M180" s="33">
        <v>115.54</v>
      </c>
      <c r="N180" s="33" t="s">
        <v>44</v>
      </c>
      <c r="O180" s="33">
        <v>146</v>
      </c>
      <c r="P180" s="33">
        <v>67</v>
      </c>
      <c r="Q180" s="46">
        <f t="shared" si="8"/>
        <v>45.890410958904098</v>
      </c>
      <c r="R180" s="33" t="s">
        <v>70</v>
      </c>
      <c r="S180" s="47" t="str">
        <f t="shared" si="6"/>
        <v>2022-04</v>
      </c>
      <c r="T180" s="33">
        <v>180</v>
      </c>
    </row>
    <row r="181" spans="1:20" ht="25.5">
      <c r="A181" s="37" t="s">
        <v>655</v>
      </c>
      <c r="B181" s="48">
        <v>45422</v>
      </c>
      <c r="C181" s="33" t="s">
        <v>47</v>
      </c>
      <c r="D181" s="37" t="s">
        <v>66</v>
      </c>
      <c r="E181" s="37" t="s">
        <v>67</v>
      </c>
      <c r="F181" s="37" t="s">
        <v>79</v>
      </c>
      <c r="G181" s="33" t="str">
        <f t="shared" si="7"/>
        <v>Minneapolis → Newark</v>
      </c>
      <c r="H181" s="37" t="s">
        <v>80</v>
      </c>
      <c r="I181" s="37" t="s">
        <v>465</v>
      </c>
      <c r="J181" s="37" t="s">
        <v>657</v>
      </c>
      <c r="K181" s="37">
        <v>131</v>
      </c>
      <c r="L181" s="37">
        <v>2508</v>
      </c>
      <c r="M181" s="37">
        <v>228.95</v>
      </c>
      <c r="N181" s="37" t="s">
        <v>44</v>
      </c>
      <c r="O181" s="37">
        <v>130</v>
      </c>
      <c r="P181" s="37">
        <v>72</v>
      </c>
      <c r="Q181" s="46">
        <f t="shared" si="8"/>
        <v>55.384615384615401</v>
      </c>
      <c r="R181" s="37" t="s">
        <v>149</v>
      </c>
      <c r="S181" s="49" t="str">
        <f t="shared" si="6"/>
        <v>2024-05</v>
      </c>
      <c r="T181" s="37">
        <v>0</v>
      </c>
    </row>
    <row r="182" spans="1:20">
      <c r="A182" s="33" t="s">
        <v>658</v>
      </c>
      <c r="B182" s="45">
        <v>45366</v>
      </c>
      <c r="C182" s="33" t="s">
        <v>63</v>
      </c>
      <c r="D182" s="33" t="s">
        <v>23</v>
      </c>
      <c r="E182" s="33" t="s">
        <v>24</v>
      </c>
      <c r="F182" s="33" t="s">
        <v>174</v>
      </c>
      <c r="G182" s="33" t="str">
        <f t="shared" si="7"/>
        <v>Denver → New York</v>
      </c>
      <c r="H182" s="33" t="s">
        <v>175</v>
      </c>
      <c r="I182" s="33" t="s">
        <v>382</v>
      </c>
      <c r="J182" s="33" t="s">
        <v>660</v>
      </c>
      <c r="K182" s="33">
        <v>327</v>
      </c>
      <c r="L182" s="33">
        <v>2530</v>
      </c>
      <c r="M182" s="33">
        <v>555.02</v>
      </c>
      <c r="N182" s="33" t="s">
        <v>44</v>
      </c>
      <c r="O182" s="33">
        <v>310</v>
      </c>
      <c r="P182" s="33">
        <v>167</v>
      </c>
      <c r="Q182" s="46">
        <f t="shared" si="8"/>
        <v>53.870967741935502</v>
      </c>
      <c r="R182" s="33" t="s">
        <v>28</v>
      </c>
      <c r="S182" s="47" t="str">
        <f t="shared" si="6"/>
        <v>2024-03</v>
      </c>
      <c r="T182" s="33">
        <v>0</v>
      </c>
    </row>
    <row r="183" spans="1:20">
      <c r="A183" s="37" t="s">
        <v>661</v>
      </c>
      <c r="B183" s="48">
        <v>45270</v>
      </c>
      <c r="C183" s="33" t="s">
        <v>63</v>
      </c>
      <c r="D183" s="37" t="s">
        <v>21</v>
      </c>
      <c r="E183" s="37" t="s">
        <v>22</v>
      </c>
      <c r="F183" s="37" t="s">
        <v>183</v>
      </c>
      <c r="G183" s="33" t="str">
        <f t="shared" si="7"/>
        <v>Boston → Seattle</v>
      </c>
      <c r="H183" s="37" t="s">
        <v>184</v>
      </c>
      <c r="I183" s="37" t="s">
        <v>663</v>
      </c>
      <c r="J183" s="37" t="s">
        <v>664</v>
      </c>
      <c r="K183" s="37">
        <v>106</v>
      </c>
      <c r="L183" s="37">
        <v>2017</v>
      </c>
      <c r="M183" s="37">
        <v>768.71</v>
      </c>
      <c r="N183" t="s">
        <v>1463</v>
      </c>
      <c r="O183" s="37">
        <v>161</v>
      </c>
      <c r="P183" s="37">
        <v>76</v>
      </c>
      <c r="Q183" s="46">
        <f t="shared" si="8"/>
        <v>47.204968944099399</v>
      </c>
      <c r="R183" s="37" t="s">
        <v>28</v>
      </c>
      <c r="S183" s="49" t="str">
        <f t="shared" si="6"/>
        <v>2023-12</v>
      </c>
      <c r="T183" s="37">
        <v>0</v>
      </c>
    </row>
    <row r="184" spans="1:20" ht="25.5">
      <c r="A184" s="33" t="s">
        <v>665</v>
      </c>
      <c r="B184" s="45">
        <v>44630</v>
      </c>
      <c r="C184" s="33" t="s">
        <v>115</v>
      </c>
      <c r="D184" s="33" t="s">
        <v>48</v>
      </c>
      <c r="E184" s="33" t="s">
        <v>49</v>
      </c>
      <c r="F184" s="33" t="s">
        <v>56</v>
      </c>
      <c r="G184" s="33" t="str">
        <f t="shared" si="7"/>
        <v>San Diego → Los Angeles</v>
      </c>
      <c r="H184" s="33" t="s">
        <v>57</v>
      </c>
      <c r="I184" s="33" t="s">
        <v>426</v>
      </c>
      <c r="J184" s="33" t="s">
        <v>607</v>
      </c>
      <c r="K184" s="33">
        <v>295</v>
      </c>
      <c r="L184" s="33">
        <v>2097</v>
      </c>
      <c r="M184" s="33">
        <v>342.46</v>
      </c>
      <c r="N184" s="33" t="s">
        <v>60</v>
      </c>
      <c r="O184" s="33">
        <v>293</v>
      </c>
      <c r="P184" s="33">
        <v>271</v>
      </c>
      <c r="Q184" s="46">
        <f t="shared" si="8"/>
        <v>92.491467576791806</v>
      </c>
      <c r="R184" s="33" t="s">
        <v>70</v>
      </c>
      <c r="S184" s="47" t="str">
        <f t="shared" si="6"/>
        <v>2022-03</v>
      </c>
      <c r="T184" s="33">
        <v>50</v>
      </c>
    </row>
    <row r="185" spans="1:20">
      <c r="A185" s="37" t="s">
        <v>667</v>
      </c>
      <c r="B185" s="48">
        <v>45593</v>
      </c>
      <c r="C185" s="33" t="s">
        <v>1462</v>
      </c>
      <c r="D185" s="37" t="s">
        <v>23</v>
      </c>
      <c r="E185" s="37" t="s">
        <v>24</v>
      </c>
      <c r="F185" s="37" t="s">
        <v>48</v>
      </c>
      <c r="G185" s="33" t="str">
        <f t="shared" si="7"/>
        <v>Denver → San Diego</v>
      </c>
      <c r="H185" s="37" t="s">
        <v>49</v>
      </c>
      <c r="I185" s="37" t="s">
        <v>42</v>
      </c>
      <c r="J185" s="37" t="s">
        <v>365</v>
      </c>
      <c r="K185" s="37">
        <v>211</v>
      </c>
      <c r="L185" s="37">
        <v>1536</v>
      </c>
      <c r="M185" s="37">
        <v>1061.4100000000001</v>
      </c>
      <c r="N185" s="37" t="s">
        <v>27</v>
      </c>
      <c r="O185" s="37">
        <v>233</v>
      </c>
      <c r="P185" s="37">
        <v>106</v>
      </c>
      <c r="Q185" s="46">
        <f t="shared" si="8"/>
        <v>45.493562231759697</v>
      </c>
      <c r="R185" s="37" t="s">
        <v>28</v>
      </c>
      <c r="S185" s="49" t="str">
        <f t="shared" si="6"/>
        <v>2024-10</v>
      </c>
      <c r="T185" s="37">
        <v>0</v>
      </c>
    </row>
    <row r="186" spans="1:20">
      <c r="A186" s="33" t="s">
        <v>669</v>
      </c>
      <c r="B186" s="45">
        <v>45125</v>
      </c>
      <c r="C186" s="33" t="s">
        <v>20</v>
      </c>
      <c r="D186" s="33" t="s">
        <v>32</v>
      </c>
      <c r="E186" s="33" t="s">
        <v>33</v>
      </c>
      <c r="F186" s="33" t="s">
        <v>48</v>
      </c>
      <c r="G186" s="33" t="str">
        <f t="shared" si="7"/>
        <v>Orlando → San Diego</v>
      </c>
      <c r="H186" s="33" t="s">
        <v>49</v>
      </c>
      <c r="I186" s="33" t="s">
        <v>338</v>
      </c>
      <c r="J186" s="33" t="s">
        <v>672</v>
      </c>
      <c r="K186" s="33">
        <v>410</v>
      </c>
      <c r="L186" s="33">
        <v>2049</v>
      </c>
      <c r="M186" s="33">
        <v>702.55</v>
      </c>
      <c r="N186" s="33" t="s">
        <v>60</v>
      </c>
      <c r="O186" s="33">
        <v>348</v>
      </c>
      <c r="P186" s="33">
        <v>136</v>
      </c>
      <c r="Q186" s="46">
        <f t="shared" si="8"/>
        <v>39.080459770114899</v>
      </c>
      <c r="R186" s="33" t="s">
        <v>149</v>
      </c>
      <c r="S186" s="47" t="str">
        <f t="shared" si="6"/>
        <v>2023-07</v>
      </c>
      <c r="T186" s="33">
        <v>0</v>
      </c>
    </row>
    <row r="187" spans="1:20">
      <c r="A187" s="37" t="s">
        <v>673</v>
      </c>
      <c r="B187" s="48">
        <v>45342</v>
      </c>
      <c r="C187" s="33" t="s">
        <v>47</v>
      </c>
      <c r="D187" s="37" t="s">
        <v>129</v>
      </c>
      <c r="E187" s="37" t="s">
        <v>130</v>
      </c>
      <c r="F187" s="37" t="s">
        <v>40</v>
      </c>
      <c r="G187" s="33" t="str">
        <f t="shared" si="7"/>
        <v>Detroit → Charlotte</v>
      </c>
      <c r="H187" s="37" t="s">
        <v>41</v>
      </c>
      <c r="I187" s="37" t="s">
        <v>560</v>
      </c>
      <c r="J187" s="37" t="s">
        <v>675</v>
      </c>
      <c r="K187" s="37">
        <v>282</v>
      </c>
      <c r="L187" s="37">
        <v>1053</v>
      </c>
      <c r="M187" s="37">
        <v>924.95</v>
      </c>
      <c r="N187" s="37" t="s">
        <v>44</v>
      </c>
      <c r="O187" s="37">
        <v>161</v>
      </c>
      <c r="P187" s="37">
        <v>158</v>
      </c>
      <c r="Q187" s="46">
        <f t="shared" si="8"/>
        <v>98.136645962732899</v>
      </c>
      <c r="R187" s="37" t="s">
        <v>28</v>
      </c>
      <c r="S187" s="49" t="str">
        <f t="shared" si="6"/>
        <v>2024-02</v>
      </c>
      <c r="T187" s="37">
        <v>0</v>
      </c>
    </row>
    <row r="188" spans="1:20" ht="25.5">
      <c r="A188" s="33" t="s">
        <v>676</v>
      </c>
      <c r="B188" s="45">
        <v>44857</v>
      </c>
      <c r="C188" s="33" t="s">
        <v>115</v>
      </c>
      <c r="D188" s="33" t="s">
        <v>56</v>
      </c>
      <c r="E188" s="33" t="s">
        <v>57</v>
      </c>
      <c r="F188" s="33" t="s">
        <v>54</v>
      </c>
      <c r="G188" s="33" t="str">
        <f t="shared" si="7"/>
        <v>Los Angeles → Chicago</v>
      </c>
      <c r="H188" s="33" t="s">
        <v>74</v>
      </c>
      <c r="I188" s="33" t="s">
        <v>226</v>
      </c>
      <c r="J188" s="33" t="s">
        <v>499</v>
      </c>
      <c r="K188" s="33">
        <v>375</v>
      </c>
      <c r="L188" s="33">
        <v>2470</v>
      </c>
      <c r="M188" s="33">
        <v>230.18</v>
      </c>
      <c r="N188" s="33" t="s">
        <v>60</v>
      </c>
      <c r="O188" s="33">
        <v>165</v>
      </c>
      <c r="P188" s="33">
        <v>76</v>
      </c>
      <c r="Q188" s="46">
        <f t="shared" si="8"/>
        <v>46.060606060606098</v>
      </c>
      <c r="R188" s="33" t="s">
        <v>28</v>
      </c>
      <c r="S188" s="47" t="str">
        <f t="shared" si="6"/>
        <v>2022-10</v>
      </c>
      <c r="T188" s="33">
        <v>0</v>
      </c>
    </row>
    <row r="189" spans="1:20" ht="25.5">
      <c r="A189" s="37" t="s">
        <v>678</v>
      </c>
      <c r="B189" s="48">
        <v>44723</v>
      </c>
      <c r="C189" s="33" t="s">
        <v>115</v>
      </c>
      <c r="D189" s="37" t="s">
        <v>64</v>
      </c>
      <c r="E189" s="37" t="s">
        <v>65</v>
      </c>
      <c r="F189" s="37" t="s">
        <v>54</v>
      </c>
      <c r="G189" s="33" t="str">
        <f t="shared" si="7"/>
        <v>San Francisco → Chicago</v>
      </c>
      <c r="H189" s="37" t="s">
        <v>55</v>
      </c>
      <c r="I189" s="37" t="s">
        <v>202</v>
      </c>
      <c r="J189" s="37" t="s">
        <v>680</v>
      </c>
      <c r="K189" s="37">
        <v>116</v>
      </c>
      <c r="L189" s="37">
        <v>1399</v>
      </c>
      <c r="M189" s="37">
        <v>502.43</v>
      </c>
      <c r="N189" s="37" t="s">
        <v>27</v>
      </c>
      <c r="O189" s="37">
        <v>254</v>
      </c>
      <c r="P189" s="37">
        <v>60</v>
      </c>
      <c r="Q189" s="46">
        <f t="shared" si="8"/>
        <v>23.6220472440945</v>
      </c>
      <c r="R189" s="37" t="s">
        <v>70</v>
      </c>
      <c r="S189" s="49" t="str">
        <f t="shared" si="6"/>
        <v>2022-06</v>
      </c>
      <c r="T189" s="37">
        <v>63</v>
      </c>
    </row>
    <row r="190" spans="1:20" ht="25.5">
      <c r="A190" s="33" t="s">
        <v>681</v>
      </c>
      <c r="B190" s="45">
        <v>45006</v>
      </c>
      <c r="C190" s="33" t="s">
        <v>115</v>
      </c>
      <c r="D190" s="33" t="s">
        <v>183</v>
      </c>
      <c r="E190" s="33" t="s">
        <v>184</v>
      </c>
      <c r="F190" s="33" t="s">
        <v>64</v>
      </c>
      <c r="G190" s="33" t="str">
        <f t="shared" si="7"/>
        <v>Seattle → San Francisco</v>
      </c>
      <c r="H190" s="33" t="s">
        <v>65</v>
      </c>
      <c r="I190" s="33" t="s">
        <v>296</v>
      </c>
      <c r="J190" s="33" t="s">
        <v>683</v>
      </c>
      <c r="K190" s="33">
        <v>198</v>
      </c>
      <c r="L190" s="33">
        <v>1078</v>
      </c>
      <c r="M190" s="33">
        <v>1157.53</v>
      </c>
      <c r="N190" s="33" t="s">
        <v>60</v>
      </c>
      <c r="O190" s="33">
        <v>291</v>
      </c>
      <c r="P190" s="33">
        <v>243</v>
      </c>
      <c r="Q190" s="46">
        <f t="shared" si="8"/>
        <v>83.505154639175302</v>
      </c>
      <c r="R190" s="33" t="s">
        <v>28</v>
      </c>
      <c r="S190" s="47" t="str">
        <f t="shared" si="6"/>
        <v>2023-03</v>
      </c>
      <c r="T190" s="33">
        <v>0</v>
      </c>
    </row>
    <row r="191" spans="1:20">
      <c r="A191" s="37" t="s">
        <v>684</v>
      </c>
      <c r="B191" s="48">
        <v>45058</v>
      </c>
      <c r="C191" s="33" t="s">
        <v>31</v>
      </c>
      <c r="D191" s="37" t="s">
        <v>66</v>
      </c>
      <c r="E191" s="37" t="s">
        <v>67</v>
      </c>
      <c r="F191" s="37" t="s">
        <v>23</v>
      </c>
      <c r="G191" s="33" t="str">
        <f t="shared" si="7"/>
        <v>Minneapolis → Denver</v>
      </c>
      <c r="H191" s="37" t="s">
        <v>24</v>
      </c>
      <c r="I191" s="37" t="s">
        <v>528</v>
      </c>
      <c r="J191" s="37" t="s">
        <v>686</v>
      </c>
      <c r="K191" s="37">
        <v>234</v>
      </c>
      <c r="L191" s="37">
        <v>1859</v>
      </c>
      <c r="M191" s="37">
        <v>602.20000000000005</v>
      </c>
      <c r="N191" s="37" t="s">
        <v>27</v>
      </c>
      <c r="O191" s="37">
        <v>191</v>
      </c>
      <c r="P191" s="37">
        <v>128</v>
      </c>
      <c r="Q191" s="46">
        <f t="shared" si="8"/>
        <v>67.015706806282694</v>
      </c>
      <c r="R191" s="37" t="s">
        <v>28</v>
      </c>
      <c r="S191" s="49" t="str">
        <f t="shared" si="6"/>
        <v>2023-05</v>
      </c>
      <c r="T191" s="37">
        <v>0</v>
      </c>
    </row>
    <row r="192" spans="1:20">
      <c r="A192" s="33" t="s">
        <v>687</v>
      </c>
      <c r="B192" s="45">
        <v>45612</v>
      </c>
      <c r="C192" s="33" t="s">
        <v>115</v>
      </c>
      <c r="D192" s="33" t="s">
        <v>40</v>
      </c>
      <c r="E192" s="33" t="s">
        <v>41</v>
      </c>
      <c r="F192" s="33" t="s">
        <v>197</v>
      </c>
      <c r="G192" s="33" t="str">
        <f t="shared" si="7"/>
        <v>Charlotte → Atlanta</v>
      </c>
      <c r="H192" s="33" t="s">
        <v>198</v>
      </c>
      <c r="I192" s="33" t="s">
        <v>275</v>
      </c>
      <c r="J192" s="33" t="s">
        <v>689</v>
      </c>
      <c r="K192" s="33">
        <v>479</v>
      </c>
      <c r="L192" s="33">
        <v>1611</v>
      </c>
      <c r="M192" s="33">
        <v>1104.05</v>
      </c>
      <c r="N192" s="33" t="s">
        <v>44</v>
      </c>
      <c r="O192" s="33">
        <v>180</v>
      </c>
      <c r="P192" s="33">
        <v>155</v>
      </c>
      <c r="Q192" s="46">
        <f t="shared" si="8"/>
        <v>86.1111111111111</v>
      </c>
      <c r="R192" s="33" t="s">
        <v>28</v>
      </c>
      <c r="S192" s="47" t="str">
        <f t="shared" si="6"/>
        <v>2024-11</v>
      </c>
      <c r="T192" s="33">
        <v>0</v>
      </c>
    </row>
    <row r="193" spans="1:20" ht="25.5">
      <c r="A193" s="37" t="s">
        <v>690</v>
      </c>
      <c r="B193" s="48">
        <v>45015</v>
      </c>
      <c r="C193" s="33" t="s">
        <v>63</v>
      </c>
      <c r="D193" s="37" t="s">
        <v>174</v>
      </c>
      <c r="E193" s="37" t="s">
        <v>175</v>
      </c>
      <c r="F193" s="37" t="s">
        <v>95</v>
      </c>
      <c r="G193" s="33" t="str">
        <f t="shared" si="7"/>
        <v>New York → Las Vegas</v>
      </c>
      <c r="H193" s="37" t="s">
        <v>96</v>
      </c>
      <c r="I193" s="37" t="s">
        <v>476</v>
      </c>
      <c r="J193" s="37" t="s">
        <v>362</v>
      </c>
      <c r="K193" s="37">
        <v>241</v>
      </c>
      <c r="L193" s="37">
        <v>924</v>
      </c>
      <c r="M193" s="37">
        <v>299.73</v>
      </c>
      <c r="N193" s="37" t="s">
        <v>60</v>
      </c>
      <c r="O193" s="37">
        <v>197</v>
      </c>
      <c r="P193" s="37">
        <v>195</v>
      </c>
      <c r="Q193" s="46">
        <f t="shared" si="8"/>
        <v>98.984771573604107</v>
      </c>
      <c r="R193" s="37" t="s">
        <v>70</v>
      </c>
      <c r="S193" s="49" t="str">
        <f t="shared" si="6"/>
        <v>2023-03</v>
      </c>
      <c r="T193" s="37">
        <v>142</v>
      </c>
    </row>
    <row r="194" spans="1:20">
      <c r="A194" s="33" t="s">
        <v>692</v>
      </c>
      <c r="B194" s="45">
        <v>45253</v>
      </c>
      <c r="C194" s="33" t="s">
        <v>1462</v>
      </c>
      <c r="D194" s="33" t="s">
        <v>79</v>
      </c>
      <c r="E194" s="33" t="s">
        <v>80</v>
      </c>
      <c r="F194" s="33" t="s">
        <v>116</v>
      </c>
      <c r="G194" s="33" t="str">
        <f t="shared" si="7"/>
        <v>Newark → Houston</v>
      </c>
      <c r="H194" s="33" t="s">
        <v>117</v>
      </c>
      <c r="I194" s="33" t="s">
        <v>473</v>
      </c>
      <c r="J194" s="33" t="s">
        <v>545</v>
      </c>
      <c r="K194" s="33">
        <v>465</v>
      </c>
      <c r="L194" s="33">
        <v>1742</v>
      </c>
      <c r="M194" s="33">
        <v>269.58</v>
      </c>
      <c r="N194" s="33" t="s">
        <v>27</v>
      </c>
      <c r="O194" s="33">
        <v>239</v>
      </c>
      <c r="P194" s="33">
        <v>175</v>
      </c>
      <c r="Q194" s="46">
        <f t="shared" si="8"/>
        <v>73.221757322175705</v>
      </c>
      <c r="R194" s="33" t="s">
        <v>28</v>
      </c>
      <c r="S194" s="47" t="str">
        <f t="shared" ref="S194:S257" si="9">TEXT(B194,"YYYY-MM")</f>
        <v>2023-11</v>
      </c>
      <c r="T194" s="33">
        <v>0</v>
      </c>
    </row>
    <row r="195" spans="1:20" ht="25.5">
      <c r="A195" s="37" t="s">
        <v>694</v>
      </c>
      <c r="B195" s="48">
        <v>44682</v>
      </c>
      <c r="C195" s="33" t="s">
        <v>20</v>
      </c>
      <c r="D195" s="37" t="s">
        <v>54</v>
      </c>
      <c r="E195" s="37" t="s">
        <v>55</v>
      </c>
      <c r="F195" s="37" t="s">
        <v>56</v>
      </c>
      <c r="G195" s="33" t="str">
        <f t="shared" ref="G195:G258" si="10">D195&amp;" → "&amp;F195</f>
        <v>Chicago → Los Angeles</v>
      </c>
      <c r="H195" s="37" t="s">
        <v>57</v>
      </c>
      <c r="I195" s="37" t="s">
        <v>158</v>
      </c>
      <c r="J195" s="37" t="s">
        <v>696</v>
      </c>
      <c r="K195" s="37">
        <v>160</v>
      </c>
      <c r="L195" s="37">
        <v>2883</v>
      </c>
      <c r="M195" s="37">
        <v>339.21</v>
      </c>
      <c r="N195" s="37" t="s">
        <v>27</v>
      </c>
      <c r="O195" s="37">
        <v>138</v>
      </c>
      <c r="P195" s="37">
        <v>51</v>
      </c>
      <c r="Q195" s="46">
        <f t="shared" ref="Q195:Q258" si="11">P195/O195*100</f>
        <v>36.956521739130402</v>
      </c>
      <c r="R195" s="37" t="s">
        <v>28</v>
      </c>
      <c r="S195" s="49" t="str">
        <f t="shared" si="9"/>
        <v>2022-05</v>
      </c>
      <c r="T195" s="37">
        <v>0</v>
      </c>
    </row>
    <row r="196" spans="1:20" ht="25.5">
      <c r="A196" s="33" t="s">
        <v>697</v>
      </c>
      <c r="B196" s="45">
        <v>45495</v>
      </c>
      <c r="C196" s="33" t="s">
        <v>47</v>
      </c>
      <c r="D196" s="33" t="s">
        <v>56</v>
      </c>
      <c r="E196" s="33" t="s">
        <v>57</v>
      </c>
      <c r="F196" s="33" t="s">
        <v>116</v>
      </c>
      <c r="G196" s="33" t="str">
        <f t="shared" si="10"/>
        <v>Los Angeles → Houston</v>
      </c>
      <c r="H196" s="33" t="s">
        <v>117</v>
      </c>
      <c r="I196" s="33" t="s">
        <v>206</v>
      </c>
      <c r="J196" s="33" t="s">
        <v>699</v>
      </c>
      <c r="K196" s="33">
        <v>98</v>
      </c>
      <c r="L196" s="33">
        <v>327</v>
      </c>
      <c r="M196" s="33">
        <v>627.39</v>
      </c>
      <c r="N196" s="33" t="s">
        <v>44</v>
      </c>
      <c r="O196" s="33">
        <v>103</v>
      </c>
      <c r="P196" s="33">
        <v>51</v>
      </c>
      <c r="Q196" s="46">
        <f t="shared" si="11"/>
        <v>49.514563106796103</v>
      </c>
      <c r="R196" s="33" t="s">
        <v>28</v>
      </c>
      <c r="S196" s="47" t="str">
        <f t="shared" si="9"/>
        <v>2024-07</v>
      </c>
      <c r="T196" s="33">
        <v>0</v>
      </c>
    </row>
    <row r="197" spans="1:20">
      <c r="A197" s="37" t="s">
        <v>700</v>
      </c>
      <c r="B197" s="48">
        <v>45124</v>
      </c>
      <c r="C197" s="33" t="s">
        <v>1462</v>
      </c>
      <c r="D197" s="37" t="s">
        <v>174</v>
      </c>
      <c r="E197" s="37" t="s">
        <v>175</v>
      </c>
      <c r="F197" s="37" t="s">
        <v>32</v>
      </c>
      <c r="G197" s="33" t="str">
        <f t="shared" si="10"/>
        <v>New York → Orlando</v>
      </c>
      <c r="H197" s="37" t="s">
        <v>33</v>
      </c>
      <c r="I197" s="37" t="s">
        <v>648</v>
      </c>
      <c r="J197" s="37" t="s">
        <v>702</v>
      </c>
      <c r="K197" s="37">
        <v>181</v>
      </c>
      <c r="L197" s="37">
        <v>738</v>
      </c>
      <c r="M197" s="37">
        <v>1108.21</v>
      </c>
      <c r="N197" s="37" t="s">
        <v>27</v>
      </c>
      <c r="O197" s="37">
        <v>138</v>
      </c>
      <c r="P197" s="37">
        <v>80</v>
      </c>
      <c r="Q197" s="46">
        <f t="shared" si="11"/>
        <v>57.971014492753604</v>
      </c>
      <c r="R197" s="37" t="s">
        <v>28</v>
      </c>
      <c r="S197" s="49" t="str">
        <f t="shared" si="9"/>
        <v>2023-07</v>
      </c>
      <c r="T197" s="37">
        <v>0</v>
      </c>
    </row>
    <row r="198" spans="1:20" ht="25.5">
      <c r="A198" s="33" t="s">
        <v>703</v>
      </c>
      <c r="B198" s="45">
        <v>45640</v>
      </c>
      <c r="C198" s="33" t="s">
        <v>1462</v>
      </c>
      <c r="D198" s="33" t="s">
        <v>64</v>
      </c>
      <c r="E198" s="33" t="s">
        <v>65</v>
      </c>
      <c r="F198" s="33" t="s">
        <v>21</v>
      </c>
      <c r="G198" s="33" t="str">
        <f t="shared" si="10"/>
        <v>San Francisco → Boston</v>
      </c>
      <c r="H198" s="33" t="s">
        <v>22</v>
      </c>
      <c r="I198" s="33" t="s">
        <v>453</v>
      </c>
      <c r="J198" s="33" t="s">
        <v>706</v>
      </c>
      <c r="K198" s="33">
        <v>281</v>
      </c>
      <c r="L198" s="33">
        <v>1963</v>
      </c>
      <c r="M198" s="33">
        <v>594.08000000000004</v>
      </c>
      <c r="N198" s="33" t="s">
        <v>60</v>
      </c>
      <c r="O198" s="33">
        <v>278</v>
      </c>
      <c r="P198" s="33">
        <v>107</v>
      </c>
      <c r="Q198" s="46">
        <f t="shared" si="11"/>
        <v>38.489208633093497</v>
      </c>
      <c r="R198" s="33" t="s">
        <v>28</v>
      </c>
      <c r="S198" s="47" t="str">
        <f t="shared" si="9"/>
        <v>2024-12</v>
      </c>
      <c r="T198" s="33">
        <v>0</v>
      </c>
    </row>
    <row r="199" spans="1:20">
      <c r="A199" s="37" t="s">
        <v>707</v>
      </c>
      <c r="B199" s="48">
        <v>44727</v>
      </c>
      <c r="C199" s="33" t="s">
        <v>20</v>
      </c>
      <c r="D199" s="37" t="s">
        <v>54</v>
      </c>
      <c r="E199" s="37" t="s">
        <v>55</v>
      </c>
      <c r="F199" s="37" t="s">
        <v>129</v>
      </c>
      <c r="G199" s="33" t="str">
        <f t="shared" si="10"/>
        <v>Chicago → Detroit</v>
      </c>
      <c r="H199" s="37" t="s">
        <v>130</v>
      </c>
      <c r="I199" s="37" t="s">
        <v>465</v>
      </c>
      <c r="J199" s="37" t="s">
        <v>709</v>
      </c>
      <c r="K199" s="37">
        <v>372</v>
      </c>
      <c r="L199" s="37">
        <v>2249</v>
      </c>
      <c r="M199" s="37">
        <v>142.85</v>
      </c>
      <c r="N199" s="37" t="s">
        <v>60</v>
      </c>
      <c r="O199" s="37">
        <v>279</v>
      </c>
      <c r="P199" s="37">
        <v>93</v>
      </c>
      <c r="Q199" s="46">
        <f t="shared" si="11"/>
        <v>33.3333333333333</v>
      </c>
      <c r="R199" s="37" t="s">
        <v>28</v>
      </c>
      <c r="S199" s="49" t="str">
        <f t="shared" si="9"/>
        <v>2022-06</v>
      </c>
      <c r="T199" s="37">
        <v>0</v>
      </c>
    </row>
    <row r="200" spans="1:20">
      <c r="A200" s="33" t="s">
        <v>710</v>
      </c>
      <c r="B200" s="45">
        <v>45450</v>
      </c>
      <c r="C200" s="33" t="s">
        <v>47</v>
      </c>
      <c r="D200" s="33" t="s">
        <v>54</v>
      </c>
      <c r="E200" s="33" t="s">
        <v>74</v>
      </c>
      <c r="F200" s="33" t="s">
        <v>197</v>
      </c>
      <c r="G200" s="33" t="str">
        <f t="shared" si="10"/>
        <v>Chicago → Atlanta</v>
      </c>
      <c r="H200" s="33" t="s">
        <v>198</v>
      </c>
      <c r="I200" s="33" t="s">
        <v>712</v>
      </c>
      <c r="J200" s="33" t="s">
        <v>713</v>
      </c>
      <c r="K200" s="33">
        <v>207</v>
      </c>
      <c r="L200" s="33">
        <v>1165</v>
      </c>
      <c r="M200" s="33">
        <v>1089.43</v>
      </c>
      <c r="N200" s="33" t="s">
        <v>27</v>
      </c>
      <c r="O200" s="33">
        <v>327</v>
      </c>
      <c r="P200" s="33">
        <v>293</v>
      </c>
      <c r="Q200" s="46">
        <f t="shared" si="11"/>
        <v>89.602446483180401</v>
      </c>
      <c r="R200" s="33" t="s">
        <v>28</v>
      </c>
      <c r="S200" s="47" t="str">
        <f t="shared" si="9"/>
        <v>2024-06</v>
      </c>
      <c r="T200" s="33">
        <v>0</v>
      </c>
    </row>
    <row r="201" spans="1:20">
      <c r="A201" s="37" t="s">
        <v>714</v>
      </c>
      <c r="B201" s="48">
        <v>44714</v>
      </c>
      <c r="C201" s="33" t="s">
        <v>1462</v>
      </c>
      <c r="D201" s="37" t="s">
        <v>32</v>
      </c>
      <c r="E201" s="37" t="s">
        <v>33</v>
      </c>
      <c r="F201" s="37" t="s">
        <v>48</v>
      </c>
      <c r="G201" s="33" t="str">
        <f t="shared" si="10"/>
        <v>Orlando → San Diego</v>
      </c>
      <c r="H201" s="37" t="s">
        <v>49</v>
      </c>
      <c r="I201" s="37" t="s">
        <v>266</v>
      </c>
      <c r="J201" s="37" t="s">
        <v>716</v>
      </c>
      <c r="K201" s="37">
        <v>181</v>
      </c>
      <c r="L201" s="37">
        <v>1588</v>
      </c>
      <c r="M201" s="37">
        <v>97.54</v>
      </c>
      <c r="N201" s="37" t="s">
        <v>60</v>
      </c>
      <c r="O201" s="37">
        <v>250</v>
      </c>
      <c r="P201" s="37">
        <v>86</v>
      </c>
      <c r="Q201" s="46">
        <f t="shared" si="11"/>
        <v>34.4</v>
      </c>
      <c r="R201" s="37" t="s">
        <v>70</v>
      </c>
      <c r="S201" s="49" t="str">
        <f t="shared" si="9"/>
        <v>2022-06</v>
      </c>
      <c r="T201" s="37">
        <v>116</v>
      </c>
    </row>
    <row r="202" spans="1:20">
      <c r="A202" s="33" t="s">
        <v>717</v>
      </c>
      <c r="B202" s="45">
        <v>44719</v>
      </c>
      <c r="C202" s="33" t="s">
        <v>1462</v>
      </c>
      <c r="D202" s="33" t="s">
        <v>38</v>
      </c>
      <c r="E202" s="33" t="s">
        <v>39</v>
      </c>
      <c r="F202" s="33" t="s">
        <v>48</v>
      </c>
      <c r="G202" s="33" t="str">
        <f t="shared" si="10"/>
        <v>Miami → San Diego</v>
      </c>
      <c r="H202" s="33" t="s">
        <v>49</v>
      </c>
      <c r="I202" s="33" t="s">
        <v>417</v>
      </c>
      <c r="J202" s="33" t="s">
        <v>719</v>
      </c>
      <c r="K202" s="33">
        <v>436</v>
      </c>
      <c r="L202" s="33">
        <v>2514</v>
      </c>
      <c r="M202" s="33">
        <v>451.54</v>
      </c>
      <c r="N202" s="33" t="s">
        <v>27</v>
      </c>
      <c r="O202" s="33">
        <v>135</v>
      </c>
      <c r="P202" s="33">
        <v>60</v>
      </c>
      <c r="Q202" s="46">
        <f t="shared" si="11"/>
        <v>44.4444444444444</v>
      </c>
      <c r="R202" s="33" t="s">
        <v>28</v>
      </c>
      <c r="S202" s="47" t="str">
        <f t="shared" si="9"/>
        <v>2022-06</v>
      </c>
      <c r="T202" s="33">
        <v>0</v>
      </c>
    </row>
    <row r="203" spans="1:20">
      <c r="A203" s="37" t="s">
        <v>720</v>
      </c>
      <c r="B203" s="48">
        <v>45270</v>
      </c>
      <c r="C203" s="33" t="s">
        <v>20</v>
      </c>
      <c r="D203" s="37" t="s">
        <v>197</v>
      </c>
      <c r="E203" s="37" t="s">
        <v>198</v>
      </c>
      <c r="F203" s="37" t="s">
        <v>40</v>
      </c>
      <c r="G203" s="33" t="str">
        <f t="shared" si="10"/>
        <v>Atlanta → Charlotte</v>
      </c>
      <c r="H203" s="37" t="s">
        <v>41</v>
      </c>
      <c r="I203" s="37" t="s">
        <v>426</v>
      </c>
      <c r="J203" s="37" t="s">
        <v>522</v>
      </c>
      <c r="K203" s="37">
        <v>264</v>
      </c>
      <c r="L203" s="37">
        <v>2778</v>
      </c>
      <c r="M203" s="37">
        <v>941.29</v>
      </c>
      <c r="N203" s="37" t="s">
        <v>27</v>
      </c>
      <c r="O203" s="37">
        <v>201</v>
      </c>
      <c r="P203" s="37">
        <v>133</v>
      </c>
      <c r="Q203" s="46">
        <f t="shared" si="11"/>
        <v>66.169154228855703</v>
      </c>
      <c r="R203" s="37" t="s">
        <v>28</v>
      </c>
      <c r="S203" s="49" t="str">
        <f t="shared" si="9"/>
        <v>2023-12</v>
      </c>
      <c r="T203" s="37">
        <v>0</v>
      </c>
    </row>
    <row r="204" spans="1:20">
      <c r="A204" s="33" t="s">
        <v>721</v>
      </c>
      <c r="B204" s="45">
        <v>45121</v>
      </c>
      <c r="C204" s="33" t="s">
        <v>115</v>
      </c>
      <c r="D204" s="33" t="s">
        <v>79</v>
      </c>
      <c r="E204" s="33" t="s">
        <v>80</v>
      </c>
      <c r="F204" s="33" t="s">
        <v>23</v>
      </c>
      <c r="G204" s="33" t="str">
        <f t="shared" si="10"/>
        <v>Newark → Denver</v>
      </c>
      <c r="H204" s="33" t="s">
        <v>24</v>
      </c>
      <c r="I204" s="33" t="s">
        <v>193</v>
      </c>
      <c r="J204" s="33" t="s">
        <v>723</v>
      </c>
      <c r="K204" s="33">
        <v>311</v>
      </c>
      <c r="L204" s="33">
        <v>1060</v>
      </c>
      <c r="M204" s="33">
        <v>841.26</v>
      </c>
      <c r="N204" s="33" t="s">
        <v>27</v>
      </c>
      <c r="O204" s="33">
        <v>197</v>
      </c>
      <c r="P204" s="33">
        <v>71</v>
      </c>
      <c r="Q204" s="46">
        <f t="shared" si="11"/>
        <v>36.040609137055803</v>
      </c>
      <c r="R204" s="33" t="s">
        <v>70</v>
      </c>
      <c r="S204" s="47" t="str">
        <f t="shared" si="9"/>
        <v>2023-07</v>
      </c>
      <c r="T204" s="33">
        <v>90</v>
      </c>
    </row>
    <row r="205" spans="1:20">
      <c r="A205" s="37" t="s">
        <v>724</v>
      </c>
      <c r="B205" s="48">
        <v>45066</v>
      </c>
      <c r="C205" s="33" t="s">
        <v>94</v>
      </c>
      <c r="D205" s="37" t="s">
        <v>54</v>
      </c>
      <c r="E205" s="37" t="s">
        <v>55</v>
      </c>
      <c r="F205" s="37" t="s">
        <v>95</v>
      </c>
      <c r="G205" s="33" t="str">
        <f t="shared" si="10"/>
        <v>Chicago → Las Vegas</v>
      </c>
      <c r="H205" s="37" t="s">
        <v>96</v>
      </c>
      <c r="I205" s="37" t="s">
        <v>86</v>
      </c>
      <c r="J205" s="37" t="s">
        <v>726</v>
      </c>
      <c r="K205" s="37">
        <v>454</v>
      </c>
      <c r="L205" s="37">
        <v>2896</v>
      </c>
      <c r="M205" s="37">
        <v>252.79</v>
      </c>
      <c r="N205" s="37" t="s">
        <v>44</v>
      </c>
      <c r="O205" s="37">
        <v>181</v>
      </c>
      <c r="P205" s="37">
        <v>142</v>
      </c>
      <c r="Q205" s="46">
        <f t="shared" si="11"/>
        <v>78.453038674033195</v>
      </c>
      <c r="R205" s="37" t="s">
        <v>28</v>
      </c>
      <c r="S205" s="49" t="str">
        <f t="shared" si="9"/>
        <v>2023-05</v>
      </c>
      <c r="T205" s="37">
        <v>0</v>
      </c>
    </row>
    <row r="206" spans="1:20" ht="25.5">
      <c r="A206" s="33" t="s">
        <v>727</v>
      </c>
      <c r="B206" s="45">
        <v>44572</v>
      </c>
      <c r="C206" s="33" t="s">
        <v>1462</v>
      </c>
      <c r="D206" s="33" t="s">
        <v>40</v>
      </c>
      <c r="E206" s="33" t="s">
        <v>41</v>
      </c>
      <c r="F206" s="33" t="s">
        <v>64</v>
      </c>
      <c r="G206" s="33" t="str">
        <f t="shared" si="10"/>
        <v>Charlotte → San Francisco</v>
      </c>
      <c r="H206" s="33" t="s">
        <v>65</v>
      </c>
      <c r="I206" s="33" t="s">
        <v>378</v>
      </c>
      <c r="J206" s="33" t="s">
        <v>729</v>
      </c>
      <c r="K206" s="33">
        <v>157</v>
      </c>
      <c r="L206" s="33">
        <v>657</v>
      </c>
      <c r="M206" s="33">
        <v>289.88</v>
      </c>
      <c r="N206" s="33" t="s">
        <v>44</v>
      </c>
      <c r="O206" s="33">
        <v>242</v>
      </c>
      <c r="P206" s="33">
        <v>192</v>
      </c>
      <c r="Q206" s="46">
        <f t="shared" si="11"/>
        <v>79.338842975206603</v>
      </c>
      <c r="R206" s="33" t="s">
        <v>28</v>
      </c>
      <c r="S206" s="47" t="str">
        <f t="shared" si="9"/>
        <v>2022-01</v>
      </c>
      <c r="T206" s="33">
        <v>0</v>
      </c>
    </row>
    <row r="207" spans="1:20" ht="25.5">
      <c r="A207" s="37" t="s">
        <v>730</v>
      </c>
      <c r="B207" s="48">
        <v>44773</v>
      </c>
      <c r="C207" s="33" t="s">
        <v>20</v>
      </c>
      <c r="D207" s="37" t="s">
        <v>54</v>
      </c>
      <c r="E207" s="37" t="s">
        <v>55</v>
      </c>
      <c r="F207" s="37" t="s">
        <v>66</v>
      </c>
      <c r="G207" s="33" t="str">
        <f t="shared" si="10"/>
        <v>Chicago → Minneapolis</v>
      </c>
      <c r="H207" s="37" t="s">
        <v>67</v>
      </c>
      <c r="I207" s="37" t="s">
        <v>571</v>
      </c>
      <c r="J207" s="37" t="s">
        <v>263</v>
      </c>
      <c r="K207" s="37">
        <v>395</v>
      </c>
      <c r="L207" s="37">
        <v>2749</v>
      </c>
      <c r="M207" s="37">
        <v>958.57</v>
      </c>
      <c r="N207" s="37" t="s">
        <v>44</v>
      </c>
      <c r="O207" s="37">
        <v>103</v>
      </c>
      <c r="P207" s="37">
        <v>68</v>
      </c>
      <c r="Q207" s="46">
        <f t="shared" si="11"/>
        <v>66.019417475728204</v>
      </c>
      <c r="R207" s="37" t="s">
        <v>28</v>
      </c>
      <c r="S207" s="49" t="str">
        <f t="shared" si="9"/>
        <v>2022-07</v>
      </c>
      <c r="T207" s="37">
        <v>0</v>
      </c>
    </row>
    <row r="208" spans="1:20">
      <c r="A208" s="33" t="s">
        <v>732</v>
      </c>
      <c r="B208" s="45">
        <v>44735</v>
      </c>
      <c r="C208" s="33" t="s">
        <v>31</v>
      </c>
      <c r="D208" s="33" t="s">
        <v>54</v>
      </c>
      <c r="E208" s="33" t="s">
        <v>74</v>
      </c>
      <c r="F208" s="33" t="s">
        <v>116</v>
      </c>
      <c r="G208" s="33" t="str">
        <f t="shared" si="10"/>
        <v>Chicago → Houston</v>
      </c>
      <c r="H208" s="33" t="s">
        <v>117</v>
      </c>
      <c r="I208" s="33" t="s">
        <v>97</v>
      </c>
      <c r="J208" s="33" t="s">
        <v>733</v>
      </c>
      <c r="K208" s="33">
        <v>176</v>
      </c>
      <c r="L208" s="33">
        <v>868</v>
      </c>
      <c r="M208" s="33">
        <v>381.19</v>
      </c>
      <c r="N208" s="33" t="s">
        <v>44</v>
      </c>
      <c r="O208" s="33">
        <v>226</v>
      </c>
      <c r="P208" s="33">
        <v>87</v>
      </c>
      <c r="Q208" s="46">
        <f t="shared" si="11"/>
        <v>38.495575221238902</v>
      </c>
      <c r="R208" s="33" t="s">
        <v>28</v>
      </c>
      <c r="S208" s="47" t="str">
        <f t="shared" si="9"/>
        <v>2022-06</v>
      </c>
      <c r="T208" s="33">
        <v>0</v>
      </c>
    </row>
    <row r="209" spans="1:20">
      <c r="A209" s="37" t="s">
        <v>734</v>
      </c>
      <c r="B209" s="48">
        <v>45452</v>
      </c>
      <c r="C209" s="33" t="s">
        <v>1462</v>
      </c>
      <c r="D209" s="37" t="s">
        <v>129</v>
      </c>
      <c r="E209" s="37" t="s">
        <v>130</v>
      </c>
      <c r="F209" s="37" t="s">
        <v>95</v>
      </c>
      <c r="G209" s="33" t="str">
        <f t="shared" si="10"/>
        <v>Detroit → Las Vegas</v>
      </c>
      <c r="H209" s="37" t="s">
        <v>96</v>
      </c>
      <c r="I209" s="37" t="s">
        <v>240</v>
      </c>
      <c r="J209" s="37" t="s">
        <v>736</v>
      </c>
      <c r="K209" s="37">
        <v>274</v>
      </c>
      <c r="L209" s="37">
        <v>1330</v>
      </c>
      <c r="M209" s="37">
        <v>1137.53</v>
      </c>
      <c r="N209" s="37" t="s">
        <v>27</v>
      </c>
      <c r="O209" s="37">
        <v>260</v>
      </c>
      <c r="P209" s="37">
        <v>176</v>
      </c>
      <c r="Q209" s="46">
        <f t="shared" si="11"/>
        <v>67.692307692307693</v>
      </c>
      <c r="R209" s="37" t="s">
        <v>28</v>
      </c>
      <c r="S209" s="49" t="str">
        <f t="shared" si="9"/>
        <v>2024-06</v>
      </c>
      <c r="T209" s="37">
        <v>0</v>
      </c>
    </row>
    <row r="210" spans="1:20">
      <c r="A210" s="33" t="s">
        <v>737</v>
      </c>
      <c r="B210" s="45">
        <v>44962</v>
      </c>
      <c r="C210" s="33" t="s">
        <v>115</v>
      </c>
      <c r="D210" s="33" t="s">
        <v>197</v>
      </c>
      <c r="E210" s="33" t="s">
        <v>198</v>
      </c>
      <c r="F210" s="33" t="s">
        <v>38</v>
      </c>
      <c r="G210" s="33" t="str">
        <f t="shared" si="10"/>
        <v>Atlanta → Miami</v>
      </c>
      <c r="H210" s="33" t="s">
        <v>39</v>
      </c>
      <c r="I210" s="33" t="s">
        <v>296</v>
      </c>
      <c r="J210" s="33" t="s">
        <v>739</v>
      </c>
      <c r="K210" s="33">
        <v>292</v>
      </c>
      <c r="L210" s="33">
        <v>1660</v>
      </c>
      <c r="M210" s="33">
        <v>1022.61</v>
      </c>
      <c r="N210" s="33" t="s">
        <v>44</v>
      </c>
      <c r="O210" s="33">
        <v>305</v>
      </c>
      <c r="P210" s="33">
        <v>218</v>
      </c>
      <c r="Q210" s="46">
        <f t="shared" si="11"/>
        <v>71.475409836065595</v>
      </c>
      <c r="R210" s="33" t="s">
        <v>28</v>
      </c>
      <c r="S210" s="47" t="str">
        <f t="shared" si="9"/>
        <v>2023-02</v>
      </c>
      <c r="T210" s="33">
        <v>0</v>
      </c>
    </row>
    <row r="211" spans="1:20" ht="25.5">
      <c r="A211" s="37" t="s">
        <v>740</v>
      </c>
      <c r="B211" s="48">
        <v>45443</v>
      </c>
      <c r="C211" s="33" t="s">
        <v>63</v>
      </c>
      <c r="D211" s="37" t="s">
        <v>95</v>
      </c>
      <c r="E211" s="37" t="s">
        <v>96</v>
      </c>
      <c r="F211" s="37" t="s">
        <v>64</v>
      </c>
      <c r="G211" s="33" t="str">
        <f t="shared" si="10"/>
        <v>Las Vegas → San Francisco</v>
      </c>
      <c r="H211" s="37" t="s">
        <v>65</v>
      </c>
      <c r="I211" s="37" t="s">
        <v>494</v>
      </c>
      <c r="J211" s="37" t="s">
        <v>742</v>
      </c>
      <c r="K211" s="37">
        <v>335</v>
      </c>
      <c r="L211" s="37">
        <v>1586</v>
      </c>
      <c r="M211" s="37">
        <v>278.95</v>
      </c>
      <c r="N211" s="37" t="s">
        <v>44</v>
      </c>
      <c r="O211" s="37">
        <v>347</v>
      </c>
      <c r="P211" s="37">
        <v>213</v>
      </c>
      <c r="Q211" s="46">
        <f t="shared" si="11"/>
        <v>61.383285302593698</v>
      </c>
      <c r="R211" s="37" t="s">
        <v>28</v>
      </c>
      <c r="S211" s="49" t="str">
        <f t="shared" si="9"/>
        <v>2024-05</v>
      </c>
      <c r="T211" s="37">
        <v>0</v>
      </c>
    </row>
    <row r="212" spans="1:20">
      <c r="A212" s="33" t="s">
        <v>743</v>
      </c>
      <c r="B212" s="45">
        <v>45567</v>
      </c>
      <c r="C212" s="33" t="s">
        <v>31</v>
      </c>
      <c r="D212" s="33" t="s">
        <v>156</v>
      </c>
      <c r="E212" s="33" t="s">
        <v>157</v>
      </c>
      <c r="F212" s="33" t="s">
        <v>129</v>
      </c>
      <c r="G212" s="33" t="str">
        <f t="shared" si="10"/>
        <v>Phoenix → Detroit</v>
      </c>
      <c r="H212" s="33" t="s">
        <v>130</v>
      </c>
      <c r="I212" s="33" t="s">
        <v>140</v>
      </c>
      <c r="J212" s="33" t="s">
        <v>745</v>
      </c>
      <c r="K212" s="33">
        <v>276</v>
      </c>
      <c r="L212" s="33">
        <v>766</v>
      </c>
      <c r="M212" s="33">
        <v>1123.92</v>
      </c>
      <c r="N212" s="33" t="s">
        <v>60</v>
      </c>
      <c r="O212" s="33">
        <v>251</v>
      </c>
      <c r="P212" s="33">
        <v>189</v>
      </c>
      <c r="Q212" s="46">
        <f t="shared" si="11"/>
        <v>75.298804780876495</v>
      </c>
      <c r="R212" s="33" t="s">
        <v>28</v>
      </c>
      <c r="S212" s="47" t="str">
        <f t="shared" si="9"/>
        <v>2024-10</v>
      </c>
      <c r="T212" s="33">
        <v>0</v>
      </c>
    </row>
    <row r="213" spans="1:20">
      <c r="A213" s="37" t="s">
        <v>746</v>
      </c>
      <c r="B213" s="48">
        <v>44617</v>
      </c>
      <c r="C213" s="33" t="s">
        <v>115</v>
      </c>
      <c r="D213" s="37" t="s">
        <v>183</v>
      </c>
      <c r="E213" s="37" t="s">
        <v>184</v>
      </c>
      <c r="F213" s="37" t="s">
        <v>79</v>
      </c>
      <c r="G213" s="33" t="str">
        <f t="shared" si="10"/>
        <v>Seattle → Newark</v>
      </c>
      <c r="H213" s="37" t="s">
        <v>80</v>
      </c>
      <c r="I213" s="37" t="s">
        <v>296</v>
      </c>
      <c r="J213" s="37" t="s">
        <v>69</v>
      </c>
      <c r="K213" s="37">
        <v>299</v>
      </c>
      <c r="L213" s="37">
        <v>2345</v>
      </c>
      <c r="M213" s="37">
        <v>235.88</v>
      </c>
      <c r="N213" s="37" t="s">
        <v>44</v>
      </c>
      <c r="O213" s="37">
        <v>161</v>
      </c>
      <c r="P213" s="37">
        <v>82</v>
      </c>
      <c r="Q213" s="46">
        <f t="shared" si="11"/>
        <v>50.931677018633501</v>
      </c>
      <c r="R213" s="37" t="s">
        <v>70</v>
      </c>
      <c r="S213" s="49" t="str">
        <f t="shared" si="9"/>
        <v>2022-02</v>
      </c>
      <c r="T213" s="37">
        <v>123</v>
      </c>
    </row>
    <row r="214" spans="1:20">
      <c r="A214" s="33" t="s">
        <v>748</v>
      </c>
      <c r="B214" s="45">
        <v>45334</v>
      </c>
      <c r="C214" s="33" t="s">
        <v>94</v>
      </c>
      <c r="D214" s="33" t="s">
        <v>40</v>
      </c>
      <c r="E214" s="33" t="s">
        <v>41</v>
      </c>
      <c r="F214" s="33" t="s">
        <v>116</v>
      </c>
      <c r="G214" s="33" t="str">
        <f t="shared" si="10"/>
        <v>Charlotte → Houston</v>
      </c>
      <c r="H214" s="33" t="s">
        <v>117</v>
      </c>
      <c r="I214" s="33" t="s">
        <v>342</v>
      </c>
      <c r="J214" s="33" t="s">
        <v>750</v>
      </c>
      <c r="K214" s="33">
        <v>363</v>
      </c>
      <c r="L214" s="33">
        <v>2375</v>
      </c>
      <c r="M214" s="33">
        <v>1114.32</v>
      </c>
      <c r="N214" t="s">
        <v>1463</v>
      </c>
      <c r="O214" s="33">
        <v>207</v>
      </c>
      <c r="P214" s="33">
        <v>189</v>
      </c>
      <c r="Q214" s="46">
        <f t="shared" si="11"/>
        <v>91.304347826086996</v>
      </c>
      <c r="R214" s="33" t="s">
        <v>28</v>
      </c>
      <c r="S214" s="47" t="str">
        <f t="shared" si="9"/>
        <v>2024-02</v>
      </c>
      <c r="T214" s="33">
        <v>0</v>
      </c>
    </row>
    <row r="215" spans="1:20">
      <c r="A215" s="37" t="s">
        <v>751</v>
      </c>
      <c r="B215" s="48">
        <v>45298</v>
      </c>
      <c r="C215" s="33" t="s">
        <v>94</v>
      </c>
      <c r="D215" s="37" t="s">
        <v>197</v>
      </c>
      <c r="E215" s="37" t="s">
        <v>198</v>
      </c>
      <c r="F215" s="37" t="s">
        <v>21</v>
      </c>
      <c r="G215" s="33" t="str">
        <f t="shared" si="10"/>
        <v>Atlanta → Boston</v>
      </c>
      <c r="H215" s="37" t="s">
        <v>22</v>
      </c>
      <c r="I215" s="37" t="s">
        <v>216</v>
      </c>
      <c r="J215" s="37" t="s">
        <v>753</v>
      </c>
      <c r="K215" s="37">
        <v>175</v>
      </c>
      <c r="L215" s="37">
        <v>2950</v>
      </c>
      <c r="M215" s="37">
        <v>766.2</v>
      </c>
      <c r="N215" s="37" t="s">
        <v>27</v>
      </c>
      <c r="O215" s="37">
        <v>265</v>
      </c>
      <c r="P215" s="37">
        <v>223</v>
      </c>
      <c r="Q215" s="46">
        <f t="shared" si="11"/>
        <v>84.150943396226396</v>
      </c>
      <c r="R215" s="37" t="s">
        <v>28</v>
      </c>
      <c r="S215" s="49" t="str">
        <f t="shared" si="9"/>
        <v>2024-01</v>
      </c>
      <c r="T215" s="37">
        <v>0</v>
      </c>
    </row>
    <row r="216" spans="1:20">
      <c r="A216" s="33" t="s">
        <v>754</v>
      </c>
      <c r="B216" s="45">
        <v>45241</v>
      </c>
      <c r="C216" s="33" t="s">
        <v>73</v>
      </c>
      <c r="D216" s="33" t="s">
        <v>197</v>
      </c>
      <c r="E216" s="33" t="s">
        <v>198</v>
      </c>
      <c r="F216" s="33" t="s">
        <v>174</v>
      </c>
      <c r="G216" s="33" t="str">
        <f t="shared" si="10"/>
        <v>Atlanta → New York</v>
      </c>
      <c r="H216" s="33" t="s">
        <v>175</v>
      </c>
      <c r="I216" s="33" t="s">
        <v>438</v>
      </c>
      <c r="J216" s="33" t="s">
        <v>756</v>
      </c>
      <c r="K216" s="33">
        <v>203</v>
      </c>
      <c r="L216" s="33">
        <v>2391</v>
      </c>
      <c r="M216" s="33">
        <v>916.48</v>
      </c>
      <c r="N216" s="33" t="s">
        <v>27</v>
      </c>
      <c r="O216" s="33">
        <v>248</v>
      </c>
      <c r="P216" s="33">
        <v>226</v>
      </c>
      <c r="Q216" s="46">
        <f t="shared" si="11"/>
        <v>91.129032258064498</v>
      </c>
      <c r="R216" s="33" t="s">
        <v>28</v>
      </c>
      <c r="S216" s="47" t="str">
        <f t="shared" si="9"/>
        <v>2023-11</v>
      </c>
      <c r="T216" s="33">
        <v>0</v>
      </c>
    </row>
    <row r="217" spans="1:20" ht="25.5">
      <c r="A217" s="37" t="s">
        <v>757</v>
      </c>
      <c r="B217" s="48">
        <v>45474</v>
      </c>
      <c r="C217" s="33" t="s">
        <v>47</v>
      </c>
      <c r="D217" s="37" t="s">
        <v>66</v>
      </c>
      <c r="E217" s="37" t="s">
        <v>67</v>
      </c>
      <c r="F217" s="37" t="s">
        <v>79</v>
      </c>
      <c r="G217" s="33" t="str">
        <f t="shared" si="10"/>
        <v>Minneapolis → Newark</v>
      </c>
      <c r="H217" s="37" t="s">
        <v>80</v>
      </c>
      <c r="I217" s="37" t="s">
        <v>58</v>
      </c>
      <c r="J217" s="37" t="s">
        <v>759</v>
      </c>
      <c r="K217" s="37">
        <v>266</v>
      </c>
      <c r="L217" s="37">
        <v>400</v>
      </c>
      <c r="M217" s="37">
        <v>620.70000000000005</v>
      </c>
      <c r="N217" s="37" t="s">
        <v>44</v>
      </c>
      <c r="O217" s="37">
        <v>206</v>
      </c>
      <c r="P217" s="37">
        <v>71</v>
      </c>
      <c r="Q217" s="46">
        <f t="shared" si="11"/>
        <v>34.4660194174757</v>
      </c>
      <c r="R217" s="37" t="s">
        <v>28</v>
      </c>
      <c r="S217" s="49" t="str">
        <f t="shared" si="9"/>
        <v>2024-07</v>
      </c>
      <c r="T217" s="37">
        <v>0</v>
      </c>
    </row>
    <row r="218" spans="1:20" ht="25.5">
      <c r="A218" s="33" t="s">
        <v>760</v>
      </c>
      <c r="B218" s="45">
        <v>44852</v>
      </c>
      <c r="C218" s="33" t="s">
        <v>47</v>
      </c>
      <c r="D218" s="33" t="s">
        <v>95</v>
      </c>
      <c r="E218" s="33" t="s">
        <v>96</v>
      </c>
      <c r="F218" s="33" t="s">
        <v>64</v>
      </c>
      <c r="G218" s="33" t="str">
        <f t="shared" si="10"/>
        <v>Las Vegas → San Francisco</v>
      </c>
      <c r="H218" s="33" t="s">
        <v>65</v>
      </c>
      <c r="I218" s="33" t="s">
        <v>473</v>
      </c>
      <c r="J218" s="33" t="s">
        <v>761</v>
      </c>
      <c r="K218" s="33">
        <v>356</v>
      </c>
      <c r="L218" s="33">
        <v>2278</v>
      </c>
      <c r="M218" s="33">
        <v>470.1</v>
      </c>
      <c r="N218" s="33" t="s">
        <v>60</v>
      </c>
      <c r="O218" s="33">
        <v>212</v>
      </c>
      <c r="P218" s="33">
        <v>165</v>
      </c>
      <c r="Q218" s="46">
        <f t="shared" si="11"/>
        <v>77.830188679245296</v>
      </c>
      <c r="R218" s="33" t="s">
        <v>28</v>
      </c>
      <c r="S218" s="47" t="str">
        <f t="shared" si="9"/>
        <v>2022-10</v>
      </c>
      <c r="T218" s="33">
        <v>0</v>
      </c>
    </row>
    <row r="219" spans="1:20">
      <c r="A219" s="37" t="s">
        <v>762</v>
      </c>
      <c r="B219" s="48">
        <v>45176</v>
      </c>
      <c r="C219" s="33" t="s">
        <v>20</v>
      </c>
      <c r="D219" s="37" t="s">
        <v>197</v>
      </c>
      <c r="E219" s="37" t="s">
        <v>198</v>
      </c>
      <c r="F219" s="37" t="s">
        <v>174</v>
      </c>
      <c r="G219" s="33" t="str">
        <f t="shared" si="10"/>
        <v>Atlanta → New York</v>
      </c>
      <c r="H219" s="37" t="s">
        <v>175</v>
      </c>
      <c r="I219" s="37" t="s">
        <v>763</v>
      </c>
      <c r="J219" s="37" t="s">
        <v>579</v>
      </c>
      <c r="K219" s="37">
        <v>436</v>
      </c>
      <c r="L219" s="37">
        <v>973</v>
      </c>
      <c r="M219" s="37">
        <v>1121.51</v>
      </c>
      <c r="N219" s="37" t="s">
        <v>27</v>
      </c>
      <c r="O219" s="37">
        <v>162</v>
      </c>
      <c r="P219" s="37">
        <v>116</v>
      </c>
      <c r="Q219" s="46">
        <f t="shared" si="11"/>
        <v>71.604938271604894</v>
      </c>
      <c r="R219" s="37" t="s">
        <v>28</v>
      </c>
      <c r="S219" s="49" t="str">
        <f t="shared" si="9"/>
        <v>2023-09</v>
      </c>
      <c r="T219" s="37">
        <v>0</v>
      </c>
    </row>
    <row r="220" spans="1:20">
      <c r="A220" s="33" t="s">
        <v>764</v>
      </c>
      <c r="B220" s="45">
        <v>44889</v>
      </c>
      <c r="C220" s="33" t="s">
        <v>47</v>
      </c>
      <c r="D220" s="33" t="s">
        <v>32</v>
      </c>
      <c r="E220" s="33" t="s">
        <v>33</v>
      </c>
      <c r="F220" s="33" t="s">
        <v>129</v>
      </c>
      <c r="G220" s="33" t="str">
        <f t="shared" si="10"/>
        <v>Orlando → Detroit</v>
      </c>
      <c r="H220" s="33" t="s">
        <v>130</v>
      </c>
      <c r="I220" s="33" t="s">
        <v>473</v>
      </c>
      <c r="J220" s="33" t="s">
        <v>466</v>
      </c>
      <c r="K220" s="33">
        <v>297</v>
      </c>
      <c r="L220" s="33">
        <v>2879</v>
      </c>
      <c r="M220" s="33">
        <v>286.58999999999997</v>
      </c>
      <c r="N220" s="33" t="s">
        <v>27</v>
      </c>
      <c r="O220" s="33">
        <v>268</v>
      </c>
      <c r="P220" s="33">
        <v>133</v>
      </c>
      <c r="Q220" s="46">
        <f t="shared" si="11"/>
        <v>49.626865671641802</v>
      </c>
      <c r="R220" s="33" t="s">
        <v>28</v>
      </c>
      <c r="S220" s="47" t="str">
        <f t="shared" si="9"/>
        <v>2022-11</v>
      </c>
      <c r="T220" s="33">
        <v>0</v>
      </c>
    </row>
    <row r="221" spans="1:20">
      <c r="A221" s="37" t="s">
        <v>765</v>
      </c>
      <c r="B221" s="48">
        <v>44966</v>
      </c>
      <c r="C221" s="33" t="s">
        <v>115</v>
      </c>
      <c r="D221" s="37" t="s">
        <v>54</v>
      </c>
      <c r="E221" s="37" t="s">
        <v>74</v>
      </c>
      <c r="F221" s="37" t="s">
        <v>129</v>
      </c>
      <c r="G221" s="33" t="str">
        <f t="shared" si="10"/>
        <v>Chicago → Detroit</v>
      </c>
      <c r="H221" s="37" t="s">
        <v>130</v>
      </c>
      <c r="I221" s="37" t="s">
        <v>453</v>
      </c>
      <c r="J221" s="37" t="s">
        <v>414</v>
      </c>
      <c r="K221" s="37">
        <v>450</v>
      </c>
      <c r="L221" s="37">
        <v>1179</v>
      </c>
      <c r="M221" s="37">
        <v>310.48</v>
      </c>
      <c r="N221" s="37" t="s">
        <v>27</v>
      </c>
      <c r="O221" s="37">
        <v>307</v>
      </c>
      <c r="P221" s="37">
        <v>82</v>
      </c>
      <c r="Q221" s="46">
        <f t="shared" si="11"/>
        <v>26.710097719869701</v>
      </c>
      <c r="R221" s="37" t="s">
        <v>28</v>
      </c>
      <c r="S221" s="49" t="str">
        <f t="shared" si="9"/>
        <v>2023-02</v>
      </c>
      <c r="T221" s="37">
        <v>0</v>
      </c>
    </row>
    <row r="222" spans="1:20">
      <c r="A222" s="33" t="s">
        <v>767</v>
      </c>
      <c r="B222" s="45">
        <v>44944</v>
      </c>
      <c r="C222" s="33" t="s">
        <v>47</v>
      </c>
      <c r="D222" s="33" t="s">
        <v>156</v>
      </c>
      <c r="E222" s="33" t="s">
        <v>157</v>
      </c>
      <c r="F222" s="33" t="s">
        <v>183</v>
      </c>
      <c r="G222" s="33" t="str">
        <f t="shared" si="10"/>
        <v>Phoenix → Seattle</v>
      </c>
      <c r="H222" s="33" t="s">
        <v>184</v>
      </c>
      <c r="I222" s="33" t="s">
        <v>135</v>
      </c>
      <c r="J222" s="33" t="s">
        <v>769</v>
      </c>
      <c r="K222" s="33">
        <v>224</v>
      </c>
      <c r="L222" s="33">
        <v>2304</v>
      </c>
      <c r="M222" s="33">
        <v>671.04</v>
      </c>
      <c r="N222" s="33" t="s">
        <v>27</v>
      </c>
      <c r="O222" s="33">
        <v>180</v>
      </c>
      <c r="P222" s="33">
        <v>149</v>
      </c>
      <c r="Q222" s="46">
        <f t="shared" si="11"/>
        <v>82.7777777777778</v>
      </c>
      <c r="R222" s="33" t="s">
        <v>28</v>
      </c>
      <c r="S222" s="47" t="str">
        <f t="shared" si="9"/>
        <v>2023-01</v>
      </c>
      <c r="T222" s="33">
        <v>0</v>
      </c>
    </row>
    <row r="223" spans="1:20" ht="25.5">
      <c r="A223" s="37" t="s">
        <v>770</v>
      </c>
      <c r="B223" s="48">
        <v>44795</v>
      </c>
      <c r="C223" s="33" t="s">
        <v>47</v>
      </c>
      <c r="D223" s="37" t="s">
        <v>64</v>
      </c>
      <c r="E223" s="37" t="s">
        <v>65</v>
      </c>
      <c r="F223" s="37" t="s">
        <v>79</v>
      </c>
      <c r="G223" s="33" t="str">
        <f t="shared" si="10"/>
        <v>San Francisco → Newark</v>
      </c>
      <c r="H223" s="37" t="s">
        <v>80</v>
      </c>
      <c r="I223" s="37" t="s">
        <v>494</v>
      </c>
      <c r="J223" s="37" t="s">
        <v>771</v>
      </c>
      <c r="K223" s="37">
        <v>434</v>
      </c>
      <c r="L223" s="37">
        <v>1518</v>
      </c>
      <c r="M223" s="37">
        <v>1108.92</v>
      </c>
      <c r="N223" s="37" t="s">
        <v>27</v>
      </c>
      <c r="O223" s="37">
        <v>121</v>
      </c>
      <c r="P223" s="37">
        <v>67</v>
      </c>
      <c r="Q223" s="46">
        <f t="shared" si="11"/>
        <v>55.3719008264463</v>
      </c>
      <c r="R223" s="37" t="s">
        <v>28</v>
      </c>
      <c r="S223" s="49" t="str">
        <f t="shared" si="9"/>
        <v>2022-08</v>
      </c>
      <c r="T223" s="37">
        <v>0</v>
      </c>
    </row>
    <row r="224" spans="1:20">
      <c r="A224" s="33" t="s">
        <v>772</v>
      </c>
      <c r="B224" s="45">
        <v>45050</v>
      </c>
      <c r="C224" s="33" t="s">
        <v>1462</v>
      </c>
      <c r="D224" s="33" t="s">
        <v>197</v>
      </c>
      <c r="E224" s="33" t="s">
        <v>198</v>
      </c>
      <c r="F224" s="33" t="s">
        <v>183</v>
      </c>
      <c r="G224" s="33" t="str">
        <f t="shared" si="10"/>
        <v>Atlanta → Seattle</v>
      </c>
      <c r="H224" s="33" t="s">
        <v>184</v>
      </c>
      <c r="I224" s="33" t="s">
        <v>774</v>
      </c>
      <c r="J224" s="33" t="s">
        <v>775</v>
      </c>
      <c r="K224" s="33">
        <v>351</v>
      </c>
      <c r="L224" s="33">
        <v>1891</v>
      </c>
      <c r="M224" s="33">
        <v>548.42999999999995</v>
      </c>
      <c r="N224" s="33" t="s">
        <v>60</v>
      </c>
      <c r="O224" s="33">
        <v>247</v>
      </c>
      <c r="P224" s="33">
        <v>148</v>
      </c>
      <c r="Q224" s="46">
        <f t="shared" si="11"/>
        <v>59.919028340080999</v>
      </c>
      <c r="R224" s="33" t="s">
        <v>28</v>
      </c>
      <c r="S224" s="47" t="str">
        <f t="shared" si="9"/>
        <v>2023-05</v>
      </c>
      <c r="T224" s="33">
        <v>0</v>
      </c>
    </row>
    <row r="225" spans="1:20">
      <c r="A225" s="37" t="s">
        <v>776</v>
      </c>
      <c r="B225" s="48">
        <v>45558</v>
      </c>
      <c r="C225" s="33" t="s">
        <v>63</v>
      </c>
      <c r="D225" s="37" t="s">
        <v>32</v>
      </c>
      <c r="E225" s="37" t="s">
        <v>33</v>
      </c>
      <c r="F225" s="37" t="s">
        <v>38</v>
      </c>
      <c r="G225" s="33" t="str">
        <f t="shared" si="10"/>
        <v>Orlando → Miami</v>
      </c>
      <c r="H225" s="37" t="s">
        <v>39</v>
      </c>
      <c r="I225" s="37" t="s">
        <v>334</v>
      </c>
      <c r="J225" s="37" t="s">
        <v>778</v>
      </c>
      <c r="K225" s="37">
        <v>161</v>
      </c>
      <c r="L225" s="37">
        <v>1066</v>
      </c>
      <c r="M225" s="37">
        <v>432.33</v>
      </c>
      <c r="N225" s="37" t="s">
        <v>44</v>
      </c>
      <c r="O225" s="37">
        <v>258</v>
      </c>
      <c r="P225" s="37">
        <v>63</v>
      </c>
      <c r="Q225" s="46">
        <f t="shared" si="11"/>
        <v>24.418604651162799</v>
      </c>
      <c r="R225" s="37" t="s">
        <v>70</v>
      </c>
      <c r="S225" s="49" t="str">
        <f t="shared" si="9"/>
        <v>2024-09</v>
      </c>
      <c r="T225" s="37">
        <v>0</v>
      </c>
    </row>
    <row r="226" spans="1:20">
      <c r="A226" s="33" t="s">
        <v>779</v>
      </c>
      <c r="B226" s="45">
        <v>45554</v>
      </c>
      <c r="C226" s="33" t="s">
        <v>63</v>
      </c>
      <c r="D226" s="33" t="s">
        <v>183</v>
      </c>
      <c r="E226" s="33" t="s">
        <v>184</v>
      </c>
      <c r="F226" s="33" t="s">
        <v>129</v>
      </c>
      <c r="G226" s="33" t="str">
        <f t="shared" si="10"/>
        <v>Seattle → Detroit</v>
      </c>
      <c r="H226" s="33" t="s">
        <v>130</v>
      </c>
      <c r="I226" s="33" t="s">
        <v>476</v>
      </c>
      <c r="J226" s="33" t="s">
        <v>780</v>
      </c>
      <c r="K226" s="33">
        <v>299</v>
      </c>
      <c r="L226" s="33">
        <v>2314</v>
      </c>
      <c r="M226" s="33">
        <v>545.51</v>
      </c>
      <c r="N226" t="s">
        <v>1463</v>
      </c>
      <c r="O226" s="33">
        <v>225</v>
      </c>
      <c r="P226" s="33">
        <v>92</v>
      </c>
      <c r="Q226" s="46">
        <f t="shared" si="11"/>
        <v>40.8888888888889</v>
      </c>
      <c r="R226" s="33" t="s">
        <v>28</v>
      </c>
      <c r="S226" s="47" t="str">
        <f t="shared" si="9"/>
        <v>2024-09</v>
      </c>
      <c r="T226" s="33">
        <v>0</v>
      </c>
    </row>
    <row r="227" spans="1:20" ht="25.5">
      <c r="A227" s="37" t="s">
        <v>781</v>
      </c>
      <c r="B227" s="48">
        <v>44625</v>
      </c>
      <c r="C227" s="33" t="s">
        <v>31</v>
      </c>
      <c r="D227" s="37" t="s">
        <v>95</v>
      </c>
      <c r="E227" s="37" t="s">
        <v>96</v>
      </c>
      <c r="F227" s="37" t="s">
        <v>56</v>
      </c>
      <c r="G227" s="33" t="str">
        <f t="shared" si="10"/>
        <v>Las Vegas → Los Angeles</v>
      </c>
      <c r="H227" s="37" t="s">
        <v>57</v>
      </c>
      <c r="I227" s="37" t="s">
        <v>400</v>
      </c>
      <c r="J227" s="37" t="s">
        <v>163</v>
      </c>
      <c r="K227" s="37">
        <v>365</v>
      </c>
      <c r="L227" s="37">
        <v>1482</v>
      </c>
      <c r="M227" s="37">
        <v>268.39</v>
      </c>
      <c r="N227" s="37" t="s">
        <v>44</v>
      </c>
      <c r="O227" s="37">
        <v>244</v>
      </c>
      <c r="P227" s="37">
        <v>240</v>
      </c>
      <c r="Q227" s="46">
        <f t="shared" si="11"/>
        <v>98.360655737704903</v>
      </c>
      <c r="R227" s="37" t="s">
        <v>70</v>
      </c>
      <c r="S227" s="49" t="str">
        <f t="shared" si="9"/>
        <v>2022-03</v>
      </c>
      <c r="T227" s="37">
        <v>141</v>
      </c>
    </row>
    <row r="228" spans="1:20">
      <c r="A228" s="33" t="s">
        <v>783</v>
      </c>
      <c r="B228" s="45">
        <v>45608</v>
      </c>
      <c r="C228" s="33" t="s">
        <v>94</v>
      </c>
      <c r="D228" s="33" t="s">
        <v>54</v>
      </c>
      <c r="E228" s="33" t="s">
        <v>74</v>
      </c>
      <c r="F228" s="33" t="s">
        <v>197</v>
      </c>
      <c r="G228" s="33" t="str">
        <f t="shared" si="10"/>
        <v>Chicago → Atlanta</v>
      </c>
      <c r="H228" s="33" t="s">
        <v>198</v>
      </c>
      <c r="I228" s="33" t="s">
        <v>287</v>
      </c>
      <c r="J228" s="33" t="s">
        <v>249</v>
      </c>
      <c r="K228" s="33">
        <v>367</v>
      </c>
      <c r="L228" s="33">
        <v>470</v>
      </c>
      <c r="M228" s="33">
        <v>931.2</v>
      </c>
      <c r="N228" s="33" t="s">
        <v>44</v>
      </c>
      <c r="O228" s="33">
        <v>239</v>
      </c>
      <c r="P228" s="33">
        <v>105</v>
      </c>
      <c r="Q228" s="46">
        <f t="shared" si="11"/>
        <v>43.933054393305397</v>
      </c>
      <c r="R228" s="33" t="s">
        <v>149</v>
      </c>
      <c r="S228" s="47" t="str">
        <f t="shared" si="9"/>
        <v>2024-11</v>
      </c>
      <c r="T228" s="33">
        <v>0</v>
      </c>
    </row>
    <row r="229" spans="1:20" ht="25.5">
      <c r="A229" s="37" t="s">
        <v>785</v>
      </c>
      <c r="B229" s="48">
        <v>44771</v>
      </c>
      <c r="C229" s="33" t="s">
        <v>31</v>
      </c>
      <c r="D229" s="37" t="s">
        <v>95</v>
      </c>
      <c r="E229" s="37" t="s">
        <v>96</v>
      </c>
      <c r="F229" s="37" t="s">
        <v>56</v>
      </c>
      <c r="G229" s="33" t="str">
        <f t="shared" si="10"/>
        <v>Las Vegas → Los Angeles</v>
      </c>
      <c r="H229" s="37" t="s">
        <v>57</v>
      </c>
      <c r="I229" s="37" t="s">
        <v>361</v>
      </c>
      <c r="J229" s="37" t="s">
        <v>787</v>
      </c>
      <c r="K229" s="37">
        <v>268</v>
      </c>
      <c r="L229" s="37">
        <v>656</v>
      </c>
      <c r="M229" s="37">
        <v>571.76</v>
      </c>
      <c r="N229" s="37" t="s">
        <v>60</v>
      </c>
      <c r="O229" s="37">
        <v>298</v>
      </c>
      <c r="P229" s="37">
        <v>257</v>
      </c>
      <c r="Q229" s="46">
        <f t="shared" si="11"/>
        <v>86.241610738255005</v>
      </c>
      <c r="R229" s="37" t="s">
        <v>28</v>
      </c>
      <c r="S229" s="49" t="str">
        <f t="shared" si="9"/>
        <v>2022-07</v>
      </c>
      <c r="T229" s="37">
        <v>0</v>
      </c>
    </row>
    <row r="230" spans="1:20">
      <c r="A230" s="33" t="s">
        <v>788</v>
      </c>
      <c r="B230" s="45">
        <v>45280</v>
      </c>
      <c r="C230" s="33" t="s">
        <v>73</v>
      </c>
      <c r="D230" s="33" t="s">
        <v>38</v>
      </c>
      <c r="E230" s="33" t="s">
        <v>39</v>
      </c>
      <c r="F230" s="33" t="s">
        <v>101</v>
      </c>
      <c r="G230" s="33" t="str">
        <f t="shared" si="10"/>
        <v>Miami → Dallas</v>
      </c>
      <c r="H230" s="33" t="s">
        <v>102</v>
      </c>
      <c r="I230" s="33" t="s">
        <v>790</v>
      </c>
      <c r="J230" s="33" t="s">
        <v>400</v>
      </c>
      <c r="K230" s="33">
        <v>120</v>
      </c>
      <c r="L230" s="33">
        <v>2635</v>
      </c>
      <c r="M230" s="33">
        <v>472.91</v>
      </c>
      <c r="N230" s="33" t="s">
        <v>44</v>
      </c>
      <c r="O230" s="33">
        <v>252</v>
      </c>
      <c r="P230" s="33">
        <v>187</v>
      </c>
      <c r="Q230" s="46">
        <f t="shared" si="11"/>
        <v>74.206349206349202</v>
      </c>
      <c r="R230" s="33" t="s">
        <v>28</v>
      </c>
      <c r="S230" s="47" t="str">
        <f t="shared" si="9"/>
        <v>2023-12</v>
      </c>
      <c r="T230" s="33">
        <v>0</v>
      </c>
    </row>
    <row r="231" spans="1:20">
      <c r="A231" s="37" t="s">
        <v>791</v>
      </c>
      <c r="B231" s="48">
        <v>45161</v>
      </c>
      <c r="C231" s="33" t="s">
        <v>1462</v>
      </c>
      <c r="D231" s="37" t="s">
        <v>54</v>
      </c>
      <c r="E231" s="37" t="s">
        <v>74</v>
      </c>
      <c r="F231" s="37" t="s">
        <v>21</v>
      </c>
      <c r="G231" s="33" t="str">
        <f t="shared" si="10"/>
        <v>Chicago → Boston</v>
      </c>
      <c r="H231" s="37" t="s">
        <v>22</v>
      </c>
      <c r="I231" s="37" t="s">
        <v>712</v>
      </c>
      <c r="J231" s="37" t="s">
        <v>537</v>
      </c>
      <c r="K231" s="37">
        <v>159</v>
      </c>
      <c r="L231" s="37">
        <v>1985</v>
      </c>
      <c r="M231" s="37">
        <v>1109.02</v>
      </c>
      <c r="N231" s="37" t="s">
        <v>44</v>
      </c>
      <c r="O231" s="37">
        <v>321</v>
      </c>
      <c r="P231" s="37">
        <v>114</v>
      </c>
      <c r="Q231" s="46">
        <f t="shared" si="11"/>
        <v>35.514018691588802</v>
      </c>
      <c r="R231" s="37" t="s">
        <v>70</v>
      </c>
      <c r="S231" s="49" t="str">
        <f t="shared" si="9"/>
        <v>2023-08</v>
      </c>
      <c r="T231" s="37">
        <v>48</v>
      </c>
    </row>
    <row r="232" spans="1:20">
      <c r="A232" s="33" t="s">
        <v>793</v>
      </c>
      <c r="B232" s="45">
        <v>45073</v>
      </c>
      <c r="C232" s="33" t="s">
        <v>63</v>
      </c>
      <c r="D232" s="33" t="s">
        <v>156</v>
      </c>
      <c r="E232" s="33" t="s">
        <v>157</v>
      </c>
      <c r="F232" s="33" t="s">
        <v>23</v>
      </c>
      <c r="G232" s="33" t="str">
        <f t="shared" si="10"/>
        <v>Phoenix → Denver</v>
      </c>
      <c r="H232" s="33" t="s">
        <v>24</v>
      </c>
      <c r="I232" s="33" t="s">
        <v>206</v>
      </c>
      <c r="J232" s="33" t="s">
        <v>696</v>
      </c>
      <c r="K232" s="33">
        <v>340</v>
      </c>
      <c r="L232" s="33">
        <v>882</v>
      </c>
      <c r="M232" s="33">
        <v>726.72</v>
      </c>
      <c r="N232" s="33" t="s">
        <v>44</v>
      </c>
      <c r="O232" s="33">
        <v>260</v>
      </c>
      <c r="P232" s="33">
        <v>156</v>
      </c>
      <c r="Q232" s="46">
        <f t="shared" si="11"/>
        <v>60</v>
      </c>
      <c r="R232" s="33" t="s">
        <v>28</v>
      </c>
      <c r="S232" s="47" t="str">
        <f t="shared" si="9"/>
        <v>2023-05</v>
      </c>
      <c r="T232" s="33">
        <v>0</v>
      </c>
    </row>
    <row r="233" spans="1:20" ht="25.5">
      <c r="A233" s="37" t="s">
        <v>795</v>
      </c>
      <c r="B233" s="48">
        <v>44716</v>
      </c>
      <c r="C233" s="33" t="s">
        <v>94</v>
      </c>
      <c r="D233" s="37" t="s">
        <v>66</v>
      </c>
      <c r="E233" s="37" t="s">
        <v>67</v>
      </c>
      <c r="F233" s="37" t="s">
        <v>32</v>
      </c>
      <c r="G233" s="33" t="str">
        <f t="shared" si="10"/>
        <v>Minneapolis → Orlando</v>
      </c>
      <c r="H233" s="37" t="s">
        <v>33</v>
      </c>
      <c r="I233" s="37" t="s">
        <v>131</v>
      </c>
      <c r="J233" s="37" t="s">
        <v>796</v>
      </c>
      <c r="K233" s="37">
        <v>445</v>
      </c>
      <c r="L233" s="37">
        <v>1811</v>
      </c>
      <c r="M233" s="37">
        <v>589.26</v>
      </c>
      <c r="N233" s="37" t="s">
        <v>44</v>
      </c>
      <c r="O233" s="37">
        <v>183</v>
      </c>
      <c r="P233" s="37">
        <v>50</v>
      </c>
      <c r="Q233" s="46">
        <f t="shared" si="11"/>
        <v>27.3224043715847</v>
      </c>
      <c r="R233" s="37" t="s">
        <v>70</v>
      </c>
      <c r="S233" s="49" t="str">
        <f t="shared" si="9"/>
        <v>2022-06</v>
      </c>
      <c r="T233" s="37">
        <v>38</v>
      </c>
    </row>
    <row r="234" spans="1:20">
      <c r="A234" s="33" t="s">
        <v>797</v>
      </c>
      <c r="B234" s="45">
        <v>45500</v>
      </c>
      <c r="C234" s="33" t="s">
        <v>47</v>
      </c>
      <c r="D234" s="33" t="s">
        <v>54</v>
      </c>
      <c r="E234" s="33" t="s">
        <v>55</v>
      </c>
      <c r="F234" s="33" t="s">
        <v>54</v>
      </c>
      <c r="G234" s="33" t="str">
        <f t="shared" si="10"/>
        <v>Chicago → Chicago</v>
      </c>
      <c r="H234" s="33" t="s">
        <v>74</v>
      </c>
      <c r="I234" s="33" t="s">
        <v>279</v>
      </c>
      <c r="J234" s="33" t="s">
        <v>799</v>
      </c>
      <c r="K234" s="33">
        <v>309</v>
      </c>
      <c r="L234" s="33">
        <v>1167</v>
      </c>
      <c r="M234" s="33">
        <v>634.08000000000004</v>
      </c>
      <c r="N234" s="33" t="s">
        <v>44</v>
      </c>
      <c r="O234" s="33">
        <v>312</v>
      </c>
      <c r="P234" s="33">
        <v>195</v>
      </c>
      <c r="Q234" s="46">
        <f t="shared" si="11"/>
        <v>62.5</v>
      </c>
      <c r="R234" s="33" t="s">
        <v>28</v>
      </c>
      <c r="S234" s="47" t="str">
        <f t="shared" si="9"/>
        <v>2024-07</v>
      </c>
      <c r="T234" s="33">
        <v>0</v>
      </c>
    </row>
    <row r="235" spans="1:20" ht="25.5">
      <c r="A235" s="37" t="s">
        <v>800</v>
      </c>
      <c r="B235" s="48">
        <v>44829</v>
      </c>
      <c r="C235" s="33" t="s">
        <v>115</v>
      </c>
      <c r="D235" s="37" t="s">
        <v>156</v>
      </c>
      <c r="E235" s="37" t="s">
        <v>157</v>
      </c>
      <c r="F235" s="37" t="s">
        <v>56</v>
      </c>
      <c r="G235" s="33" t="str">
        <f t="shared" si="10"/>
        <v>Phoenix → Los Angeles</v>
      </c>
      <c r="H235" s="37" t="s">
        <v>57</v>
      </c>
      <c r="I235" s="37" t="s">
        <v>802</v>
      </c>
      <c r="J235" s="37" t="s">
        <v>803</v>
      </c>
      <c r="K235" s="37">
        <v>410</v>
      </c>
      <c r="L235" s="37">
        <v>2182</v>
      </c>
      <c r="M235" s="37">
        <v>98.24</v>
      </c>
      <c r="N235" s="37" t="s">
        <v>60</v>
      </c>
      <c r="O235" s="37">
        <v>212</v>
      </c>
      <c r="P235" s="37">
        <v>166</v>
      </c>
      <c r="Q235" s="46">
        <f t="shared" si="11"/>
        <v>78.301886792452805</v>
      </c>
      <c r="R235" s="37" t="s">
        <v>28</v>
      </c>
      <c r="S235" s="49" t="str">
        <f t="shared" si="9"/>
        <v>2022-09</v>
      </c>
      <c r="T235" s="37">
        <v>0</v>
      </c>
    </row>
    <row r="236" spans="1:20">
      <c r="A236" s="33" t="s">
        <v>804</v>
      </c>
      <c r="B236" s="45">
        <v>45438</v>
      </c>
      <c r="C236" s="33" t="s">
        <v>31</v>
      </c>
      <c r="D236" s="33" t="s">
        <v>101</v>
      </c>
      <c r="E236" s="33" t="s">
        <v>102</v>
      </c>
      <c r="F236" s="33" t="s">
        <v>156</v>
      </c>
      <c r="G236" s="33" t="str">
        <f t="shared" si="10"/>
        <v>Dallas → Phoenix</v>
      </c>
      <c r="H236" s="33" t="s">
        <v>157</v>
      </c>
      <c r="I236" s="33" t="s">
        <v>806</v>
      </c>
      <c r="J236" s="33" t="s">
        <v>807</v>
      </c>
      <c r="K236" s="33">
        <v>137</v>
      </c>
      <c r="L236" s="33">
        <v>2981</v>
      </c>
      <c r="M236" s="33">
        <v>483.69</v>
      </c>
      <c r="N236" s="33" t="s">
        <v>60</v>
      </c>
      <c r="O236" s="33">
        <v>195</v>
      </c>
      <c r="P236" s="33">
        <v>92</v>
      </c>
      <c r="Q236" s="46">
        <f t="shared" si="11"/>
        <v>47.179487179487197</v>
      </c>
      <c r="R236" s="33" t="s">
        <v>28</v>
      </c>
      <c r="S236" s="47" t="str">
        <f t="shared" si="9"/>
        <v>2024-05</v>
      </c>
      <c r="T236" s="33">
        <v>0</v>
      </c>
    </row>
    <row r="237" spans="1:20">
      <c r="A237" s="37" t="s">
        <v>808</v>
      </c>
      <c r="B237" s="48">
        <v>45187</v>
      </c>
      <c r="C237" s="33" t="s">
        <v>31</v>
      </c>
      <c r="D237" s="37" t="s">
        <v>129</v>
      </c>
      <c r="E237" s="37" t="s">
        <v>130</v>
      </c>
      <c r="F237" s="37" t="s">
        <v>54</v>
      </c>
      <c r="G237" s="33" t="str">
        <f t="shared" si="10"/>
        <v>Detroit → Chicago</v>
      </c>
      <c r="H237" s="37" t="s">
        <v>55</v>
      </c>
      <c r="I237" s="37" t="s">
        <v>545</v>
      </c>
      <c r="J237" s="37" t="s">
        <v>131</v>
      </c>
      <c r="K237" s="37">
        <v>90</v>
      </c>
      <c r="L237" s="37">
        <v>1174</v>
      </c>
      <c r="M237" s="37">
        <v>614.02</v>
      </c>
      <c r="N237" s="37" t="s">
        <v>60</v>
      </c>
      <c r="O237" s="37">
        <v>251</v>
      </c>
      <c r="P237" s="37">
        <v>107</v>
      </c>
      <c r="Q237" s="46">
        <f t="shared" si="11"/>
        <v>42.629482071713099</v>
      </c>
      <c r="R237" s="37" t="s">
        <v>28</v>
      </c>
      <c r="S237" s="49" t="str">
        <f t="shared" si="9"/>
        <v>2023-09</v>
      </c>
      <c r="T237" s="37">
        <v>0</v>
      </c>
    </row>
    <row r="238" spans="1:20" ht="25.5">
      <c r="A238" s="33" t="s">
        <v>810</v>
      </c>
      <c r="B238" s="45">
        <v>45473</v>
      </c>
      <c r="C238" s="33" t="s">
        <v>20</v>
      </c>
      <c r="D238" s="33" t="s">
        <v>174</v>
      </c>
      <c r="E238" s="33" t="s">
        <v>175</v>
      </c>
      <c r="F238" s="33" t="s">
        <v>64</v>
      </c>
      <c r="G238" s="33" t="str">
        <f t="shared" si="10"/>
        <v>New York → San Francisco</v>
      </c>
      <c r="H238" s="33" t="s">
        <v>65</v>
      </c>
      <c r="I238" s="33" t="s">
        <v>406</v>
      </c>
      <c r="J238" s="33" t="s">
        <v>811</v>
      </c>
      <c r="K238" s="33">
        <v>445</v>
      </c>
      <c r="L238" s="33">
        <v>841</v>
      </c>
      <c r="M238" s="33">
        <v>615.02</v>
      </c>
      <c r="N238" s="33" t="s">
        <v>60</v>
      </c>
      <c r="O238" s="33">
        <v>198</v>
      </c>
      <c r="P238" s="33">
        <v>72</v>
      </c>
      <c r="Q238" s="46">
        <f t="shared" si="11"/>
        <v>36.363636363636402</v>
      </c>
      <c r="R238" s="33" t="s">
        <v>70</v>
      </c>
      <c r="S238" s="47" t="str">
        <f t="shared" si="9"/>
        <v>2024-06</v>
      </c>
      <c r="T238" s="33">
        <v>41</v>
      </c>
    </row>
    <row r="239" spans="1:20" ht="25.5">
      <c r="A239" s="37" t="s">
        <v>812</v>
      </c>
      <c r="B239" s="48">
        <v>44773</v>
      </c>
      <c r="C239" s="33" t="s">
        <v>47</v>
      </c>
      <c r="D239" s="37" t="s">
        <v>64</v>
      </c>
      <c r="E239" s="37" t="s">
        <v>65</v>
      </c>
      <c r="F239" s="37" t="s">
        <v>95</v>
      </c>
      <c r="G239" s="33" t="str">
        <f t="shared" si="10"/>
        <v>San Francisco → Las Vegas</v>
      </c>
      <c r="H239" s="37" t="s">
        <v>96</v>
      </c>
      <c r="I239" s="37" t="s">
        <v>86</v>
      </c>
      <c r="J239" s="37" t="s">
        <v>189</v>
      </c>
      <c r="K239" s="37">
        <v>475</v>
      </c>
      <c r="L239" s="37">
        <v>845</v>
      </c>
      <c r="M239" s="37">
        <v>798.57</v>
      </c>
      <c r="N239" s="37" t="s">
        <v>27</v>
      </c>
      <c r="O239" s="37">
        <v>136</v>
      </c>
      <c r="P239" s="37">
        <v>58</v>
      </c>
      <c r="Q239" s="46">
        <f t="shared" si="11"/>
        <v>42.647058823529399</v>
      </c>
      <c r="R239" s="37" t="s">
        <v>28</v>
      </c>
      <c r="S239" s="49" t="str">
        <f t="shared" si="9"/>
        <v>2022-07</v>
      </c>
      <c r="T239" s="37">
        <v>0</v>
      </c>
    </row>
    <row r="240" spans="1:20" ht="25.5">
      <c r="A240" s="33" t="s">
        <v>813</v>
      </c>
      <c r="B240" s="45">
        <v>44579</v>
      </c>
      <c r="C240" s="33" t="s">
        <v>63</v>
      </c>
      <c r="D240" s="33" t="s">
        <v>40</v>
      </c>
      <c r="E240" s="33" t="s">
        <v>41</v>
      </c>
      <c r="F240" s="33" t="s">
        <v>64</v>
      </c>
      <c r="G240" s="33" t="str">
        <f t="shared" si="10"/>
        <v>Charlotte → San Francisco</v>
      </c>
      <c r="H240" s="33" t="s">
        <v>65</v>
      </c>
      <c r="I240" s="33" t="s">
        <v>338</v>
      </c>
      <c r="J240" s="33" t="s">
        <v>815</v>
      </c>
      <c r="K240" s="33">
        <v>411</v>
      </c>
      <c r="L240" s="33">
        <v>920</v>
      </c>
      <c r="M240" s="33">
        <v>1110.28</v>
      </c>
      <c r="N240" s="33" t="s">
        <v>27</v>
      </c>
      <c r="O240" s="33">
        <v>275</v>
      </c>
      <c r="P240" s="33">
        <v>163</v>
      </c>
      <c r="Q240" s="46">
        <f t="shared" si="11"/>
        <v>59.272727272727302</v>
      </c>
      <c r="R240" s="33" t="s">
        <v>70</v>
      </c>
      <c r="S240" s="47" t="str">
        <f t="shared" si="9"/>
        <v>2022-01</v>
      </c>
      <c r="T240" s="33">
        <v>37</v>
      </c>
    </row>
    <row r="241" spans="1:20">
      <c r="A241" s="37" t="s">
        <v>816</v>
      </c>
      <c r="B241" s="48">
        <v>44767</v>
      </c>
      <c r="C241" s="33" t="s">
        <v>63</v>
      </c>
      <c r="D241" s="37" t="s">
        <v>197</v>
      </c>
      <c r="E241" s="37" t="s">
        <v>198</v>
      </c>
      <c r="F241" s="37" t="s">
        <v>48</v>
      </c>
      <c r="G241" s="33" t="str">
        <f t="shared" si="10"/>
        <v>Atlanta → San Diego</v>
      </c>
      <c r="H241" s="37" t="s">
        <v>49</v>
      </c>
      <c r="I241" s="37" t="s">
        <v>275</v>
      </c>
      <c r="J241" s="37" t="s">
        <v>817</v>
      </c>
      <c r="K241" s="37">
        <v>269</v>
      </c>
      <c r="L241" s="37">
        <v>2058</v>
      </c>
      <c r="M241" s="37">
        <v>432.24</v>
      </c>
      <c r="N241" s="37" t="s">
        <v>60</v>
      </c>
      <c r="O241" s="37">
        <v>163</v>
      </c>
      <c r="P241" s="37">
        <v>85</v>
      </c>
      <c r="Q241" s="46">
        <f t="shared" si="11"/>
        <v>52.147239263803698</v>
      </c>
      <c r="R241" s="37" t="s">
        <v>28</v>
      </c>
      <c r="S241" s="49" t="str">
        <f t="shared" si="9"/>
        <v>2022-07</v>
      </c>
      <c r="T241" s="37">
        <v>0</v>
      </c>
    </row>
    <row r="242" spans="1:20">
      <c r="A242" s="33" t="s">
        <v>818</v>
      </c>
      <c r="B242" s="45">
        <v>45070</v>
      </c>
      <c r="C242" s="33" t="s">
        <v>1462</v>
      </c>
      <c r="D242" s="33" t="s">
        <v>174</v>
      </c>
      <c r="E242" s="33" t="s">
        <v>175</v>
      </c>
      <c r="F242" s="33" t="s">
        <v>156</v>
      </c>
      <c r="G242" s="33" t="str">
        <f t="shared" si="10"/>
        <v>New York → Phoenix</v>
      </c>
      <c r="H242" s="33" t="s">
        <v>157</v>
      </c>
      <c r="I242" s="33" t="s">
        <v>790</v>
      </c>
      <c r="J242" s="33" t="s">
        <v>820</v>
      </c>
      <c r="K242" s="33">
        <v>472</v>
      </c>
      <c r="L242" s="33">
        <v>1904</v>
      </c>
      <c r="M242" s="33">
        <v>411.01</v>
      </c>
      <c r="N242" s="33" t="s">
        <v>60</v>
      </c>
      <c r="O242" s="33">
        <v>300</v>
      </c>
      <c r="P242" s="33">
        <v>279</v>
      </c>
      <c r="Q242" s="46">
        <f t="shared" si="11"/>
        <v>93</v>
      </c>
      <c r="R242" s="33" t="s">
        <v>70</v>
      </c>
      <c r="S242" s="47" t="str">
        <f t="shared" si="9"/>
        <v>2023-05</v>
      </c>
      <c r="T242" s="33">
        <v>76</v>
      </c>
    </row>
    <row r="243" spans="1:20">
      <c r="A243" s="37" t="s">
        <v>821</v>
      </c>
      <c r="B243" s="48">
        <v>45575</v>
      </c>
      <c r="C243" s="33" t="s">
        <v>73</v>
      </c>
      <c r="D243" s="37" t="s">
        <v>197</v>
      </c>
      <c r="E243" s="37" t="s">
        <v>198</v>
      </c>
      <c r="F243" s="37" t="s">
        <v>21</v>
      </c>
      <c r="G243" s="33" t="str">
        <f t="shared" si="10"/>
        <v>Atlanta → Boston</v>
      </c>
      <c r="H243" s="37" t="s">
        <v>22</v>
      </c>
      <c r="I243" s="37" t="s">
        <v>240</v>
      </c>
      <c r="J243" s="37" t="s">
        <v>266</v>
      </c>
      <c r="K243" s="37">
        <v>360</v>
      </c>
      <c r="L243" s="37">
        <v>349</v>
      </c>
      <c r="M243" s="37">
        <v>1185.31</v>
      </c>
      <c r="N243" s="37" t="s">
        <v>44</v>
      </c>
      <c r="O243" s="37">
        <v>133</v>
      </c>
      <c r="P243" s="37">
        <v>99</v>
      </c>
      <c r="Q243" s="46">
        <f t="shared" si="11"/>
        <v>74.436090225563902</v>
      </c>
      <c r="R243" s="37" t="s">
        <v>70</v>
      </c>
      <c r="S243" s="49" t="str">
        <f t="shared" si="9"/>
        <v>2024-10</v>
      </c>
      <c r="T243" s="37">
        <v>160</v>
      </c>
    </row>
    <row r="244" spans="1:20">
      <c r="A244" s="33" t="s">
        <v>823</v>
      </c>
      <c r="B244" s="45">
        <v>45423</v>
      </c>
      <c r="C244" s="33" t="s">
        <v>47</v>
      </c>
      <c r="D244" s="33" t="s">
        <v>32</v>
      </c>
      <c r="E244" s="33" t="s">
        <v>33</v>
      </c>
      <c r="F244" s="33" t="s">
        <v>38</v>
      </c>
      <c r="G244" s="33" t="str">
        <f t="shared" si="10"/>
        <v>Orlando → Miami</v>
      </c>
      <c r="H244" s="33" t="s">
        <v>39</v>
      </c>
      <c r="I244" s="33" t="s">
        <v>240</v>
      </c>
      <c r="J244" s="33" t="s">
        <v>825</v>
      </c>
      <c r="K244" s="33">
        <v>98</v>
      </c>
      <c r="L244" s="33">
        <v>2705</v>
      </c>
      <c r="M244" s="33">
        <v>155.63999999999999</v>
      </c>
      <c r="N244" s="33" t="s">
        <v>44</v>
      </c>
      <c r="O244" s="33">
        <v>155</v>
      </c>
      <c r="P244" s="33">
        <v>55</v>
      </c>
      <c r="Q244" s="46">
        <f t="shared" si="11"/>
        <v>35.4838709677419</v>
      </c>
      <c r="R244" s="33" t="s">
        <v>70</v>
      </c>
      <c r="S244" s="47" t="str">
        <f t="shared" si="9"/>
        <v>2024-05</v>
      </c>
      <c r="T244" s="33">
        <v>116</v>
      </c>
    </row>
    <row r="245" spans="1:20">
      <c r="A245" s="37" t="s">
        <v>826</v>
      </c>
      <c r="B245" s="48">
        <v>45599</v>
      </c>
      <c r="C245" s="33" t="s">
        <v>1462</v>
      </c>
      <c r="D245" s="37" t="s">
        <v>116</v>
      </c>
      <c r="E245" s="37" t="s">
        <v>117</v>
      </c>
      <c r="F245" s="37" t="s">
        <v>129</v>
      </c>
      <c r="G245" s="33" t="str">
        <f t="shared" si="10"/>
        <v>Houston → Detroit</v>
      </c>
      <c r="H245" s="37" t="s">
        <v>130</v>
      </c>
      <c r="I245" s="37" t="s">
        <v>226</v>
      </c>
      <c r="J245" s="37" t="s">
        <v>828</v>
      </c>
      <c r="K245" s="37">
        <v>132</v>
      </c>
      <c r="L245" s="37">
        <v>2923</v>
      </c>
      <c r="M245" s="37">
        <v>680.95</v>
      </c>
      <c r="N245" s="37" t="s">
        <v>27</v>
      </c>
      <c r="O245" s="37">
        <v>139</v>
      </c>
      <c r="P245" s="37">
        <v>85</v>
      </c>
      <c r="Q245" s="46">
        <f t="shared" si="11"/>
        <v>61.151079136690598</v>
      </c>
      <c r="R245" s="37" t="s">
        <v>28</v>
      </c>
      <c r="S245" s="49" t="str">
        <f t="shared" si="9"/>
        <v>2024-11</v>
      </c>
      <c r="T245" s="37">
        <v>0</v>
      </c>
    </row>
    <row r="246" spans="1:20">
      <c r="A246" s="33" t="s">
        <v>829</v>
      </c>
      <c r="B246" s="45">
        <v>44723</v>
      </c>
      <c r="C246" s="33" t="s">
        <v>31</v>
      </c>
      <c r="D246" s="33" t="s">
        <v>101</v>
      </c>
      <c r="E246" s="33" t="s">
        <v>102</v>
      </c>
      <c r="F246" s="33" t="s">
        <v>54</v>
      </c>
      <c r="G246" s="33" t="str">
        <f t="shared" si="10"/>
        <v>Dallas → Chicago</v>
      </c>
      <c r="H246" s="33" t="s">
        <v>74</v>
      </c>
      <c r="I246" s="33" t="s">
        <v>248</v>
      </c>
      <c r="J246" s="33" t="s">
        <v>202</v>
      </c>
      <c r="K246" s="33">
        <v>390</v>
      </c>
      <c r="L246" s="33">
        <v>2898</v>
      </c>
      <c r="M246" s="33">
        <v>934.81</v>
      </c>
      <c r="N246" s="33" t="s">
        <v>27</v>
      </c>
      <c r="O246" s="33">
        <v>274</v>
      </c>
      <c r="P246" s="33">
        <v>214</v>
      </c>
      <c r="Q246" s="46">
        <f t="shared" si="11"/>
        <v>78.102189781021906</v>
      </c>
      <c r="R246" s="33" t="s">
        <v>28</v>
      </c>
      <c r="S246" s="47" t="str">
        <f t="shared" si="9"/>
        <v>2022-06</v>
      </c>
      <c r="T246" s="33">
        <v>0</v>
      </c>
    </row>
    <row r="247" spans="1:20" ht="25.5">
      <c r="A247" s="37" t="s">
        <v>830</v>
      </c>
      <c r="B247" s="48">
        <v>45457</v>
      </c>
      <c r="C247" s="33" t="s">
        <v>31</v>
      </c>
      <c r="D247" s="37" t="s">
        <v>56</v>
      </c>
      <c r="E247" s="37" t="s">
        <v>57</v>
      </c>
      <c r="F247" s="37" t="s">
        <v>21</v>
      </c>
      <c r="G247" s="33" t="str">
        <f t="shared" si="10"/>
        <v>Los Angeles → Boston</v>
      </c>
      <c r="H247" s="37" t="s">
        <v>22</v>
      </c>
      <c r="I247" s="37" t="s">
        <v>170</v>
      </c>
      <c r="J247" s="37" t="s">
        <v>832</v>
      </c>
      <c r="K247" s="37">
        <v>149</v>
      </c>
      <c r="L247" s="37">
        <v>2157</v>
      </c>
      <c r="M247" s="37">
        <v>765.77</v>
      </c>
      <c r="N247" s="37" t="s">
        <v>60</v>
      </c>
      <c r="O247" s="37">
        <v>179</v>
      </c>
      <c r="P247" s="37">
        <v>94</v>
      </c>
      <c r="Q247" s="46">
        <f t="shared" si="11"/>
        <v>52.513966480446904</v>
      </c>
      <c r="R247" s="37" t="s">
        <v>28</v>
      </c>
      <c r="S247" s="49" t="str">
        <f t="shared" si="9"/>
        <v>2024-06</v>
      </c>
      <c r="T247" s="37">
        <v>0</v>
      </c>
    </row>
    <row r="248" spans="1:20">
      <c r="A248" s="33" t="s">
        <v>833</v>
      </c>
      <c r="B248" s="45">
        <v>44843</v>
      </c>
      <c r="C248" s="33" t="s">
        <v>20</v>
      </c>
      <c r="D248" s="33" t="s">
        <v>38</v>
      </c>
      <c r="E248" s="33" t="s">
        <v>39</v>
      </c>
      <c r="F248" s="33" t="s">
        <v>116</v>
      </c>
      <c r="G248" s="33" t="str">
        <f t="shared" si="10"/>
        <v>Miami → Houston</v>
      </c>
      <c r="H248" s="33" t="s">
        <v>117</v>
      </c>
      <c r="I248" s="33" t="s">
        <v>162</v>
      </c>
      <c r="J248" s="33" t="s">
        <v>834</v>
      </c>
      <c r="K248" s="33">
        <v>175</v>
      </c>
      <c r="L248" s="33">
        <v>1823</v>
      </c>
      <c r="M248" s="33">
        <v>222.16</v>
      </c>
      <c r="N248" s="33" t="s">
        <v>44</v>
      </c>
      <c r="O248" s="33">
        <v>287</v>
      </c>
      <c r="P248" s="33">
        <v>276</v>
      </c>
      <c r="Q248" s="46">
        <f t="shared" si="11"/>
        <v>96.167247386759598</v>
      </c>
      <c r="R248" s="33" t="s">
        <v>28</v>
      </c>
      <c r="S248" s="47" t="str">
        <f t="shared" si="9"/>
        <v>2022-10</v>
      </c>
      <c r="T248" s="33">
        <v>0</v>
      </c>
    </row>
    <row r="249" spans="1:20">
      <c r="A249" s="37" t="s">
        <v>835</v>
      </c>
      <c r="B249" s="48">
        <v>44622</v>
      </c>
      <c r="C249" s="33" t="s">
        <v>47</v>
      </c>
      <c r="D249" s="37" t="s">
        <v>129</v>
      </c>
      <c r="E249" s="37" t="s">
        <v>130</v>
      </c>
      <c r="F249" s="37" t="s">
        <v>21</v>
      </c>
      <c r="G249" s="33" t="str">
        <f t="shared" si="10"/>
        <v>Detroit → Boston</v>
      </c>
      <c r="H249" s="37" t="s">
        <v>22</v>
      </c>
      <c r="I249" s="37" t="s">
        <v>712</v>
      </c>
      <c r="J249" s="37" t="s">
        <v>563</v>
      </c>
      <c r="K249" s="37">
        <v>224</v>
      </c>
      <c r="L249" s="37">
        <v>2661</v>
      </c>
      <c r="M249" s="37">
        <v>782.84</v>
      </c>
      <c r="N249" s="37" t="s">
        <v>44</v>
      </c>
      <c r="O249" s="37">
        <v>216</v>
      </c>
      <c r="P249" s="37">
        <v>180</v>
      </c>
      <c r="Q249" s="46">
        <f t="shared" si="11"/>
        <v>83.3333333333333</v>
      </c>
      <c r="R249" s="37" t="s">
        <v>28</v>
      </c>
      <c r="S249" s="49" t="str">
        <f t="shared" si="9"/>
        <v>2022-03</v>
      </c>
      <c r="T249" s="37">
        <v>0</v>
      </c>
    </row>
    <row r="250" spans="1:20" ht="25.5">
      <c r="A250" s="33" t="s">
        <v>837</v>
      </c>
      <c r="B250" s="45">
        <v>45585</v>
      </c>
      <c r="C250" s="33" t="s">
        <v>63</v>
      </c>
      <c r="D250" s="33" t="s">
        <v>64</v>
      </c>
      <c r="E250" s="33" t="s">
        <v>65</v>
      </c>
      <c r="F250" s="33" t="s">
        <v>38</v>
      </c>
      <c r="G250" s="33" t="str">
        <f t="shared" si="10"/>
        <v>San Francisco → Miami</v>
      </c>
      <c r="H250" s="33" t="s">
        <v>39</v>
      </c>
      <c r="I250" s="33" t="s">
        <v>378</v>
      </c>
      <c r="J250" s="33" t="s">
        <v>839</v>
      </c>
      <c r="K250" s="33">
        <v>383</v>
      </c>
      <c r="L250" s="33">
        <v>772</v>
      </c>
      <c r="M250" s="33">
        <v>335.81</v>
      </c>
      <c r="N250" s="33" t="s">
        <v>27</v>
      </c>
      <c r="O250" s="33">
        <v>100</v>
      </c>
      <c r="P250" s="33">
        <v>52</v>
      </c>
      <c r="Q250" s="46">
        <f t="shared" si="11"/>
        <v>52</v>
      </c>
      <c r="R250" s="33" t="s">
        <v>70</v>
      </c>
      <c r="S250" s="47" t="str">
        <f t="shared" si="9"/>
        <v>2024-10</v>
      </c>
      <c r="T250" s="33">
        <v>18</v>
      </c>
    </row>
    <row r="251" spans="1:20" ht="25.5">
      <c r="A251" s="37" t="s">
        <v>840</v>
      </c>
      <c r="B251" s="48">
        <v>45062</v>
      </c>
      <c r="C251" s="33" t="s">
        <v>20</v>
      </c>
      <c r="D251" s="37" t="s">
        <v>79</v>
      </c>
      <c r="E251" s="37" t="s">
        <v>80</v>
      </c>
      <c r="F251" s="37" t="s">
        <v>64</v>
      </c>
      <c r="G251" s="33" t="str">
        <f t="shared" si="10"/>
        <v>Newark → San Francisco</v>
      </c>
      <c r="H251" s="37" t="s">
        <v>65</v>
      </c>
      <c r="I251" s="37" t="s">
        <v>279</v>
      </c>
      <c r="J251" s="37" t="s">
        <v>842</v>
      </c>
      <c r="K251" s="37">
        <v>181</v>
      </c>
      <c r="L251" s="37">
        <v>444</v>
      </c>
      <c r="M251" s="37">
        <v>699.21</v>
      </c>
      <c r="N251" s="37" t="s">
        <v>27</v>
      </c>
      <c r="O251" s="37">
        <v>289</v>
      </c>
      <c r="P251" s="37">
        <v>217</v>
      </c>
      <c r="Q251" s="46">
        <f t="shared" si="11"/>
        <v>75.086505190311399</v>
      </c>
      <c r="R251" s="37" t="s">
        <v>28</v>
      </c>
      <c r="S251" s="49" t="str">
        <f t="shared" si="9"/>
        <v>2023-05</v>
      </c>
      <c r="T251" s="37">
        <v>0</v>
      </c>
    </row>
    <row r="252" spans="1:20">
      <c r="A252" s="33" t="s">
        <v>843</v>
      </c>
      <c r="B252" s="45">
        <v>45221</v>
      </c>
      <c r="C252" s="33" t="s">
        <v>31</v>
      </c>
      <c r="D252" s="33" t="s">
        <v>129</v>
      </c>
      <c r="E252" s="33" t="s">
        <v>130</v>
      </c>
      <c r="F252" s="33" t="s">
        <v>156</v>
      </c>
      <c r="G252" s="33" t="str">
        <f t="shared" si="10"/>
        <v>Detroit → Phoenix</v>
      </c>
      <c r="H252" s="33" t="s">
        <v>157</v>
      </c>
      <c r="I252" s="33" t="s">
        <v>378</v>
      </c>
      <c r="J252" s="33" t="s">
        <v>844</v>
      </c>
      <c r="K252" s="33">
        <v>382</v>
      </c>
      <c r="L252" s="33">
        <v>1827</v>
      </c>
      <c r="M252" s="33">
        <v>213.73</v>
      </c>
      <c r="N252" s="33" t="s">
        <v>27</v>
      </c>
      <c r="O252" s="33">
        <v>330</v>
      </c>
      <c r="P252" s="33">
        <v>76</v>
      </c>
      <c r="Q252" s="46">
        <f t="shared" si="11"/>
        <v>23.030303030302999</v>
      </c>
      <c r="R252" s="33" t="s">
        <v>28</v>
      </c>
      <c r="S252" s="47" t="str">
        <f t="shared" si="9"/>
        <v>2023-10</v>
      </c>
      <c r="T252" s="33">
        <v>0</v>
      </c>
    </row>
    <row r="253" spans="1:20" ht="25.5">
      <c r="A253" s="37" t="s">
        <v>845</v>
      </c>
      <c r="B253" s="48">
        <v>45618</v>
      </c>
      <c r="C253" s="33" t="s">
        <v>20</v>
      </c>
      <c r="D253" s="37" t="s">
        <v>66</v>
      </c>
      <c r="E253" s="37" t="s">
        <v>67</v>
      </c>
      <c r="F253" s="37" t="s">
        <v>54</v>
      </c>
      <c r="G253" s="33" t="str">
        <f t="shared" si="10"/>
        <v>Minneapolis → Chicago</v>
      </c>
      <c r="H253" s="37" t="s">
        <v>55</v>
      </c>
      <c r="I253" s="37" t="s">
        <v>361</v>
      </c>
      <c r="J253" s="37" t="s">
        <v>537</v>
      </c>
      <c r="K253" s="37">
        <v>249</v>
      </c>
      <c r="L253" s="37">
        <v>1640</v>
      </c>
      <c r="M253" s="37">
        <v>176.75</v>
      </c>
      <c r="N253" s="37" t="s">
        <v>44</v>
      </c>
      <c r="O253" s="37">
        <v>102</v>
      </c>
      <c r="P253" s="37">
        <v>73</v>
      </c>
      <c r="Q253" s="46">
        <f t="shared" si="11"/>
        <v>71.568627450980401</v>
      </c>
      <c r="R253" s="37" t="s">
        <v>28</v>
      </c>
      <c r="S253" s="49" t="str">
        <f t="shared" si="9"/>
        <v>2024-11</v>
      </c>
      <c r="T253" s="37">
        <v>0</v>
      </c>
    </row>
    <row r="254" spans="1:20" ht="25.5">
      <c r="A254" s="33" t="s">
        <v>847</v>
      </c>
      <c r="B254" s="45">
        <v>45184</v>
      </c>
      <c r="C254" s="33" t="s">
        <v>31</v>
      </c>
      <c r="D254" s="33" t="s">
        <v>40</v>
      </c>
      <c r="E254" s="33" t="s">
        <v>41</v>
      </c>
      <c r="F254" s="33" t="s">
        <v>64</v>
      </c>
      <c r="G254" s="33" t="str">
        <f t="shared" si="10"/>
        <v>Charlotte → San Francisco</v>
      </c>
      <c r="H254" s="33" t="s">
        <v>65</v>
      </c>
      <c r="I254" s="33" t="s">
        <v>342</v>
      </c>
      <c r="J254" s="33" t="s">
        <v>849</v>
      </c>
      <c r="K254" s="33">
        <v>190</v>
      </c>
      <c r="L254" s="33">
        <v>2538</v>
      </c>
      <c r="M254" s="33">
        <v>931.74</v>
      </c>
      <c r="N254" s="33" t="s">
        <v>60</v>
      </c>
      <c r="O254" s="33">
        <v>138</v>
      </c>
      <c r="P254" s="33">
        <v>50</v>
      </c>
      <c r="Q254" s="46">
        <f t="shared" si="11"/>
        <v>36.231884057971001</v>
      </c>
      <c r="R254" s="33" t="s">
        <v>149</v>
      </c>
      <c r="S254" s="47" t="str">
        <f t="shared" si="9"/>
        <v>2023-09</v>
      </c>
      <c r="T254" s="33">
        <v>0</v>
      </c>
    </row>
    <row r="255" spans="1:20" ht="25.5">
      <c r="A255" s="37" t="s">
        <v>850</v>
      </c>
      <c r="B255" s="48">
        <v>44610</v>
      </c>
      <c r="C255" s="33" t="s">
        <v>31</v>
      </c>
      <c r="D255" s="37" t="s">
        <v>32</v>
      </c>
      <c r="E255" s="37" t="s">
        <v>33</v>
      </c>
      <c r="F255" s="37" t="s">
        <v>64</v>
      </c>
      <c r="G255" s="33" t="str">
        <f t="shared" si="10"/>
        <v>Orlando → San Francisco</v>
      </c>
      <c r="H255" s="37" t="s">
        <v>65</v>
      </c>
      <c r="I255" s="37" t="s">
        <v>499</v>
      </c>
      <c r="J255" s="37" t="s">
        <v>852</v>
      </c>
      <c r="K255" s="37">
        <v>261</v>
      </c>
      <c r="L255" s="37">
        <v>305</v>
      </c>
      <c r="M255" s="37">
        <v>930</v>
      </c>
      <c r="N255" s="37" t="s">
        <v>44</v>
      </c>
      <c r="O255" s="37">
        <v>317</v>
      </c>
      <c r="P255" s="37">
        <v>207</v>
      </c>
      <c r="Q255" s="46">
        <f t="shared" si="11"/>
        <v>65.299684542586803</v>
      </c>
      <c r="R255" s="37" t="s">
        <v>28</v>
      </c>
      <c r="S255" s="49" t="str">
        <f t="shared" si="9"/>
        <v>2022-02</v>
      </c>
      <c r="T255" s="37">
        <v>0</v>
      </c>
    </row>
    <row r="256" spans="1:20">
      <c r="A256" s="33" t="s">
        <v>853</v>
      </c>
      <c r="B256" s="45">
        <v>45647</v>
      </c>
      <c r="C256" s="33" t="s">
        <v>31</v>
      </c>
      <c r="D256" s="33" t="s">
        <v>129</v>
      </c>
      <c r="E256" s="33" t="s">
        <v>130</v>
      </c>
      <c r="F256" s="33" t="s">
        <v>116</v>
      </c>
      <c r="G256" s="33" t="str">
        <f t="shared" si="10"/>
        <v>Detroit → Houston</v>
      </c>
      <c r="H256" s="33" t="s">
        <v>117</v>
      </c>
      <c r="I256" s="33" t="s">
        <v>855</v>
      </c>
      <c r="J256" s="33" t="s">
        <v>856</v>
      </c>
      <c r="K256" s="33">
        <v>454</v>
      </c>
      <c r="L256" s="33">
        <v>1446</v>
      </c>
      <c r="M256" s="33">
        <v>184.19</v>
      </c>
      <c r="N256" s="33" t="s">
        <v>60</v>
      </c>
      <c r="O256" s="33">
        <v>329</v>
      </c>
      <c r="P256" s="33">
        <v>316</v>
      </c>
      <c r="Q256" s="46">
        <f t="shared" si="11"/>
        <v>96.048632218845</v>
      </c>
      <c r="R256" s="33" t="s">
        <v>28</v>
      </c>
      <c r="S256" s="47" t="str">
        <f t="shared" si="9"/>
        <v>2024-12</v>
      </c>
      <c r="T256" s="33">
        <v>0</v>
      </c>
    </row>
    <row r="257" spans="1:20">
      <c r="A257" s="37" t="s">
        <v>857</v>
      </c>
      <c r="B257" s="48">
        <v>45324</v>
      </c>
      <c r="C257" s="33" t="s">
        <v>115</v>
      </c>
      <c r="D257" s="37" t="s">
        <v>54</v>
      </c>
      <c r="E257" s="37" t="s">
        <v>55</v>
      </c>
      <c r="F257" s="37" t="s">
        <v>48</v>
      </c>
      <c r="G257" s="33" t="str">
        <f t="shared" si="10"/>
        <v>Chicago → San Diego</v>
      </c>
      <c r="H257" s="37" t="s">
        <v>49</v>
      </c>
      <c r="I257" s="37" t="s">
        <v>118</v>
      </c>
      <c r="J257" s="37" t="s">
        <v>859</v>
      </c>
      <c r="K257" s="37">
        <v>416</v>
      </c>
      <c r="L257" s="37">
        <v>1915</v>
      </c>
      <c r="M257" s="37">
        <v>163.81</v>
      </c>
      <c r="N257" s="37" t="s">
        <v>27</v>
      </c>
      <c r="O257" s="37">
        <v>115</v>
      </c>
      <c r="P257" s="37">
        <v>105</v>
      </c>
      <c r="Q257" s="46">
        <f t="shared" si="11"/>
        <v>91.304347826086996</v>
      </c>
      <c r="R257" s="37" t="s">
        <v>70</v>
      </c>
      <c r="S257" s="49" t="str">
        <f t="shared" si="9"/>
        <v>2024-02</v>
      </c>
      <c r="T257" s="37">
        <v>48</v>
      </c>
    </row>
    <row r="258" spans="1:20" ht="25.5">
      <c r="A258" s="33" t="s">
        <v>860</v>
      </c>
      <c r="B258" s="45">
        <v>45046</v>
      </c>
      <c r="C258" s="33" t="s">
        <v>1462</v>
      </c>
      <c r="D258" s="33" t="s">
        <v>21</v>
      </c>
      <c r="E258" s="33" t="s">
        <v>22</v>
      </c>
      <c r="F258" s="33" t="s">
        <v>64</v>
      </c>
      <c r="G258" s="33" t="str">
        <f t="shared" si="10"/>
        <v>Boston → San Francisco</v>
      </c>
      <c r="H258" s="33" t="s">
        <v>65</v>
      </c>
      <c r="I258" s="33" t="s">
        <v>462</v>
      </c>
      <c r="J258" s="33" t="s">
        <v>862</v>
      </c>
      <c r="K258" s="33">
        <v>252</v>
      </c>
      <c r="L258" s="33">
        <v>2154</v>
      </c>
      <c r="M258" s="33">
        <v>384.59</v>
      </c>
      <c r="N258" s="33" t="s">
        <v>60</v>
      </c>
      <c r="O258" s="33">
        <v>341</v>
      </c>
      <c r="P258" s="33">
        <v>153</v>
      </c>
      <c r="Q258" s="46">
        <f t="shared" si="11"/>
        <v>44.868035190615799</v>
      </c>
      <c r="R258" s="33" t="s">
        <v>28</v>
      </c>
      <c r="S258" s="47" t="str">
        <f t="shared" ref="S258:S321" si="12">TEXT(B258,"YYYY-MM")</f>
        <v>2023-04</v>
      </c>
      <c r="T258" s="33">
        <v>0</v>
      </c>
    </row>
    <row r="259" spans="1:20">
      <c r="A259" s="37" t="s">
        <v>863</v>
      </c>
      <c r="B259" s="48">
        <v>44785</v>
      </c>
      <c r="C259" s="33" t="s">
        <v>63</v>
      </c>
      <c r="D259" s="37" t="s">
        <v>197</v>
      </c>
      <c r="E259" s="37" t="s">
        <v>198</v>
      </c>
      <c r="F259" s="37" t="s">
        <v>183</v>
      </c>
      <c r="G259" s="33" t="str">
        <f t="shared" ref="G259:G322" si="13">D259&amp;" → "&amp;F259</f>
        <v>Atlanta → Seattle</v>
      </c>
      <c r="H259" s="37" t="s">
        <v>184</v>
      </c>
      <c r="I259" s="37" t="s">
        <v>326</v>
      </c>
      <c r="J259" s="37" t="s">
        <v>865</v>
      </c>
      <c r="K259" s="37">
        <v>250</v>
      </c>
      <c r="L259" s="37">
        <v>1965</v>
      </c>
      <c r="M259" s="37">
        <v>215.23</v>
      </c>
      <c r="N259" s="37" t="s">
        <v>44</v>
      </c>
      <c r="O259" s="37">
        <v>346</v>
      </c>
      <c r="P259" s="37">
        <v>142</v>
      </c>
      <c r="Q259" s="46">
        <f t="shared" ref="Q259:Q322" si="14">P259/O259*100</f>
        <v>41.040462427745702</v>
      </c>
      <c r="R259" s="37" t="s">
        <v>28</v>
      </c>
      <c r="S259" s="49" t="str">
        <f t="shared" si="12"/>
        <v>2022-08</v>
      </c>
      <c r="T259" s="37">
        <v>0</v>
      </c>
    </row>
    <row r="260" spans="1:20">
      <c r="A260" s="33" t="s">
        <v>866</v>
      </c>
      <c r="B260" s="45">
        <v>45510</v>
      </c>
      <c r="C260" s="33" t="s">
        <v>1462</v>
      </c>
      <c r="D260" s="33" t="s">
        <v>197</v>
      </c>
      <c r="E260" s="33" t="s">
        <v>198</v>
      </c>
      <c r="F260" s="33" t="s">
        <v>54</v>
      </c>
      <c r="G260" s="33" t="str">
        <f t="shared" si="13"/>
        <v>Atlanta → Chicago</v>
      </c>
      <c r="H260" s="33" t="s">
        <v>55</v>
      </c>
      <c r="I260" s="33" t="s">
        <v>806</v>
      </c>
      <c r="J260" s="33" t="s">
        <v>185</v>
      </c>
      <c r="K260" s="33">
        <v>450</v>
      </c>
      <c r="L260" s="33">
        <v>2771</v>
      </c>
      <c r="M260" s="33">
        <v>125.17</v>
      </c>
      <c r="N260" s="33" t="s">
        <v>44</v>
      </c>
      <c r="O260" s="33">
        <v>137</v>
      </c>
      <c r="P260" s="33">
        <v>61</v>
      </c>
      <c r="Q260" s="46">
        <f t="shared" si="14"/>
        <v>44.525547445255498</v>
      </c>
      <c r="R260" s="33" t="s">
        <v>70</v>
      </c>
      <c r="S260" s="47" t="str">
        <f t="shared" si="12"/>
        <v>2024-08</v>
      </c>
      <c r="T260" s="33">
        <v>106</v>
      </c>
    </row>
    <row r="261" spans="1:20">
      <c r="A261" s="37" t="s">
        <v>868</v>
      </c>
      <c r="B261" s="48">
        <v>45373</v>
      </c>
      <c r="C261" s="33" t="s">
        <v>20</v>
      </c>
      <c r="D261" s="37" t="s">
        <v>95</v>
      </c>
      <c r="E261" s="37" t="s">
        <v>96</v>
      </c>
      <c r="F261" s="37" t="s">
        <v>21</v>
      </c>
      <c r="G261" s="33" t="str">
        <f t="shared" si="13"/>
        <v>Las Vegas → Boston</v>
      </c>
      <c r="H261" s="37" t="s">
        <v>22</v>
      </c>
      <c r="I261" s="37" t="s">
        <v>103</v>
      </c>
      <c r="J261" s="37" t="s">
        <v>870</v>
      </c>
      <c r="K261" s="37">
        <v>297</v>
      </c>
      <c r="L261" s="37">
        <v>2152</v>
      </c>
      <c r="M261" s="37">
        <v>702.67</v>
      </c>
      <c r="N261" s="37" t="s">
        <v>27</v>
      </c>
      <c r="O261" s="37">
        <v>163</v>
      </c>
      <c r="P261" s="37">
        <v>133</v>
      </c>
      <c r="Q261" s="46">
        <f t="shared" si="14"/>
        <v>81.595092024539895</v>
      </c>
      <c r="R261" s="37" t="s">
        <v>28</v>
      </c>
      <c r="S261" s="49" t="str">
        <f t="shared" si="12"/>
        <v>2024-03</v>
      </c>
      <c r="T261" s="37">
        <v>0</v>
      </c>
    </row>
    <row r="262" spans="1:20">
      <c r="A262" s="33" t="s">
        <v>871</v>
      </c>
      <c r="B262" s="45">
        <v>44848</v>
      </c>
      <c r="C262" s="33" t="s">
        <v>94</v>
      </c>
      <c r="D262" s="33" t="s">
        <v>174</v>
      </c>
      <c r="E262" s="33" t="s">
        <v>175</v>
      </c>
      <c r="F262" s="33" t="s">
        <v>54</v>
      </c>
      <c r="G262" s="33" t="str">
        <f t="shared" si="13"/>
        <v>New York → Chicago</v>
      </c>
      <c r="H262" s="33" t="s">
        <v>55</v>
      </c>
      <c r="I262" s="33" t="s">
        <v>25</v>
      </c>
      <c r="J262" s="33" t="s">
        <v>873</v>
      </c>
      <c r="K262" s="33">
        <v>191</v>
      </c>
      <c r="L262" s="33">
        <v>1940</v>
      </c>
      <c r="M262" s="33">
        <v>496.91</v>
      </c>
      <c r="N262" s="33" t="s">
        <v>27</v>
      </c>
      <c r="O262" s="33">
        <v>340</v>
      </c>
      <c r="P262" s="33">
        <v>93</v>
      </c>
      <c r="Q262" s="46">
        <f t="shared" si="14"/>
        <v>27.352941176470601</v>
      </c>
      <c r="R262" s="33" t="s">
        <v>28</v>
      </c>
      <c r="S262" s="47" t="str">
        <f t="shared" si="12"/>
        <v>2022-10</v>
      </c>
      <c r="T262" s="33">
        <v>0</v>
      </c>
    </row>
    <row r="263" spans="1:20">
      <c r="A263" s="37" t="s">
        <v>874</v>
      </c>
      <c r="B263" s="48">
        <v>45092</v>
      </c>
      <c r="C263" s="33" t="s">
        <v>94</v>
      </c>
      <c r="D263" s="37" t="s">
        <v>174</v>
      </c>
      <c r="E263" s="37" t="s">
        <v>175</v>
      </c>
      <c r="F263" s="37" t="s">
        <v>197</v>
      </c>
      <c r="G263" s="33" t="str">
        <f t="shared" si="13"/>
        <v>New York → Atlanta</v>
      </c>
      <c r="H263" s="37" t="s">
        <v>198</v>
      </c>
      <c r="I263" s="37" t="s">
        <v>139</v>
      </c>
      <c r="J263" s="37" t="s">
        <v>876</v>
      </c>
      <c r="K263" s="37">
        <v>155</v>
      </c>
      <c r="L263" s="37">
        <v>676</v>
      </c>
      <c r="M263" s="37">
        <v>1093.69</v>
      </c>
      <c r="N263" s="37" t="s">
        <v>44</v>
      </c>
      <c r="O263" s="37">
        <v>131</v>
      </c>
      <c r="P263" s="37">
        <v>55</v>
      </c>
      <c r="Q263" s="46">
        <f t="shared" si="14"/>
        <v>41.984732824427503</v>
      </c>
      <c r="R263" s="37" t="s">
        <v>149</v>
      </c>
      <c r="S263" s="49" t="str">
        <f t="shared" si="12"/>
        <v>2023-06</v>
      </c>
      <c r="T263" s="37">
        <v>0</v>
      </c>
    </row>
    <row r="264" spans="1:20">
      <c r="A264" s="33" t="s">
        <v>877</v>
      </c>
      <c r="B264" s="45">
        <v>44665</v>
      </c>
      <c r="C264" s="33" t="s">
        <v>63</v>
      </c>
      <c r="D264" s="33" t="s">
        <v>54</v>
      </c>
      <c r="E264" s="33" t="s">
        <v>74</v>
      </c>
      <c r="F264" s="33" t="s">
        <v>129</v>
      </c>
      <c r="G264" s="33" t="str">
        <f t="shared" si="13"/>
        <v>Chicago → Detroit</v>
      </c>
      <c r="H264" s="33" t="s">
        <v>130</v>
      </c>
      <c r="I264" s="33" t="s">
        <v>275</v>
      </c>
      <c r="J264" s="33" t="s">
        <v>878</v>
      </c>
      <c r="K264" s="33">
        <v>344</v>
      </c>
      <c r="L264" s="33">
        <v>420</v>
      </c>
      <c r="M264" s="33">
        <v>508.66</v>
      </c>
      <c r="N264" s="33" t="s">
        <v>44</v>
      </c>
      <c r="O264" s="33">
        <v>144</v>
      </c>
      <c r="P264" s="33">
        <v>95</v>
      </c>
      <c r="Q264" s="46">
        <f t="shared" si="14"/>
        <v>65.9722222222222</v>
      </c>
      <c r="R264" s="33" t="s">
        <v>28</v>
      </c>
      <c r="S264" s="47" t="str">
        <f t="shared" si="12"/>
        <v>2022-04</v>
      </c>
      <c r="T264" s="33">
        <v>0</v>
      </c>
    </row>
    <row r="265" spans="1:20">
      <c r="A265" s="37" t="s">
        <v>879</v>
      </c>
      <c r="B265" s="48">
        <v>44945</v>
      </c>
      <c r="C265" s="33" t="s">
        <v>1462</v>
      </c>
      <c r="D265" s="37" t="s">
        <v>21</v>
      </c>
      <c r="E265" s="37" t="s">
        <v>22</v>
      </c>
      <c r="F265" s="37" t="s">
        <v>79</v>
      </c>
      <c r="G265" s="33" t="str">
        <f t="shared" si="13"/>
        <v>Boston → Newark</v>
      </c>
      <c r="H265" s="37" t="s">
        <v>80</v>
      </c>
      <c r="I265" s="37" t="s">
        <v>403</v>
      </c>
      <c r="J265" s="37" t="s">
        <v>881</v>
      </c>
      <c r="K265" s="37">
        <v>404</v>
      </c>
      <c r="L265" s="37">
        <v>2836</v>
      </c>
      <c r="M265" s="37">
        <v>771.01</v>
      </c>
      <c r="N265" s="37" t="s">
        <v>27</v>
      </c>
      <c r="O265" s="37">
        <v>175</v>
      </c>
      <c r="P265" s="37">
        <v>113</v>
      </c>
      <c r="Q265" s="46">
        <f t="shared" si="14"/>
        <v>64.571428571428598</v>
      </c>
      <c r="R265" s="37" t="s">
        <v>28</v>
      </c>
      <c r="S265" s="49" t="str">
        <f t="shared" si="12"/>
        <v>2023-01</v>
      </c>
      <c r="T265" s="37">
        <v>0</v>
      </c>
    </row>
    <row r="266" spans="1:20">
      <c r="A266" s="33" t="s">
        <v>882</v>
      </c>
      <c r="B266" s="45">
        <v>45543</v>
      </c>
      <c r="C266" s="33" t="s">
        <v>20</v>
      </c>
      <c r="D266" s="33" t="s">
        <v>54</v>
      </c>
      <c r="E266" s="33" t="s">
        <v>55</v>
      </c>
      <c r="F266" s="33" t="s">
        <v>95</v>
      </c>
      <c r="G266" s="33" t="str">
        <f t="shared" si="13"/>
        <v>Chicago → Las Vegas</v>
      </c>
      <c r="H266" s="33" t="s">
        <v>96</v>
      </c>
      <c r="I266" s="33" t="s">
        <v>279</v>
      </c>
      <c r="J266" s="33" t="s">
        <v>884</v>
      </c>
      <c r="K266" s="33">
        <v>304</v>
      </c>
      <c r="L266" s="33">
        <v>1116</v>
      </c>
      <c r="M266" s="33">
        <v>799.77</v>
      </c>
      <c r="N266" s="33" t="s">
        <v>27</v>
      </c>
      <c r="O266" s="33">
        <v>163</v>
      </c>
      <c r="P266" s="33">
        <v>130</v>
      </c>
      <c r="Q266" s="46">
        <f t="shared" si="14"/>
        <v>79.754601226993898</v>
      </c>
      <c r="R266" s="33" t="s">
        <v>149</v>
      </c>
      <c r="S266" s="47" t="str">
        <f t="shared" si="12"/>
        <v>2024-09</v>
      </c>
      <c r="T266" s="33">
        <v>0</v>
      </c>
    </row>
    <row r="267" spans="1:20" ht="25.5">
      <c r="A267" s="37" t="s">
        <v>885</v>
      </c>
      <c r="B267" s="48">
        <v>44601</v>
      </c>
      <c r="C267" s="33" t="s">
        <v>73</v>
      </c>
      <c r="D267" s="37" t="s">
        <v>64</v>
      </c>
      <c r="E267" s="37" t="s">
        <v>65</v>
      </c>
      <c r="F267" s="37" t="s">
        <v>116</v>
      </c>
      <c r="G267" s="33" t="str">
        <f t="shared" si="13"/>
        <v>San Francisco → Houston</v>
      </c>
      <c r="H267" s="37" t="s">
        <v>117</v>
      </c>
      <c r="I267" s="37" t="s">
        <v>476</v>
      </c>
      <c r="J267" s="37" t="s">
        <v>887</v>
      </c>
      <c r="K267" s="37">
        <v>266</v>
      </c>
      <c r="L267" s="37">
        <v>2616</v>
      </c>
      <c r="M267" s="37">
        <v>642.67999999999995</v>
      </c>
      <c r="N267" s="37" t="s">
        <v>44</v>
      </c>
      <c r="O267" s="37">
        <v>169</v>
      </c>
      <c r="P267" s="37">
        <v>73</v>
      </c>
      <c r="Q267" s="46">
        <f t="shared" si="14"/>
        <v>43.1952662721894</v>
      </c>
      <c r="R267" s="37" t="s">
        <v>28</v>
      </c>
      <c r="S267" s="49" t="str">
        <f t="shared" si="12"/>
        <v>2022-02</v>
      </c>
      <c r="T267" s="37">
        <v>0</v>
      </c>
    </row>
    <row r="268" spans="1:20" ht="25.5">
      <c r="A268" s="33" t="s">
        <v>888</v>
      </c>
      <c r="B268" s="45">
        <v>45010</v>
      </c>
      <c r="C268" s="33" t="s">
        <v>20</v>
      </c>
      <c r="D268" s="33" t="s">
        <v>21</v>
      </c>
      <c r="E268" s="33" t="s">
        <v>22</v>
      </c>
      <c r="F268" s="33" t="s">
        <v>56</v>
      </c>
      <c r="G268" s="33" t="str">
        <f t="shared" si="13"/>
        <v>Boston → Los Angeles</v>
      </c>
      <c r="H268" s="33" t="s">
        <v>57</v>
      </c>
      <c r="I268" s="33" t="s">
        <v>334</v>
      </c>
      <c r="J268" s="33" t="s">
        <v>890</v>
      </c>
      <c r="K268" s="33">
        <v>389</v>
      </c>
      <c r="L268" s="33">
        <v>1253</v>
      </c>
      <c r="M268" s="33">
        <v>1170.8599999999999</v>
      </c>
      <c r="N268" s="33" t="s">
        <v>60</v>
      </c>
      <c r="O268" s="33">
        <v>163</v>
      </c>
      <c r="P268" s="33">
        <v>134</v>
      </c>
      <c r="Q268" s="46">
        <f t="shared" si="14"/>
        <v>82.208588957055198</v>
      </c>
      <c r="R268" s="33" t="s">
        <v>28</v>
      </c>
      <c r="S268" s="47" t="str">
        <f t="shared" si="12"/>
        <v>2023-03</v>
      </c>
      <c r="T268" s="33">
        <v>0</v>
      </c>
    </row>
    <row r="269" spans="1:20">
      <c r="A269" s="37" t="s">
        <v>891</v>
      </c>
      <c r="B269" s="48">
        <v>45654</v>
      </c>
      <c r="C269" s="33" t="s">
        <v>20</v>
      </c>
      <c r="D269" s="37" t="s">
        <v>23</v>
      </c>
      <c r="E269" s="37" t="s">
        <v>24</v>
      </c>
      <c r="F269" s="37" t="s">
        <v>48</v>
      </c>
      <c r="G269" s="33" t="str">
        <f t="shared" si="13"/>
        <v>Denver → San Diego</v>
      </c>
      <c r="H269" s="37" t="s">
        <v>49</v>
      </c>
      <c r="I269" s="37" t="s">
        <v>462</v>
      </c>
      <c r="J269" s="37" t="s">
        <v>603</v>
      </c>
      <c r="K269" s="37">
        <v>178</v>
      </c>
      <c r="L269" s="37">
        <v>1021</v>
      </c>
      <c r="M269" s="37">
        <v>344.94</v>
      </c>
      <c r="N269" s="37" t="s">
        <v>44</v>
      </c>
      <c r="O269" s="37">
        <v>306</v>
      </c>
      <c r="P269" s="37">
        <v>142</v>
      </c>
      <c r="Q269" s="46">
        <f t="shared" si="14"/>
        <v>46.405228758169898</v>
      </c>
      <c r="R269" s="37" t="s">
        <v>70</v>
      </c>
      <c r="S269" s="49" t="str">
        <f t="shared" si="12"/>
        <v>2024-12</v>
      </c>
      <c r="T269" s="37">
        <v>22</v>
      </c>
    </row>
    <row r="270" spans="1:20">
      <c r="A270" s="33" t="s">
        <v>893</v>
      </c>
      <c r="B270" s="45">
        <v>45282</v>
      </c>
      <c r="C270" s="33" t="s">
        <v>63</v>
      </c>
      <c r="D270" s="33" t="s">
        <v>54</v>
      </c>
      <c r="E270" s="33" t="s">
        <v>74</v>
      </c>
      <c r="F270" s="33" t="s">
        <v>183</v>
      </c>
      <c r="G270" s="33" t="str">
        <f t="shared" si="13"/>
        <v>Chicago → Seattle</v>
      </c>
      <c r="H270" s="33" t="s">
        <v>184</v>
      </c>
      <c r="I270" s="33" t="s">
        <v>334</v>
      </c>
      <c r="J270" s="33" t="s">
        <v>516</v>
      </c>
      <c r="K270" s="33">
        <v>179</v>
      </c>
      <c r="L270" s="33">
        <v>2308</v>
      </c>
      <c r="M270" s="33">
        <v>122.52</v>
      </c>
      <c r="N270" s="33" t="s">
        <v>60</v>
      </c>
      <c r="O270" s="33">
        <v>159</v>
      </c>
      <c r="P270" s="33">
        <v>127</v>
      </c>
      <c r="Q270" s="46">
        <f t="shared" si="14"/>
        <v>79.874213836478006</v>
      </c>
      <c r="R270" s="33" t="s">
        <v>28</v>
      </c>
      <c r="S270" s="47" t="str">
        <f t="shared" si="12"/>
        <v>2023-12</v>
      </c>
      <c r="T270" s="33">
        <v>0</v>
      </c>
    </row>
    <row r="271" spans="1:20" ht="25.5">
      <c r="A271" s="37" t="s">
        <v>895</v>
      </c>
      <c r="B271" s="48">
        <v>45640</v>
      </c>
      <c r="C271" s="33" t="s">
        <v>115</v>
      </c>
      <c r="D271" s="37" t="s">
        <v>174</v>
      </c>
      <c r="E271" s="37" t="s">
        <v>175</v>
      </c>
      <c r="F271" s="37" t="s">
        <v>64</v>
      </c>
      <c r="G271" s="33" t="str">
        <f t="shared" si="13"/>
        <v>New York → San Francisco</v>
      </c>
      <c r="H271" s="37" t="s">
        <v>65</v>
      </c>
      <c r="I271" s="37" t="s">
        <v>494</v>
      </c>
      <c r="J271" s="37" t="s">
        <v>203</v>
      </c>
      <c r="K271" s="37">
        <v>156</v>
      </c>
      <c r="L271" s="37">
        <v>1695</v>
      </c>
      <c r="M271" s="37">
        <v>882.97</v>
      </c>
      <c r="N271" s="37" t="s">
        <v>44</v>
      </c>
      <c r="O271" s="37">
        <v>115</v>
      </c>
      <c r="P271" s="37">
        <v>52</v>
      </c>
      <c r="Q271" s="46">
        <f t="shared" si="14"/>
        <v>45.2173913043478</v>
      </c>
      <c r="R271" s="37" t="s">
        <v>28</v>
      </c>
      <c r="S271" s="49" t="str">
        <f t="shared" si="12"/>
        <v>2024-12</v>
      </c>
      <c r="T271" s="37">
        <v>0</v>
      </c>
    </row>
    <row r="272" spans="1:20" ht="25.5">
      <c r="A272" s="33" t="s">
        <v>896</v>
      </c>
      <c r="B272" s="45">
        <v>44852</v>
      </c>
      <c r="C272" s="33" t="s">
        <v>94</v>
      </c>
      <c r="D272" s="33" t="s">
        <v>116</v>
      </c>
      <c r="E272" s="33" t="s">
        <v>117</v>
      </c>
      <c r="F272" s="33" t="s">
        <v>64</v>
      </c>
      <c r="G272" s="33" t="str">
        <f t="shared" si="13"/>
        <v>Houston → San Francisco</v>
      </c>
      <c r="H272" s="33" t="s">
        <v>65</v>
      </c>
      <c r="I272" s="33" t="s">
        <v>230</v>
      </c>
      <c r="J272" s="33" t="s">
        <v>763</v>
      </c>
      <c r="K272" s="33">
        <v>450</v>
      </c>
      <c r="L272" s="33">
        <v>1920</v>
      </c>
      <c r="M272" s="33">
        <v>736.34</v>
      </c>
      <c r="N272" s="33" t="s">
        <v>44</v>
      </c>
      <c r="O272" s="33">
        <v>177</v>
      </c>
      <c r="P272" s="33">
        <v>132</v>
      </c>
      <c r="Q272" s="46">
        <f t="shared" si="14"/>
        <v>74.576271186440707</v>
      </c>
      <c r="R272" s="33" t="s">
        <v>28</v>
      </c>
      <c r="S272" s="47" t="str">
        <f t="shared" si="12"/>
        <v>2022-10</v>
      </c>
      <c r="T272" s="33">
        <v>0</v>
      </c>
    </row>
    <row r="273" spans="1:20">
      <c r="A273" s="37" t="s">
        <v>897</v>
      </c>
      <c r="B273" s="48">
        <v>44884</v>
      </c>
      <c r="C273" s="33" t="s">
        <v>73</v>
      </c>
      <c r="D273" s="37" t="s">
        <v>79</v>
      </c>
      <c r="E273" s="37" t="s">
        <v>80</v>
      </c>
      <c r="F273" s="37" t="s">
        <v>156</v>
      </c>
      <c r="G273" s="33" t="str">
        <f t="shared" si="13"/>
        <v>Newark → Phoenix</v>
      </c>
      <c r="H273" s="37" t="s">
        <v>157</v>
      </c>
      <c r="I273" s="37" t="s">
        <v>806</v>
      </c>
      <c r="J273" s="37" t="s">
        <v>899</v>
      </c>
      <c r="K273" s="37">
        <v>204</v>
      </c>
      <c r="L273" s="37">
        <v>2712</v>
      </c>
      <c r="M273" s="37">
        <v>992.19</v>
      </c>
      <c r="N273" s="37" t="s">
        <v>44</v>
      </c>
      <c r="O273" s="37">
        <v>178</v>
      </c>
      <c r="P273" s="37">
        <v>125</v>
      </c>
      <c r="Q273" s="46">
        <f t="shared" si="14"/>
        <v>70.224719101123597</v>
      </c>
      <c r="R273" s="37" t="s">
        <v>28</v>
      </c>
      <c r="S273" s="49" t="str">
        <f t="shared" si="12"/>
        <v>2022-11</v>
      </c>
      <c r="T273" s="37">
        <v>0</v>
      </c>
    </row>
    <row r="274" spans="1:20" ht="25.5">
      <c r="A274" s="33" t="s">
        <v>900</v>
      </c>
      <c r="B274" s="45">
        <v>44565</v>
      </c>
      <c r="C274" s="33" t="s">
        <v>73</v>
      </c>
      <c r="D274" s="33" t="s">
        <v>54</v>
      </c>
      <c r="E274" s="33" t="s">
        <v>74</v>
      </c>
      <c r="F274" s="33" t="s">
        <v>56</v>
      </c>
      <c r="G274" s="33" t="str">
        <f t="shared" si="13"/>
        <v>Chicago → Los Angeles</v>
      </c>
      <c r="H274" s="33" t="s">
        <v>57</v>
      </c>
      <c r="I274" s="33" t="s">
        <v>806</v>
      </c>
      <c r="J274" s="33" t="s">
        <v>902</v>
      </c>
      <c r="K274" s="33">
        <v>403</v>
      </c>
      <c r="L274" s="33">
        <v>1204</v>
      </c>
      <c r="M274" s="33">
        <v>796.4</v>
      </c>
      <c r="N274" s="33" t="s">
        <v>60</v>
      </c>
      <c r="O274" s="33">
        <v>339</v>
      </c>
      <c r="P274" s="33">
        <v>304</v>
      </c>
      <c r="Q274" s="46">
        <f t="shared" si="14"/>
        <v>89.675516224188797</v>
      </c>
      <c r="R274" s="33" t="s">
        <v>28</v>
      </c>
      <c r="S274" s="47" t="str">
        <f t="shared" si="12"/>
        <v>2022-01</v>
      </c>
      <c r="T274" s="33">
        <v>0</v>
      </c>
    </row>
    <row r="275" spans="1:20" ht="25.5">
      <c r="A275" s="37" t="s">
        <v>903</v>
      </c>
      <c r="B275" s="48">
        <v>44721</v>
      </c>
      <c r="C275" s="33" t="s">
        <v>31</v>
      </c>
      <c r="D275" s="37" t="s">
        <v>64</v>
      </c>
      <c r="E275" s="37" t="s">
        <v>65</v>
      </c>
      <c r="F275" s="37" t="s">
        <v>156</v>
      </c>
      <c r="G275" s="33" t="str">
        <f t="shared" si="13"/>
        <v>San Francisco → Phoenix</v>
      </c>
      <c r="H275" s="37" t="s">
        <v>157</v>
      </c>
      <c r="I275" s="37" t="s">
        <v>103</v>
      </c>
      <c r="J275" s="37" t="s">
        <v>905</v>
      </c>
      <c r="K275" s="37">
        <v>452</v>
      </c>
      <c r="L275" s="37">
        <v>2917</v>
      </c>
      <c r="M275" s="37">
        <v>896.8</v>
      </c>
      <c r="N275" s="37" t="s">
        <v>44</v>
      </c>
      <c r="O275" s="37">
        <v>214</v>
      </c>
      <c r="P275" s="37">
        <v>142</v>
      </c>
      <c r="Q275" s="46">
        <f t="shared" si="14"/>
        <v>66.355140186915904</v>
      </c>
      <c r="R275" s="37" t="s">
        <v>28</v>
      </c>
      <c r="S275" s="49" t="str">
        <f t="shared" si="12"/>
        <v>2022-06</v>
      </c>
      <c r="T275" s="37">
        <v>0</v>
      </c>
    </row>
    <row r="276" spans="1:20" ht="25.5">
      <c r="A276" s="33" t="s">
        <v>906</v>
      </c>
      <c r="B276" s="45">
        <v>45073</v>
      </c>
      <c r="C276" s="33" t="s">
        <v>94</v>
      </c>
      <c r="D276" s="33" t="s">
        <v>64</v>
      </c>
      <c r="E276" s="33" t="s">
        <v>65</v>
      </c>
      <c r="F276" s="33" t="s">
        <v>21</v>
      </c>
      <c r="G276" s="33" t="str">
        <f t="shared" si="13"/>
        <v>San Francisco → Boston</v>
      </c>
      <c r="H276" s="33" t="s">
        <v>22</v>
      </c>
      <c r="I276" s="33" t="s">
        <v>166</v>
      </c>
      <c r="J276" s="33" t="s">
        <v>907</v>
      </c>
      <c r="K276" s="33">
        <v>114</v>
      </c>
      <c r="L276" s="33">
        <v>1880</v>
      </c>
      <c r="M276" s="33">
        <v>570.80999999999995</v>
      </c>
      <c r="N276" s="33" t="s">
        <v>44</v>
      </c>
      <c r="O276" s="33">
        <v>348</v>
      </c>
      <c r="P276" s="33">
        <v>135</v>
      </c>
      <c r="Q276" s="46">
        <f t="shared" si="14"/>
        <v>38.7931034482759</v>
      </c>
      <c r="R276" s="33" t="s">
        <v>70</v>
      </c>
      <c r="S276" s="47" t="str">
        <f t="shared" si="12"/>
        <v>2023-05</v>
      </c>
      <c r="T276" s="33">
        <v>141</v>
      </c>
    </row>
    <row r="277" spans="1:20" ht="25.5">
      <c r="A277" s="37" t="s">
        <v>908</v>
      </c>
      <c r="B277" s="48">
        <v>45337</v>
      </c>
      <c r="C277" s="33" t="s">
        <v>47</v>
      </c>
      <c r="D277" s="37" t="s">
        <v>32</v>
      </c>
      <c r="E277" s="37" t="s">
        <v>33</v>
      </c>
      <c r="F277" s="37" t="s">
        <v>66</v>
      </c>
      <c r="G277" s="33" t="str">
        <f t="shared" si="13"/>
        <v>Orlando → Minneapolis</v>
      </c>
      <c r="H277" s="37" t="s">
        <v>67</v>
      </c>
      <c r="I277" s="37" t="s">
        <v>406</v>
      </c>
      <c r="J277" s="37" t="s">
        <v>910</v>
      </c>
      <c r="K277" s="37">
        <v>385</v>
      </c>
      <c r="L277" s="37">
        <v>2966</v>
      </c>
      <c r="M277" s="37">
        <v>929.23</v>
      </c>
      <c r="N277" s="37" t="s">
        <v>60</v>
      </c>
      <c r="O277" s="37">
        <v>141</v>
      </c>
      <c r="P277" s="37">
        <v>107</v>
      </c>
      <c r="Q277" s="46">
        <f t="shared" si="14"/>
        <v>75.886524822694994</v>
      </c>
      <c r="R277" s="37" t="s">
        <v>28</v>
      </c>
      <c r="S277" s="49" t="str">
        <f t="shared" si="12"/>
        <v>2024-02</v>
      </c>
      <c r="T277" s="37">
        <v>0</v>
      </c>
    </row>
    <row r="278" spans="1:20" ht="25.5">
      <c r="A278" s="33" t="s">
        <v>911</v>
      </c>
      <c r="B278" s="45">
        <v>44630</v>
      </c>
      <c r="C278" s="33" t="s">
        <v>1462</v>
      </c>
      <c r="D278" s="33" t="s">
        <v>174</v>
      </c>
      <c r="E278" s="33" t="s">
        <v>175</v>
      </c>
      <c r="F278" s="33" t="s">
        <v>64</v>
      </c>
      <c r="G278" s="33" t="str">
        <f t="shared" si="13"/>
        <v>New York → San Francisco</v>
      </c>
      <c r="H278" s="33" t="s">
        <v>65</v>
      </c>
      <c r="I278" s="33" t="s">
        <v>378</v>
      </c>
      <c r="J278" s="33" t="s">
        <v>912</v>
      </c>
      <c r="K278" s="33">
        <v>127</v>
      </c>
      <c r="L278" s="33">
        <v>1700</v>
      </c>
      <c r="M278" s="33">
        <v>270.52</v>
      </c>
      <c r="N278" s="33" t="s">
        <v>44</v>
      </c>
      <c r="O278" s="33">
        <v>141</v>
      </c>
      <c r="P278" s="33">
        <v>59</v>
      </c>
      <c r="Q278" s="46">
        <f t="shared" si="14"/>
        <v>41.843971631205697</v>
      </c>
      <c r="R278" s="33" t="s">
        <v>28</v>
      </c>
      <c r="S278" s="47" t="str">
        <f t="shared" si="12"/>
        <v>2022-03</v>
      </c>
      <c r="T278" s="33">
        <v>0</v>
      </c>
    </row>
    <row r="279" spans="1:20">
      <c r="A279" s="37" t="s">
        <v>913</v>
      </c>
      <c r="B279" s="48">
        <v>44752</v>
      </c>
      <c r="C279" s="33" t="s">
        <v>47</v>
      </c>
      <c r="D279" s="37" t="s">
        <v>48</v>
      </c>
      <c r="E279" s="37" t="s">
        <v>49</v>
      </c>
      <c r="F279" s="37" t="s">
        <v>79</v>
      </c>
      <c r="G279" s="33" t="str">
        <f t="shared" si="13"/>
        <v>San Diego → Newark</v>
      </c>
      <c r="H279" s="37" t="s">
        <v>80</v>
      </c>
      <c r="I279" s="37" t="s">
        <v>545</v>
      </c>
      <c r="J279" s="37" t="s">
        <v>915</v>
      </c>
      <c r="K279" s="37">
        <v>310</v>
      </c>
      <c r="L279" s="37">
        <v>2977</v>
      </c>
      <c r="M279" s="37">
        <v>264.8</v>
      </c>
      <c r="N279" s="37" t="s">
        <v>44</v>
      </c>
      <c r="O279" s="37">
        <v>140</v>
      </c>
      <c r="P279" s="37">
        <v>56</v>
      </c>
      <c r="Q279" s="46">
        <f t="shared" si="14"/>
        <v>40</v>
      </c>
      <c r="R279" s="37" t="s">
        <v>28</v>
      </c>
      <c r="S279" s="49" t="str">
        <f t="shared" si="12"/>
        <v>2022-07</v>
      </c>
      <c r="T279" s="37">
        <v>0</v>
      </c>
    </row>
    <row r="280" spans="1:20">
      <c r="A280" s="33" t="s">
        <v>916</v>
      </c>
      <c r="B280" s="45">
        <v>44982</v>
      </c>
      <c r="C280" s="33" t="s">
        <v>31</v>
      </c>
      <c r="D280" s="33" t="s">
        <v>129</v>
      </c>
      <c r="E280" s="33" t="s">
        <v>130</v>
      </c>
      <c r="F280" s="33" t="s">
        <v>54</v>
      </c>
      <c r="G280" s="33" t="str">
        <f t="shared" si="13"/>
        <v>Detroit → Chicago</v>
      </c>
      <c r="H280" s="33" t="s">
        <v>74</v>
      </c>
      <c r="I280" s="33" t="s">
        <v>131</v>
      </c>
      <c r="J280" s="33" t="s">
        <v>918</v>
      </c>
      <c r="K280" s="33">
        <v>428</v>
      </c>
      <c r="L280" s="33">
        <v>1453</v>
      </c>
      <c r="M280" s="33">
        <v>413.09</v>
      </c>
      <c r="N280" s="33" t="s">
        <v>60</v>
      </c>
      <c r="O280" s="33">
        <v>112</v>
      </c>
      <c r="P280" s="33">
        <v>75</v>
      </c>
      <c r="Q280" s="46">
        <f t="shared" si="14"/>
        <v>66.964285714285694</v>
      </c>
      <c r="R280" s="33" t="s">
        <v>28</v>
      </c>
      <c r="S280" s="47" t="str">
        <f t="shared" si="12"/>
        <v>2023-02</v>
      </c>
      <c r="T280" s="33">
        <v>0</v>
      </c>
    </row>
    <row r="281" spans="1:20" ht="25.5">
      <c r="A281" s="37" t="s">
        <v>919</v>
      </c>
      <c r="B281" s="48">
        <v>45567</v>
      </c>
      <c r="C281" s="33" t="s">
        <v>63</v>
      </c>
      <c r="D281" s="37" t="s">
        <v>56</v>
      </c>
      <c r="E281" s="37" t="s">
        <v>57</v>
      </c>
      <c r="F281" s="37" t="s">
        <v>66</v>
      </c>
      <c r="G281" s="33" t="str">
        <f t="shared" si="13"/>
        <v>Los Angeles → Minneapolis</v>
      </c>
      <c r="H281" s="37" t="s">
        <v>67</v>
      </c>
      <c r="I281" s="37" t="s">
        <v>158</v>
      </c>
      <c r="J281" s="37" t="s">
        <v>920</v>
      </c>
      <c r="K281" s="37">
        <v>134</v>
      </c>
      <c r="L281" s="37">
        <v>1506</v>
      </c>
      <c r="M281" s="37">
        <v>1002.76</v>
      </c>
      <c r="N281" s="37" t="s">
        <v>27</v>
      </c>
      <c r="O281" s="37">
        <v>253</v>
      </c>
      <c r="P281" s="37">
        <v>172</v>
      </c>
      <c r="Q281" s="46">
        <f t="shared" si="14"/>
        <v>67.984189723320199</v>
      </c>
      <c r="R281" s="37" t="s">
        <v>28</v>
      </c>
      <c r="S281" s="49" t="str">
        <f t="shared" si="12"/>
        <v>2024-10</v>
      </c>
      <c r="T281" s="37">
        <v>0</v>
      </c>
    </row>
    <row r="282" spans="1:20">
      <c r="A282" s="33" t="s">
        <v>921</v>
      </c>
      <c r="B282" s="45">
        <v>44614</v>
      </c>
      <c r="C282" s="33" t="s">
        <v>31</v>
      </c>
      <c r="D282" s="33" t="s">
        <v>38</v>
      </c>
      <c r="E282" s="33" t="s">
        <v>39</v>
      </c>
      <c r="F282" s="33" t="s">
        <v>156</v>
      </c>
      <c r="G282" s="33" t="str">
        <f t="shared" si="13"/>
        <v>Miami → Phoenix</v>
      </c>
      <c r="H282" s="33" t="s">
        <v>157</v>
      </c>
      <c r="I282" s="33" t="s">
        <v>170</v>
      </c>
      <c r="J282" s="33" t="s">
        <v>832</v>
      </c>
      <c r="K282" s="33">
        <v>149</v>
      </c>
      <c r="L282" s="33">
        <v>1563</v>
      </c>
      <c r="M282" s="33">
        <v>959.06</v>
      </c>
      <c r="N282" s="33" t="s">
        <v>44</v>
      </c>
      <c r="O282" s="33">
        <v>225</v>
      </c>
      <c r="P282" s="33">
        <v>219</v>
      </c>
      <c r="Q282" s="46">
        <f t="shared" si="14"/>
        <v>97.3333333333333</v>
      </c>
      <c r="R282" s="33" t="s">
        <v>28</v>
      </c>
      <c r="S282" s="47" t="str">
        <f t="shared" si="12"/>
        <v>2022-02</v>
      </c>
      <c r="T282" s="33">
        <v>0</v>
      </c>
    </row>
    <row r="283" spans="1:20" ht="25.5">
      <c r="A283" s="37" t="s">
        <v>923</v>
      </c>
      <c r="B283" s="48">
        <v>45355</v>
      </c>
      <c r="C283" s="33" t="s">
        <v>63</v>
      </c>
      <c r="D283" s="37" t="s">
        <v>64</v>
      </c>
      <c r="E283" s="37" t="s">
        <v>65</v>
      </c>
      <c r="F283" s="37" t="s">
        <v>129</v>
      </c>
      <c r="G283" s="33" t="str">
        <f t="shared" si="13"/>
        <v>San Francisco → Detroit</v>
      </c>
      <c r="H283" s="37" t="s">
        <v>130</v>
      </c>
      <c r="I283" s="37" t="s">
        <v>774</v>
      </c>
      <c r="J283" s="37" t="s">
        <v>925</v>
      </c>
      <c r="K283" s="37">
        <v>318</v>
      </c>
      <c r="L283" s="37">
        <v>482</v>
      </c>
      <c r="M283" s="37">
        <v>374.89</v>
      </c>
      <c r="N283" s="37" t="s">
        <v>44</v>
      </c>
      <c r="O283" s="37">
        <v>167</v>
      </c>
      <c r="P283" s="37">
        <v>78</v>
      </c>
      <c r="Q283" s="46">
        <f t="shared" si="14"/>
        <v>46.706586826347298</v>
      </c>
      <c r="R283" s="37" t="s">
        <v>70</v>
      </c>
      <c r="S283" s="49" t="str">
        <f t="shared" si="12"/>
        <v>2024-03</v>
      </c>
      <c r="T283" s="37">
        <v>159</v>
      </c>
    </row>
    <row r="284" spans="1:20">
      <c r="A284" s="33" t="s">
        <v>926</v>
      </c>
      <c r="B284" s="45">
        <v>44688</v>
      </c>
      <c r="C284" s="33" t="s">
        <v>63</v>
      </c>
      <c r="D284" s="33" t="s">
        <v>197</v>
      </c>
      <c r="E284" s="33" t="s">
        <v>198</v>
      </c>
      <c r="F284" s="33" t="s">
        <v>54</v>
      </c>
      <c r="G284" s="33" t="str">
        <f t="shared" si="13"/>
        <v>Atlanta → Chicago</v>
      </c>
      <c r="H284" s="33" t="s">
        <v>55</v>
      </c>
      <c r="I284" s="33" t="s">
        <v>216</v>
      </c>
      <c r="J284" s="33" t="s">
        <v>928</v>
      </c>
      <c r="K284" s="33">
        <v>367</v>
      </c>
      <c r="L284" s="33">
        <v>1995</v>
      </c>
      <c r="M284" s="33">
        <v>1167.19</v>
      </c>
      <c r="N284" s="33" t="s">
        <v>27</v>
      </c>
      <c r="O284" s="33">
        <v>158</v>
      </c>
      <c r="P284" s="33">
        <v>120</v>
      </c>
      <c r="Q284" s="46">
        <f t="shared" si="14"/>
        <v>75.949367088607602</v>
      </c>
      <c r="R284" s="33" t="s">
        <v>28</v>
      </c>
      <c r="S284" s="47" t="str">
        <f t="shared" si="12"/>
        <v>2022-05</v>
      </c>
      <c r="T284" s="33">
        <v>0</v>
      </c>
    </row>
    <row r="285" spans="1:20">
      <c r="A285" s="37" t="s">
        <v>929</v>
      </c>
      <c r="B285" s="48">
        <v>45354</v>
      </c>
      <c r="C285" s="33" t="s">
        <v>73</v>
      </c>
      <c r="D285" s="37" t="s">
        <v>32</v>
      </c>
      <c r="E285" s="37" t="s">
        <v>33</v>
      </c>
      <c r="F285" s="37" t="s">
        <v>79</v>
      </c>
      <c r="G285" s="33" t="str">
        <f t="shared" si="13"/>
        <v>Orlando → Newark</v>
      </c>
      <c r="H285" s="37" t="s">
        <v>80</v>
      </c>
      <c r="I285" s="37" t="s">
        <v>259</v>
      </c>
      <c r="J285" s="37" t="s">
        <v>931</v>
      </c>
      <c r="K285" s="37">
        <v>333</v>
      </c>
      <c r="L285" s="37">
        <v>1524</v>
      </c>
      <c r="M285" s="37">
        <v>168.43</v>
      </c>
      <c r="N285" s="37" t="s">
        <v>27</v>
      </c>
      <c r="O285" s="37">
        <v>108</v>
      </c>
      <c r="P285" s="37">
        <v>82</v>
      </c>
      <c r="Q285" s="46">
        <f t="shared" si="14"/>
        <v>75.925925925925895</v>
      </c>
      <c r="R285" s="37" t="s">
        <v>28</v>
      </c>
      <c r="S285" s="49" t="str">
        <f t="shared" si="12"/>
        <v>2024-03</v>
      </c>
      <c r="T285" s="37">
        <v>0</v>
      </c>
    </row>
    <row r="286" spans="1:20">
      <c r="A286" s="33" t="s">
        <v>932</v>
      </c>
      <c r="B286" s="45">
        <v>45620</v>
      </c>
      <c r="C286" s="33" t="s">
        <v>63</v>
      </c>
      <c r="D286" s="33" t="s">
        <v>197</v>
      </c>
      <c r="E286" s="33" t="s">
        <v>198</v>
      </c>
      <c r="F286" s="33" t="s">
        <v>79</v>
      </c>
      <c r="G286" s="33" t="str">
        <f t="shared" si="13"/>
        <v>Atlanta → Newark</v>
      </c>
      <c r="H286" s="33" t="s">
        <v>80</v>
      </c>
      <c r="I286" s="33" t="s">
        <v>303</v>
      </c>
      <c r="J286" s="33" t="s">
        <v>934</v>
      </c>
      <c r="K286" s="33">
        <v>198</v>
      </c>
      <c r="L286" s="33">
        <v>1089</v>
      </c>
      <c r="M286" s="33">
        <v>221.33</v>
      </c>
      <c r="N286" s="33" t="s">
        <v>44</v>
      </c>
      <c r="O286" s="33">
        <v>120</v>
      </c>
      <c r="P286" s="33">
        <v>105</v>
      </c>
      <c r="Q286" s="46">
        <f t="shared" si="14"/>
        <v>87.5</v>
      </c>
      <c r="R286" s="33" t="s">
        <v>28</v>
      </c>
      <c r="S286" s="47" t="str">
        <f t="shared" si="12"/>
        <v>2024-11</v>
      </c>
      <c r="T286" s="33">
        <v>0</v>
      </c>
    </row>
    <row r="287" spans="1:20">
      <c r="A287" s="37" t="s">
        <v>935</v>
      </c>
      <c r="B287" s="48">
        <v>44864</v>
      </c>
      <c r="C287" s="33" t="s">
        <v>1462</v>
      </c>
      <c r="D287" s="37" t="s">
        <v>156</v>
      </c>
      <c r="E287" s="37" t="s">
        <v>157</v>
      </c>
      <c r="F287" s="37" t="s">
        <v>54</v>
      </c>
      <c r="G287" s="33" t="str">
        <f t="shared" si="13"/>
        <v>Phoenix → Chicago</v>
      </c>
      <c r="H287" s="37" t="s">
        <v>55</v>
      </c>
      <c r="I287" s="37" t="s">
        <v>170</v>
      </c>
      <c r="J287" s="37" t="s">
        <v>937</v>
      </c>
      <c r="K287" s="37">
        <v>374</v>
      </c>
      <c r="L287" s="37">
        <v>1927</v>
      </c>
      <c r="M287" s="37">
        <v>698.3</v>
      </c>
      <c r="N287" s="37" t="s">
        <v>44</v>
      </c>
      <c r="O287" s="37">
        <v>233</v>
      </c>
      <c r="P287" s="37">
        <v>167</v>
      </c>
      <c r="Q287" s="46">
        <f t="shared" si="14"/>
        <v>71.6738197424893</v>
      </c>
      <c r="R287" s="37" t="s">
        <v>70</v>
      </c>
      <c r="S287" s="49" t="str">
        <f t="shared" si="12"/>
        <v>2022-10</v>
      </c>
      <c r="T287" s="37">
        <v>18</v>
      </c>
    </row>
    <row r="288" spans="1:20">
      <c r="A288" s="33" t="s">
        <v>938</v>
      </c>
      <c r="B288" s="45">
        <v>45632</v>
      </c>
      <c r="C288" s="33" t="s">
        <v>73</v>
      </c>
      <c r="D288" s="33" t="s">
        <v>197</v>
      </c>
      <c r="E288" s="33" t="s">
        <v>198</v>
      </c>
      <c r="F288" s="33" t="s">
        <v>40</v>
      </c>
      <c r="G288" s="33" t="str">
        <f t="shared" si="13"/>
        <v>Atlanta → Charlotte</v>
      </c>
      <c r="H288" s="33" t="s">
        <v>41</v>
      </c>
      <c r="I288" s="33" t="s">
        <v>939</v>
      </c>
      <c r="J288" s="33" t="s">
        <v>940</v>
      </c>
      <c r="K288" s="33">
        <v>380</v>
      </c>
      <c r="L288" s="33">
        <v>2708</v>
      </c>
      <c r="M288" s="33">
        <v>732.6</v>
      </c>
      <c r="N288" s="33" t="s">
        <v>60</v>
      </c>
      <c r="O288" s="33">
        <v>336</v>
      </c>
      <c r="P288" s="33">
        <v>104</v>
      </c>
      <c r="Q288" s="46">
        <f t="shared" si="14"/>
        <v>30.952380952380999</v>
      </c>
      <c r="R288" s="33" t="s">
        <v>28</v>
      </c>
      <c r="S288" s="47" t="str">
        <f t="shared" si="12"/>
        <v>2024-12</v>
      </c>
      <c r="T288" s="33">
        <v>0</v>
      </c>
    </row>
    <row r="289" spans="1:20" ht="25.5">
      <c r="A289" s="37" t="s">
        <v>941</v>
      </c>
      <c r="B289" s="48">
        <v>44768</v>
      </c>
      <c r="C289" s="33" t="s">
        <v>1462</v>
      </c>
      <c r="D289" s="37" t="s">
        <v>32</v>
      </c>
      <c r="E289" s="37" t="s">
        <v>33</v>
      </c>
      <c r="F289" s="37" t="s">
        <v>64</v>
      </c>
      <c r="G289" s="33" t="str">
        <f t="shared" si="13"/>
        <v>Orlando → San Francisco</v>
      </c>
      <c r="H289" s="37" t="s">
        <v>65</v>
      </c>
      <c r="I289" s="37" t="s">
        <v>152</v>
      </c>
      <c r="J289" s="37" t="s">
        <v>470</v>
      </c>
      <c r="K289" s="37">
        <v>286</v>
      </c>
      <c r="L289" s="37">
        <v>2982</v>
      </c>
      <c r="M289" s="37">
        <v>623.85</v>
      </c>
      <c r="N289" s="37" t="s">
        <v>27</v>
      </c>
      <c r="O289" s="37">
        <v>221</v>
      </c>
      <c r="P289" s="37">
        <v>59</v>
      </c>
      <c r="Q289" s="46">
        <f t="shared" si="14"/>
        <v>26.6968325791855</v>
      </c>
      <c r="R289" s="37" t="s">
        <v>28</v>
      </c>
      <c r="S289" s="49" t="str">
        <f t="shared" si="12"/>
        <v>2022-07</v>
      </c>
      <c r="T289" s="37">
        <v>0</v>
      </c>
    </row>
    <row r="290" spans="1:20" ht="25.5">
      <c r="A290" s="33" t="s">
        <v>943</v>
      </c>
      <c r="B290" s="45">
        <v>45387</v>
      </c>
      <c r="C290" s="33" t="s">
        <v>63</v>
      </c>
      <c r="D290" s="33" t="s">
        <v>48</v>
      </c>
      <c r="E290" s="33" t="s">
        <v>49</v>
      </c>
      <c r="F290" s="33" t="s">
        <v>66</v>
      </c>
      <c r="G290" s="33" t="str">
        <f t="shared" si="13"/>
        <v>San Diego → Minneapolis</v>
      </c>
      <c r="H290" s="33" t="s">
        <v>67</v>
      </c>
      <c r="I290" s="33" t="s">
        <v>50</v>
      </c>
      <c r="J290" s="33" t="s">
        <v>945</v>
      </c>
      <c r="K290" s="33">
        <v>259</v>
      </c>
      <c r="L290" s="33">
        <v>1273</v>
      </c>
      <c r="M290" s="33">
        <v>135.21</v>
      </c>
      <c r="N290" s="33" t="s">
        <v>44</v>
      </c>
      <c r="O290" s="33">
        <v>335</v>
      </c>
      <c r="P290" s="33">
        <v>187</v>
      </c>
      <c r="Q290" s="46">
        <f t="shared" si="14"/>
        <v>55.820895522388099</v>
      </c>
      <c r="R290" s="33" t="s">
        <v>70</v>
      </c>
      <c r="S290" s="47" t="str">
        <f t="shared" si="12"/>
        <v>2024-04</v>
      </c>
      <c r="T290" s="33">
        <v>20</v>
      </c>
    </row>
    <row r="291" spans="1:20">
      <c r="A291" s="37" t="s">
        <v>946</v>
      </c>
      <c r="B291" s="48">
        <v>45253</v>
      </c>
      <c r="C291" s="33" t="s">
        <v>1462</v>
      </c>
      <c r="D291" s="37" t="s">
        <v>95</v>
      </c>
      <c r="E291" s="37" t="s">
        <v>96</v>
      </c>
      <c r="F291" s="37" t="s">
        <v>21</v>
      </c>
      <c r="G291" s="33" t="str">
        <f t="shared" si="13"/>
        <v>Las Vegas → Boston</v>
      </c>
      <c r="H291" s="37" t="s">
        <v>22</v>
      </c>
      <c r="I291" s="37" t="s">
        <v>240</v>
      </c>
      <c r="J291" s="37" t="s">
        <v>947</v>
      </c>
      <c r="K291" s="37">
        <v>206</v>
      </c>
      <c r="L291" s="37">
        <v>850</v>
      </c>
      <c r="M291" s="37">
        <v>416.54</v>
      </c>
      <c r="N291" s="37" t="s">
        <v>27</v>
      </c>
      <c r="O291" s="37">
        <v>213</v>
      </c>
      <c r="P291" s="37">
        <v>132</v>
      </c>
      <c r="Q291" s="46">
        <f t="shared" si="14"/>
        <v>61.971830985915503</v>
      </c>
      <c r="R291" s="37" t="s">
        <v>28</v>
      </c>
      <c r="S291" s="49" t="str">
        <f t="shared" si="12"/>
        <v>2023-11</v>
      </c>
      <c r="T291" s="37">
        <v>0</v>
      </c>
    </row>
    <row r="292" spans="1:20">
      <c r="A292" s="33" t="s">
        <v>948</v>
      </c>
      <c r="B292" s="45">
        <v>45415</v>
      </c>
      <c r="C292" s="33" t="s">
        <v>94</v>
      </c>
      <c r="D292" s="33" t="s">
        <v>183</v>
      </c>
      <c r="E292" s="33" t="s">
        <v>184</v>
      </c>
      <c r="F292" s="33" t="s">
        <v>79</v>
      </c>
      <c r="G292" s="33" t="str">
        <f t="shared" si="13"/>
        <v>Seattle → Newark</v>
      </c>
      <c r="H292" s="33" t="s">
        <v>80</v>
      </c>
      <c r="I292" s="33" t="s">
        <v>139</v>
      </c>
      <c r="J292" s="33" t="s">
        <v>950</v>
      </c>
      <c r="K292" s="33">
        <v>469</v>
      </c>
      <c r="L292" s="33">
        <v>2284</v>
      </c>
      <c r="M292" s="33">
        <v>930.63</v>
      </c>
      <c r="N292" s="33" t="s">
        <v>44</v>
      </c>
      <c r="O292" s="33">
        <v>310</v>
      </c>
      <c r="P292" s="33">
        <v>78</v>
      </c>
      <c r="Q292" s="46">
        <f t="shared" si="14"/>
        <v>25.161290322580601</v>
      </c>
      <c r="R292" s="33" t="s">
        <v>28</v>
      </c>
      <c r="S292" s="47" t="str">
        <f t="shared" si="12"/>
        <v>2024-05</v>
      </c>
      <c r="T292" s="33">
        <v>0</v>
      </c>
    </row>
    <row r="293" spans="1:20">
      <c r="A293" s="37" t="s">
        <v>951</v>
      </c>
      <c r="B293" s="48">
        <v>44887</v>
      </c>
      <c r="C293" s="33" t="s">
        <v>94</v>
      </c>
      <c r="D293" s="37" t="s">
        <v>95</v>
      </c>
      <c r="E293" s="37" t="s">
        <v>96</v>
      </c>
      <c r="F293" s="37" t="s">
        <v>32</v>
      </c>
      <c r="G293" s="33" t="str">
        <f t="shared" si="13"/>
        <v>Las Vegas → Orlando</v>
      </c>
      <c r="H293" s="37" t="s">
        <v>33</v>
      </c>
      <c r="I293" s="37" t="s">
        <v>279</v>
      </c>
      <c r="J293" s="37" t="s">
        <v>953</v>
      </c>
      <c r="K293" s="37">
        <v>358</v>
      </c>
      <c r="L293" s="37">
        <v>2629</v>
      </c>
      <c r="M293" s="37">
        <v>112.42</v>
      </c>
      <c r="N293" s="37" t="s">
        <v>60</v>
      </c>
      <c r="O293" s="37">
        <v>324</v>
      </c>
      <c r="P293" s="37">
        <v>152</v>
      </c>
      <c r="Q293" s="46">
        <f t="shared" si="14"/>
        <v>46.913580246913597</v>
      </c>
      <c r="R293" s="37" t="s">
        <v>70</v>
      </c>
      <c r="S293" s="49" t="str">
        <f t="shared" si="12"/>
        <v>2022-11</v>
      </c>
      <c r="T293" s="37">
        <v>78</v>
      </c>
    </row>
    <row r="294" spans="1:20" ht="25.5">
      <c r="A294" s="33" t="s">
        <v>954</v>
      </c>
      <c r="B294" s="45">
        <v>44629</v>
      </c>
      <c r="C294" s="33" t="s">
        <v>115</v>
      </c>
      <c r="D294" s="33" t="s">
        <v>56</v>
      </c>
      <c r="E294" s="33" t="s">
        <v>57</v>
      </c>
      <c r="F294" s="33" t="s">
        <v>66</v>
      </c>
      <c r="G294" s="33" t="str">
        <f t="shared" si="13"/>
        <v>Los Angeles → Minneapolis</v>
      </c>
      <c r="H294" s="33" t="s">
        <v>67</v>
      </c>
      <c r="I294" s="33" t="s">
        <v>600</v>
      </c>
      <c r="J294" s="33" t="s">
        <v>956</v>
      </c>
      <c r="K294" s="33">
        <v>230</v>
      </c>
      <c r="L294" s="33">
        <v>1808</v>
      </c>
      <c r="M294" s="33">
        <v>1002.33</v>
      </c>
      <c r="N294" s="33" t="s">
        <v>27</v>
      </c>
      <c r="O294" s="33">
        <v>201</v>
      </c>
      <c r="P294" s="33">
        <v>81</v>
      </c>
      <c r="Q294" s="46">
        <f t="shared" si="14"/>
        <v>40.298507462686601</v>
      </c>
      <c r="R294" s="33" t="s">
        <v>70</v>
      </c>
      <c r="S294" s="47" t="str">
        <f t="shared" si="12"/>
        <v>2022-03</v>
      </c>
      <c r="T294" s="33">
        <v>76</v>
      </c>
    </row>
    <row r="295" spans="1:20" ht="25.5">
      <c r="A295" s="37" t="s">
        <v>957</v>
      </c>
      <c r="B295" s="48">
        <v>45324</v>
      </c>
      <c r="C295" s="33" t="s">
        <v>115</v>
      </c>
      <c r="D295" s="37" t="s">
        <v>48</v>
      </c>
      <c r="E295" s="37" t="s">
        <v>49</v>
      </c>
      <c r="F295" s="37" t="s">
        <v>40</v>
      </c>
      <c r="G295" s="33" t="str">
        <f t="shared" si="13"/>
        <v>San Diego → Charlotte</v>
      </c>
      <c r="H295" s="37" t="s">
        <v>41</v>
      </c>
      <c r="I295" s="37" t="s">
        <v>97</v>
      </c>
      <c r="J295" s="37" t="s">
        <v>279</v>
      </c>
      <c r="K295" s="37">
        <v>390</v>
      </c>
      <c r="L295" s="37">
        <v>2558</v>
      </c>
      <c r="M295" s="37">
        <v>471.73</v>
      </c>
      <c r="N295" s="37" t="s">
        <v>60</v>
      </c>
      <c r="O295" s="37">
        <v>314</v>
      </c>
      <c r="P295" s="37">
        <v>182</v>
      </c>
      <c r="Q295" s="46">
        <f t="shared" si="14"/>
        <v>57.961783439490397</v>
      </c>
      <c r="R295" s="37" t="s">
        <v>70</v>
      </c>
      <c r="S295" s="49" t="str">
        <f t="shared" si="12"/>
        <v>2024-02</v>
      </c>
      <c r="T295" s="37">
        <v>38</v>
      </c>
    </row>
    <row r="296" spans="1:20" ht="25.5">
      <c r="A296" s="33" t="s">
        <v>958</v>
      </c>
      <c r="B296" s="45">
        <v>45145</v>
      </c>
      <c r="C296" s="33" t="s">
        <v>20</v>
      </c>
      <c r="D296" s="33" t="s">
        <v>66</v>
      </c>
      <c r="E296" s="33" t="s">
        <v>67</v>
      </c>
      <c r="F296" s="33" t="s">
        <v>56</v>
      </c>
      <c r="G296" s="33" t="str">
        <f t="shared" si="13"/>
        <v>Minneapolis → Los Angeles</v>
      </c>
      <c r="H296" s="33" t="s">
        <v>57</v>
      </c>
      <c r="I296" s="33" t="s">
        <v>303</v>
      </c>
      <c r="J296" s="33" t="s">
        <v>960</v>
      </c>
      <c r="K296" s="33">
        <v>203</v>
      </c>
      <c r="L296" s="33">
        <v>2951</v>
      </c>
      <c r="M296" s="33">
        <v>332.13</v>
      </c>
      <c r="N296" s="33" t="s">
        <v>60</v>
      </c>
      <c r="O296" s="33">
        <v>168</v>
      </c>
      <c r="P296" s="33">
        <v>133</v>
      </c>
      <c r="Q296" s="46">
        <f t="shared" si="14"/>
        <v>79.1666666666667</v>
      </c>
      <c r="R296" s="33" t="s">
        <v>28</v>
      </c>
      <c r="S296" s="47" t="str">
        <f t="shared" si="12"/>
        <v>2023-08</v>
      </c>
      <c r="T296" s="33">
        <v>0</v>
      </c>
    </row>
    <row r="297" spans="1:20">
      <c r="A297" s="37" t="s">
        <v>961</v>
      </c>
      <c r="B297" s="48">
        <v>44603</v>
      </c>
      <c r="C297" s="33" t="s">
        <v>20</v>
      </c>
      <c r="D297" s="37" t="s">
        <v>79</v>
      </c>
      <c r="E297" s="37" t="s">
        <v>80</v>
      </c>
      <c r="F297" s="37" t="s">
        <v>101</v>
      </c>
      <c r="G297" s="33" t="str">
        <f t="shared" si="13"/>
        <v>Newark → Dallas</v>
      </c>
      <c r="H297" s="37" t="s">
        <v>102</v>
      </c>
      <c r="I297" s="37" t="s">
        <v>223</v>
      </c>
      <c r="J297" s="37" t="s">
        <v>962</v>
      </c>
      <c r="K297" s="37">
        <v>397</v>
      </c>
      <c r="L297" s="37">
        <v>334</v>
      </c>
      <c r="M297" s="37">
        <v>330.62</v>
      </c>
      <c r="N297" s="37" t="s">
        <v>27</v>
      </c>
      <c r="O297" s="37">
        <v>306</v>
      </c>
      <c r="P297" s="37">
        <v>206</v>
      </c>
      <c r="Q297" s="46">
        <f t="shared" si="14"/>
        <v>67.320261437908499</v>
      </c>
      <c r="R297" s="37" t="s">
        <v>70</v>
      </c>
      <c r="S297" s="49" t="str">
        <f t="shared" si="12"/>
        <v>2022-02</v>
      </c>
      <c r="T297" s="37">
        <v>179</v>
      </c>
    </row>
    <row r="298" spans="1:20" ht="25.5">
      <c r="A298" s="33" t="s">
        <v>963</v>
      </c>
      <c r="B298" s="45">
        <v>45125</v>
      </c>
      <c r="C298" s="33" t="s">
        <v>73</v>
      </c>
      <c r="D298" s="33" t="s">
        <v>66</v>
      </c>
      <c r="E298" s="33" t="s">
        <v>67</v>
      </c>
      <c r="F298" s="33" t="s">
        <v>64</v>
      </c>
      <c r="G298" s="33" t="str">
        <f t="shared" si="13"/>
        <v>Minneapolis → San Francisco</v>
      </c>
      <c r="H298" s="33" t="s">
        <v>65</v>
      </c>
      <c r="I298" s="33" t="s">
        <v>361</v>
      </c>
      <c r="J298" s="33" t="s">
        <v>964</v>
      </c>
      <c r="K298" s="33">
        <v>201</v>
      </c>
      <c r="L298" s="33">
        <v>2211</v>
      </c>
      <c r="M298" s="33">
        <v>418.4</v>
      </c>
      <c r="N298" s="33" t="s">
        <v>27</v>
      </c>
      <c r="O298" s="33">
        <v>311</v>
      </c>
      <c r="P298" s="33">
        <v>253</v>
      </c>
      <c r="Q298" s="46">
        <f t="shared" si="14"/>
        <v>81.350482315112501</v>
      </c>
      <c r="R298" s="33" t="s">
        <v>28</v>
      </c>
      <c r="S298" s="47" t="str">
        <f t="shared" si="12"/>
        <v>2023-07</v>
      </c>
      <c r="T298" s="33">
        <v>0</v>
      </c>
    </row>
    <row r="299" spans="1:20">
      <c r="A299" s="37" t="s">
        <v>965</v>
      </c>
      <c r="B299" s="48">
        <v>44577</v>
      </c>
      <c r="C299" s="33" t="s">
        <v>47</v>
      </c>
      <c r="D299" s="37" t="s">
        <v>32</v>
      </c>
      <c r="E299" s="37" t="s">
        <v>33</v>
      </c>
      <c r="F299" s="37" t="s">
        <v>95</v>
      </c>
      <c r="G299" s="33" t="str">
        <f t="shared" si="13"/>
        <v>Orlando → Las Vegas</v>
      </c>
      <c r="H299" s="37" t="s">
        <v>96</v>
      </c>
      <c r="I299" s="37" t="s">
        <v>296</v>
      </c>
      <c r="J299" s="37" t="s">
        <v>967</v>
      </c>
      <c r="K299" s="37">
        <v>336</v>
      </c>
      <c r="L299" s="37">
        <v>561</v>
      </c>
      <c r="M299" s="37">
        <v>456.64</v>
      </c>
      <c r="N299" s="37" t="s">
        <v>44</v>
      </c>
      <c r="O299" s="37">
        <v>263</v>
      </c>
      <c r="P299" s="37">
        <v>133</v>
      </c>
      <c r="Q299" s="46">
        <f t="shared" si="14"/>
        <v>50.5703422053232</v>
      </c>
      <c r="R299" s="37" t="s">
        <v>70</v>
      </c>
      <c r="S299" s="49" t="str">
        <f t="shared" si="12"/>
        <v>2022-01</v>
      </c>
      <c r="T299" s="37">
        <v>81</v>
      </c>
    </row>
    <row r="300" spans="1:20">
      <c r="A300" s="33" t="s">
        <v>968</v>
      </c>
      <c r="B300" s="45">
        <v>45173</v>
      </c>
      <c r="C300" s="33" t="s">
        <v>31</v>
      </c>
      <c r="D300" s="33" t="s">
        <v>101</v>
      </c>
      <c r="E300" s="33" t="s">
        <v>102</v>
      </c>
      <c r="F300" s="33" t="s">
        <v>32</v>
      </c>
      <c r="G300" s="33" t="str">
        <f t="shared" si="13"/>
        <v>Dallas → Orlando</v>
      </c>
      <c r="H300" s="33" t="s">
        <v>33</v>
      </c>
      <c r="I300" s="33" t="s">
        <v>426</v>
      </c>
      <c r="J300" s="33" t="s">
        <v>970</v>
      </c>
      <c r="K300" s="33">
        <v>397</v>
      </c>
      <c r="L300" s="33">
        <v>1955</v>
      </c>
      <c r="M300" s="33">
        <v>819.79</v>
      </c>
      <c r="N300" t="s">
        <v>1463</v>
      </c>
      <c r="O300" s="33">
        <v>135</v>
      </c>
      <c r="P300" s="33">
        <v>53</v>
      </c>
      <c r="Q300" s="46">
        <f t="shared" si="14"/>
        <v>39.259259259259302</v>
      </c>
      <c r="R300" s="33" t="s">
        <v>70</v>
      </c>
      <c r="S300" s="47" t="str">
        <f t="shared" si="12"/>
        <v>2023-09</v>
      </c>
      <c r="T300" s="33">
        <v>90</v>
      </c>
    </row>
    <row r="301" spans="1:20">
      <c r="A301" s="37" t="s">
        <v>971</v>
      </c>
      <c r="B301" s="48">
        <v>45093</v>
      </c>
      <c r="C301" s="33" t="s">
        <v>73</v>
      </c>
      <c r="D301" s="37" t="s">
        <v>66</v>
      </c>
      <c r="E301" s="37" t="s">
        <v>67</v>
      </c>
      <c r="F301" s="37" t="s">
        <v>129</v>
      </c>
      <c r="G301" s="33" t="str">
        <f t="shared" si="13"/>
        <v>Minneapolis → Detroit</v>
      </c>
      <c r="H301" s="37" t="s">
        <v>130</v>
      </c>
      <c r="I301" s="37" t="s">
        <v>663</v>
      </c>
      <c r="J301" s="37" t="s">
        <v>973</v>
      </c>
      <c r="K301" s="37">
        <v>388</v>
      </c>
      <c r="L301" s="37">
        <v>2643</v>
      </c>
      <c r="M301" s="37">
        <v>993.94</v>
      </c>
      <c r="N301" s="37" t="s">
        <v>44</v>
      </c>
      <c r="O301" s="37">
        <v>285</v>
      </c>
      <c r="P301" s="37">
        <v>232</v>
      </c>
      <c r="Q301" s="46">
        <f t="shared" si="14"/>
        <v>81.403508771929793</v>
      </c>
      <c r="R301" s="37" t="s">
        <v>28</v>
      </c>
      <c r="S301" s="49" t="str">
        <f t="shared" si="12"/>
        <v>2023-06</v>
      </c>
      <c r="T301" s="37">
        <v>0</v>
      </c>
    </row>
    <row r="302" spans="1:20" ht="25.5">
      <c r="A302" s="33" t="s">
        <v>974</v>
      </c>
      <c r="B302" s="45">
        <v>45656</v>
      </c>
      <c r="C302" s="33" t="s">
        <v>115</v>
      </c>
      <c r="D302" s="33" t="s">
        <v>64</v>
      </c>
      <c r="E302" s="33" t="s">
        <v>65</v>
      </c>
      <c r="F302" s="33" t="s">
        <v>32</v>
      </c>
      <c r="G302" s="33" t="str">
        <f t="shared" si="13"/>
        <v>San Francisco → Orlando</v>
      </c>
      <c r="H302" s="33" t="s">
        <v>33</v>
      </c>
      <c r="I302" s="33" t="s">
        <v>143</v>
      </c>
      <c r="J302" s="33" t="s">
        <v>280</v>
      </c>
      <c r="K302" s="33">
        <v>426</v>
      </c>
      <c r="L302" s="33">
        <v>2586</v>
      </c>
      <c r="M302" s="33">
        <v>282.87</v>
      </c>
      <c r="N302" s="33" t="s">
        <v>60</v>
      </c>
      <c r="O302" s="33">
        <v>220</v>
      </c>
      <c r="P302" s="33">
        <v>82</v>
      </c>
      <c r="Q302" s="46">
        <f t="shared" si="14"/>
        <v>37.272727272727302</v>
      </c>
      <c r="R302" s="33" t="s">
        <v>70</v>
      </c>
      <c r="S302" s="47" t="str">
        <f t="shared" si="12"/>
        <v>2024-12</v>
      </c>
      <c r="T302" s="33">
        <v>158</v>
      </c>
    </row>
    <row r="303" spans="1:20">
      <c r="A303" s="37" t="s">
        <v>976</v>
      </c>
      <c r="B303" s="48">
        <v>44936</v>
      </c>
      <c r="C303" s="33" t="s">
        <v>47</v>
      </c>
      <c r="D303" s="37" t="s">
        <v>54</v>
      </c>
      <c r="E303" s="37" t="s">
        <v>55</v>
      </c>
      <c r="F303" s="37" t="s">
        <v>21</v>
      </c>
      <c r="G303" s="33" t="str">
        <f t="shared" si="13"/>
        <v>Chicago → Boston</v>
      </c>
      <c r="H303" s="37" t="s">
        <v>22</v>
      </c>
      <c r="I303" s="37" t="s">
        <v>774</v>
      </c>
      <c r="J303" s="37" t="s">
        <v>978</v>
      </c>
      <c r="K303" s="37">
        <v>471</v>
      </c>
      <c r="L303" s="37">
        <v>1557</v>
      </c>
      <c r="M303" s="37">
        <v>550.92999999999995</v>
      </c>
      <c r="N303" s="37" t="s">
        <v>44</v>
      </c>
      <c r="O303" s="37">
        <v>195</v>
      </c>
      <c r="P303" s="37">
        <v>116</v>
      </c>
      <c r="Q303" s="46">
        <f t="shared" si="14"/>
        <v>59.487179487179503</v>
      </c>
      <c r="R303" s="37" t="s">
        <v>28</v>
      </c>
      <c r="S303" s="49" t="str">
        <f t="shared" si="12"/>
        <v>2023-01</v>
      </c>
      <c r="T303" s="37">
        <v>0</v>
      </c>
    </row>
    <row r="304" spans="1:20" ht="25.5">
      <c r="A304" s="33" t="s">
        <v>979</v>
      </c>
      <c r="B304" s="45">
        <v>45511</v>
      </c>
      <c r="C304" s="33" t="s">
        <v>94</v>
      </c>
      <c r="D304" s="33" t="s">
        <v>79</v>
      </c>
      <c r="E304" s="33" t="s">
        <v>80</v>
      </c>
      <c r="F304" s="33" t="s">
        <v>56</v>
      </c>
      <c r="G304" s="33" t="str">
        <f t="shared" si="13"/>
        <v>Newark → Los Angeles</v>
      </c>
      <c r="H304" s="33" t="s">
        <v>57</v>
      </c>
      <c r="I304" s="33" t="s">
        <v>499</v>
      </c>
      <c r="J304" s="33" t="s">
        <v>981</v>
      </c>
      <c r="K304" s="33">
        <v>331</v>
      </c>
      <c r="L304" s="33">
        <v>1096</v>
      </c>
      <c r="M304" s="33">
        <v>640.53</v>
      </c>
      <c r="N304" s="33" t="s">
        <v>27</v>
      </c>
      <c r="O304" s="33">
        <v>197</v>
      </c>
      <c r="P304" s="33">
        <v>185</v>
      </c>
      <c r="Q304" s="46">
        <f t="shared" si="14"/>
        <v>93.908629441624399</v>
      </c>
      <c r="R304" s="33" t="s">
        <v>28</v>
      </c>
      <c r="S304" s="47" t="str">
        <f t="shared" si="12"/>
        <v>2024-08</v>
      </c>
      <c r="T304" s="33">
        <v>0</v>
      </c>
    </row>
    <row r="305" spans="1:20">
      <c r="A305" s="37" t="s">
        <v>982</v>
      </c>
      <c r="B305" s="48">
        <v>44672</v>
      </c>
      <c r="C305" s="33" t="s">
        <v>63</v>
      </c>
      <c r="D305" s="37" t="s">
        <v>101</v>
      </c>
      <c r="E305" s="37" t="s">
        <v>102</v>
      </c>
      <c r="F305" s="37" t="s">
        <v>23</v>
      </c>
      <c r="G305" s="33" t="str">
        <f t="shared" si="13"/>
        <v>Dallas → Denver</v>
      </c>
      <c r="H305" s="37" t="s">
        <v>24</v>
      </c>
      <c r="I305" s="37" t="s">
        <v>248</v>
      </c>
      <c r="J305" s="37" t="s">
        <v>775</v>
      </c>
      <c r="K305" s="37">
        <v>381</v>
      </c>
      <c r="L305" s="37">
        <v>2174</v>
      </c>
      <c r="M305" s="37">
        <v>240.41</v>
      </c>
      <c r="N305" s="37" t="s">
        <v>27</v>
      </c>
      <c r="O305" s="37">
        <v>146</v>
      </c>
      <c r="P305" s="37">
        <v>60</v>
      </c>
      <c r="Q305" s="46">
        <f t="shared" si="14"/>
        <v>41.095890410958901</v>
      </c>
      <c r="R305" s="37" t="s">
        <v>28</v>
      </c>
      <c r="S305" s="49" t="str">
        <f t="shared" si="12"/>
        <v>2022-04</v>
      </c>
      <c r="T305" s="37">
        <v>0</v>
      </c>
    </row>
    <row r="306" spans="1:20" ht="25.5">
      <c r="A306" s="33" t="s">
        <v>983</v>
      </c>
      <c r="B306" s="45">
        <v>44924</v>
      </c>
      <c r="C306" s="33" t="s">
        <v>47</v>
      </c>
      <c r="D306" s="33" t="s">
        <v>56</v>
      </c>
      <c r="E306" s="33" t="s">
        <v>57</v>
      </c>
      <c r="F306" s="33" t="s">
        <v>174</v>
      </c>
      <c r="G306" s="33" t="str">
        <f t="shared" si="13"/>
        <v>Los Angeles → New York</v>
      </c>
      <c r="H306" s="33" t="s">
        <v>175</v>
      </c>
      <c r="I306" s="33" t="s">
        <v>361</v>
      </c>
      <c r="J306" s="33" t="s">
        <v>349</v>
      </c>
      <c r="K306" s="33">
        <v>197</v>
      </c>
      <c r="L306" s="33">
        <v>990</v>
      </c>
      <c r="M306" s="33">
        <v>725.43</v>
      </c>
      <c r="N306" s="33" t="s">
        <v>60</v>
      </c>
      <c r="O306" s="33">
        <v>225</v>
      </c>
      <c r="P306" s="33">
        <v>72</v>
      </c>
      <c r="Q306" s="46">
        <f t="shared" si="14"/>
        <v>32</v>
      </c>
      <c r="R306" s="33" t="s">
        <v>28</v>
      </c>
      <c r="S306" s="47" t="str">
        <f t="shared" si="12"/>
        <v>2022-12</v>
      </c>
      <c r="T306" s="33">
        <v>0</v>
      </c>
    </row>
    <row r="307" spans="1:20" ht="25.5">
      <c r="A307" s="37" t="s">
        <v>985</v>
      </c>
      <c r="B307" s="48">
        <v>45450</v>
      </c>
      <c r="C307" s="33" t="s">
        <v>73</v>
      </c>
      <c r="D307" s="37" t="s">
        <v>66</v>
      </c>
      <c r="E307" s="37" t="s">
        <v>67</v>
      </c>
      <c r="F307" s="37" t="s">
        <v>40</v>
      </c>
      <c r="G307" s="33" t="str">
        <f t="shared" si="13"/>
        <v>Minneapolis → Charlotte</v>
      </c>
      <c r="H307" s="37" t="s">
        <v>41</v>
      </c>
      <c r="I307" s="37" t="s">
        <v>389</v>
      </c>
      <c r="J307" s="37" t="s">
        <v>986</v>
      </c>
      <c r="K307" s="37">
        <v>92</v>
      </c>
      <c r="L307" s="37">
        <v>454</v>
      </c>
      <c r="M307" s="37">
        <v>677.84</v>
      </c>
      <c r="N307" s="37" t="s">
        <v>27</v>
      </c>
      <c r="O307" s="37">
        <v>195</v>
      </c>
      <c r="P307" s="37">
        <v>53</v>
      </c>
      <c r="Q307" s="46">
        <f t="shared" si="14"/>
        <v>27.1794871794872</v>
      </c>
      <c r="R307" s="37" t="s">
        <v>70</v>
      </c>
      <c r="S307" s="49" t="str">
        <f t="shared" si="12"/>
        <v>2024-06</v>
      </c>
      <c r="T307" s="37">
        <v>150</v>
      </c>
    </row>
    <row r="308" spans="1:20">
      <c r="A308" s="33" t="s">
        <v>987</v>
      </c>
      <c r="B308" s="45">
        <v>44952</v>
      </c>
      <c r="C308" s="33" t="s">
        <v>20</v>
      </c>
      <c r="D308" s="33" t="s">
        <v>174</v>
      </c>
      <c r="E308" s="33" t="s">
        <v>175</v>
      </c>
      <c r="F308" s="33" t="s">
        <v>21</v>
      </c>
      <c r="G308" s="33" t="str">
        <f t="shared" si="13"/>
        <v>New York → Boston</v>
      </c>
      <c r="H308" s="33" t="s">
        <v>22</v>
      </c>
      <c r="I308" s="33" t="s">
        <v>75</v>
      </c>
      <c r="J308" s="33" t="s">
        <v>989</v>
      </c>
      <c r="K308" s="33">
        <v>249</v>
      </c>
      <c r="L308" s="33">
        <v>828</v>
      </c>
      <c r="M308" s="33">
        <v>195.03</v>
      </c>
      <c r="N308" s="33" t="s">
        <v>27</v>
      </c>
      <c r="O308" s="33">
        <v>250</v>
      </c>
      <c r="P308" s="33">
        <v>128</v>
      </c>
      <c r="Q308" s="46">
        <f t="shared" si="14"/>
        <v>51.2</v>
      </c>
      <c r="R308" s="33" t="s">
        <v>28</v>
      </c>
      <c r="S308" s="47" t="str">
        <f t="shared" si="12"/>
        <v>2023-01</v>
      </c>
      <c r="T308" s="33">
        <v>0</v>
      </c>
    </row>
    <row r="309" spans="1:20">
      <c r="A309" s="37" t="s">
        <v>990</v>
      </c>
      <c r="B309" s="48">
        <v>44655</v>
      </c>
      <c r="C309" s="33" t="s">
        <v>1462</v>
      </c>
      <c r="D309" s="37" t="s">
        <v>95</v>
      </c>
      <c r="E309" s="37" t="s">
        <v>96</v>
      </c>
      <c r="F309" s="37" t="s">
        <v>79</v>
      </c>
      <c r="G309" s="33" t="str">
        <f t="shared" si="13"/>
        <v>Las Vegas → Newark</v>
      </c>
      <c r="H309" s="37" t="s">
        <v>80</v>
      </c>
      <c r="I309" s="37" t="s">
        <v>131</v>
      </c>
      <c r="J309" s="37" t="s">
        <v>992</v>
      </c>
      <c r="K309" s="37">
        <v>312</v>
      </c>
      <c r="L309" s="37">
        <v>848</v>
      </c>
      <c r="M309" s="37">
        <v>463.86</v>
      </c>
      <c r="N309" s="37" t="s">
        <v>44</v>
      </c>
      <c r="O309" s="37">
        <v>191</v>
      </c>
      <c r="P309" s="37">
        <v>98</v>
      </c>
      <c r="Q309" s="46">
        <f t="shared" si="14"/>
        <v>51.308900523560197</v>
      </c>
      <c r="R309" s="37" t="s">
        <v>28</v>
      </c>
      <c r="S309" s="49" t="str">
        <f t="shared" si="12"/>
        <v>2022-04</v>
      </c>
      <c r="T309" s="37">
        <v>0</v>
      </c>
    </row>
    <row r="310" spans="1:20">
      <c r="A310" s="33" t="s">
        <v>993</v>
      </c>
      <c r="B310" s="45">
        <v>45388</v>
      </c>
      <c r="C310" s="33" t="s">
        <v>20</v>
      </c>
      <c r="D310" s="33" t="s">
        <v>23</v>
      </c>
      <c r="E310" s="33" t="s">
        <v>24</v>
      </c>
      <c r="F310" s="33" t="s">
        <v>21</v>
      </c>
      <c r="G310" s="33" t="str">
        <f t="shared" si="13"/>
        <v>Denver → Boston</v>
      </c>
      <c r="H310" s="33" t="s">
        <v>22</v>
      </c>
      <c r="I310" s="33" t="s">
        <v>338</v>
      </c>
      <c r="J310" s="33" t="s">
        <v>995</v>
      </c>
      <c r="K310" s="33">
        <v>198</v>
      </c>
      <c r="L310" s="33">
        <v>389</v>
      </c>
      <c r="M310" s="33">
        <v>740.46</v>
      </c>
      <c r="N310" t="s">
        <v>1463</v>
      </c>
      <c r="O310" s="33">
        <v>131</v>
      </c>
      <c r="P310" s="33">
        <v>96</v>
      </c>
      <c r="Q310" s="46">
        <f t="shared" si="14"/>
        <v>73.282442748091597</v>
      </c>
      <c r="R310" s="33" t="s">
        <v>70</v>
      </c>
      <c r="S310" s="47" t="str">
        <f t="shared" si="12"/>
        <v>2024-04</v>
      </c>
      <c r="T310" s="33">
        <v>24</v>
      </c>
    </row>
    <row r="311" spans="1:20" ht="25.5">
      <c r="A311" s="37" t="s">
        <v>996</v>
      </c>
      <c r="B311" s="48">
        <v>45330</v>
      </c>
      <c r="C311" s="33" t="s">
        <v>1462</v>
      </c>
      <c r="D311" s="37" t="s">
        <v>32</v>
      </c>
      <c r="E311" s="37" t="s">
        <v>33</v>
      </c>
      <c r="F311" s="37" t="s">
        <v>56</v>
      </c>
      <c r="G311" s="33" t="str">
        <f t="shared" si="13"/>
        <v>Orlando → Los Angeles</v>
      </c>
      <c r="H311" s="37" t="s">
        <v>57</v>
      </c>
      <c r="I311" s="37" t="s">
        <v>34</v>
      </c>
      <c r="J311" s="37" t="s">
        <v>997</v>
      </c>
      <c r="K311" s="37">
        <v>428</v>
      </c>
      <c r="L311" s="37">
        <v>742</v>
      </c>
      <c r="M311" s="37">
        <v>812</v>
      </c>
      <c r="N311" s="37" t="s">
        <v>60</v>
      </c>
      <c r="O311" s="37">
        <v>112</v>
      </c>
      <c r="P311" s="37">
        <v>94</v>
      </c>
      <c r="Q311" s="46">
        <f t="shared" si="14"/>
        <v>83.928571428571402</v>
      </c>
      <c r="R311" s="37" t="s">
        <v>28</v>
      </c>
      <c r="S311" s="49" t="str">
        <f t="shared" si="12"/>
        <v>2024-02</v>
      </c>
      <c r="T311" s="37">
        <v>0</v>
      </c>
    </row>
    <row r="312" spans="1:20">
      <c r="A312" s="33" t="s">
        <v>998</v>
      </c>
      <c r="B312" s="45">
        <v>45471</v>
      </c>
      <c r="C312" s="33" t="s">
        <v>73</v>
      </c>
      <c r="D312" s="33" t="s">
        <v>197</v>
      </c>
      <c r="E312" s="33" t="s">
        <v>198</v>
      </c>
      <c r="F312" s="33" t="s">
        <v>54</v>
      </c>
      <c r="G312" s="33" t="str">
        <f t="shared" si="13"/>
        <v>Atlanta → Chicago</v>
      </c>
      <c r="H312" s="33" t="s">
        <v>74</v>
      </c>
      <c r="I312" s="33" t="s">
        <v>140</v>
      </c>
      <c r="J312" s="33" t="s">
        <v>1000</v>
      </c>
      <c r="K312" s="33">
        <v>449</v>
      </c>
      <c r="L312" s="33">
        <v>927</v>
      </c>
      <c r="M312" s="33">
        <v>310.14999999999998</v>
      </c>
      <c r="N312" s="33" t="s">
        <v>27</v>
      </c>
      <c r="O312" s="33">
        <v>261</v>
      </c>
      <c r="P312" s="33">
        <v>52</v>
      </c>
      <c r="Q312" s="46">
        <f t="shared" si="14"/>
        <v>19.923371647509601</v>
      </c>
      <c r="R312" s="33" t="s">
        <v>28</v>
      </c>
      <c r="S312" s="47" t="str">
        <f t="shared" si="12"/>
        <v>2024-06</v>
      </c>
      <c r="T312" s="33">
        <v>0</v>
      </c>
    </row>
    <row r="313" spans="1:20">
      <c r="A313" s="37" t="s">
        <v>1001</v>
      </c>
      <c r="B313" s="48">
        <v>44768</v>
      </c>
      <c r="C313" s="33" t="s">
        <v>1462</v>
      </c>
      <c r="D313" s="37" t="s">
        <v>48</v>
      </c>
      <c r="E313" s="37" t="s">
        <v>49</v>
      </c>
      <c r="F313" s="37" t="s">
        <v>101</v>
      </c>
      <c r="G313" s="33" t="str">
        <f t="shared" si="13"/>
        <v>San Diego → Dallas</v>
      </c>
      <c r="H313" s="37" t="s">
        <v>102</v>
      </c>
      <c r="I313" s="37" t="s">
        <v>185</v>
      </c>
      <c r="J313" s="37" t="s">
        <v>347</v>
      </c>
      <c r="K313" s="37">
        <v>351</v>
      </c>
      <c r="L313" s="37">
        <v>2830</v>
      </c>
      <c r="M313" s="37">
        <v>211.86</v>
      </c>
      <c r="N313" s="37" t="s">
        <v>60</v>
      </c>
      <c r="O313" s="37">
        <v>300</v>
      </c>
      <c r="P313" s="37">
        <v>77</v>
      </c>
      <c r="Q313" s="46">
        <f t="shared" si="14"/>
        <v>25.6666666666667</v>
      </c>
      <c r="R313" s="37" t="s">
        <v>28</v>
      </c>
      <c r="S313" s="49" t="str">
        <f t="shared" si="12"/>
        <v>2022-07</v>
      </c>
      <c r="T313" s="37">
        <v>0</v>
      </c>
    </row>
    <row r="314" spans="1:20">
      <c r="A314" s="33" t="s">
        <v>1002</v>
      </c>
      <c r="B314" s="45">
        <v>44971</v>
      </c>
      <c r="C314" s="33" t="s">
        <v>1462</v>
      </c>
      <c r="D314" s="33" t="s">
        <v>116</v>
      </c>
      <c r="E314" s="33" t="s">
        <v>117</v>
      </c>
      <c r="F314" s="33" t="s">
        <v>183</v>
      </c>
      <c r="G314" s="33" t="str">
        <f t="shared" si="13"/>
        <v>Houston → Seattle</v>
      </c>
      <c r="H314" s="33" t="s">
        <v>184</v>
      </c>
      <c r="I314" s="33" t="s">
        <v>193</v>
      </c>
      <c r="J314" s="33" t="s">
        <v>1004</v>
      </c>
      <c r="K314" s="33">
        <v>241</v>
      </c>
      <c r="L314" s="33">
        <v>956</v>
      </c>
      <c r="M314" s="33">
        <v>124.13</v>
      </c>
      <c r="N314" s="33" t="s">
        <v>44</v>
      </c>
      <c r="O314" s="33">
        <v>333</v>
      </c>
      <c r="P314" s="33">
        <v>156</v>
      </c>
      <c r="Q314" s="46">
        <f t="shared" si="14"/>
        <v>46.846846846846802</v>
      </c>
      <c r="R314" s="33" t="s">
        <v>70</v>
      </c>
      <c r="S314" s="47" t="str">
        <f t="shared" si="12"/>
        <v>2023-02</v>
      </c>
      <c r="T314" s="33">
        <v>0</v>
      </c>
    </row>
    <row r="315" spans="1:20" ht="25.5">
      <c r="A315" s="37" t="s">
        <v>1005</v>
      </c>
      <c r="B315" s="48">
        <v>45239</v>
      </c>
      <c r="C315" s="33" t="s">
        <v>31</v>
      </c>
      <c r="D315" s="37" t="s">
        <v>174</v>
      </c>
      <c r="E315" s="37" t="s">
        <v>175</v>
      </c>
      <c r="F315" s="37" t="s">
        <v>56</v>
      </c>
      <c r="G315" s="33" t="str">
        <f t="shared" si="13"/>
        <v>New York → Los Angeles</v>
      </c>
      <c r="H315" s="37" t="s">
        <v>57</v>
      </c>
      <c r="I315" s="37" t="s">
        <v>266</v>
      </c>
      <c r="J315" s="37" t="s">
        <v>1006</v>
      </c>
      <c r="K315" s="37">
        <v>146</v>
      </c>
      <c r="L315" s="37">
        <v>2651</v>
      </c>
      <c r="M315" s="37">
        <v>829.3</v>
      </c>
      <c r="N315" s="37" t="s">
        <v>60</v>
      </c>
      <c r="O315" s="37">
        <v>343</v>
      </c>
      <c r="P315" s="37">
        <v>96</v>
      </c>
      <c r="Q315" s="46">
        <f t="shared" si="14"/>
        <v>27.9883381924198</v>
      </c>
      <c r="R315" s="37" t="s">
        <v>70</v>
      </c>
      <c r="S315" s="49" t="str">
        <f t="shared" si="12"/>
        <v>2023-11</v>
      </c>
      <c r="T315" s="37">
        <v>34</v>
      </c>
    </row>
    <row r="316" spans="1:20">
      <c r="A316" s="33" t="s">
        <v>1007</v>
      </c>
      <c r="B316" s="45">
        <v>44769</v>
      </c>
      <c r="C316" s="33" t="s">
        <v>1462</v>
      </c>
      <c r="D316" s="33" t="s">
        <v>23</v>
      </c>
      <c r="E316" s="33" t="s">
        <v>24</v>
      </c>
      <c r="F316" s="33" t="s">
        <v>79</v>
      </c>
      <c r="G316" s="33" t="str">
        <f t="shared" si="13"/>
        <v>Denver → Newark</v>
      </c>
      <c r="H316" s="33" t="s">
        <v>80</v>
      </c>
      <c r="I316" s="33" t="s">
        <v>283</v>
      </c>
      <c r="J316" s="33" t="s">
        <v>1009</v>
      </c>
      <c r="K316" s="33">
        <v>327</v>
      </c>
      <c r="L316" s="33">
        <v>505</v>
      </c>
      <c r="M316" s="33">
        <v>191.79</v>
      </c>
      <c r="N316" t="s">
        <v>1463</v>
      </c>
      <c r="O316" s="33">
        <v>323</v>
      </c>
      <c r="P316" s="33">
        <v>70</v>
      </c>
      <c r="Q316" s="46">
        <f t="shared" si="14"/>
        <v>21.671826625386998</v>
      </c>
      <c r="R316" s="33" t="s">
        <v>70</v>
      </c>
      <c r="S316" s="47" t="str">
        <f t="shared" si="12"/>
        <v>2022-07</v>
      </c>
      <c r="T316" s="33">
        <v>107</v>
      </c>
    </row>
    <row r="317" spans="1:20">
      <c r="A317" s="37" t="s">
        <v>1010</v>
      </c>
      <c r="B317" s="48">
        <v>45202</v>
      </c>
      <c r="C317" s="33" t="s">
        <v>73</v>
      </c>
      <c r="D317" s="37" t="s">
        <v>197</v>
      </c>
      <c r="E317" s="37" t="s">
        <v>198</v>
      </c>
      <c r="F317" s="37" t="s">
        <v>101</v>
      </c>
      <c r="G317" s="33" t="str">
        <f t="shared" si="13"/>
        <v>Atlanta → Dallas</v>
      </c>
      <c r="H317" s="37" t="s">
        <v>102</v>
      </c>
      <c r="I317" s="37" t="s">
        <v>802</v>
      </c>
      <c r="J317" s="37" t="s">
        <v>1012</v>
      </c>
      <c r="K317" s="37">
        <v>160</v>
      </c>
      <c r="L317" s="37">
        <v>2950</v>
      </c>
      <c r="M317" s="37">
        <v>607.15771802325605</v>
      </c>
      <c r="N317" s="37" t="s">
        <v>44</v>
      </c>
      <c r="O317" s="37">
        <v>328</v>
      </c>
      <c r="P317" s="37">
        <v>274</v>
      </c>
      <c r="Q317" s="46">
        <f t="shared" si="14"/>
        <v>83.536585365853696</v>
      </c>
      <c r="R317" s="37" t="s">
        <v>149</v>
      </c>
      <c r="S317" s="49" t="str">
        <f t="shared" si="12"/>
        <v>2023-10</v>
      </c>
      <c r="T317" s="37">
        <v>0</v>
      </c>
    </row>
    <row r="318" spans="1:20" ht="25.5">
      <c r="A318" s="33" t="s">
        <v>1013</v>
      </c>
      <c r="B318" s="45">
        <v>45111</v>
      </c>
      <c r="C318" s="33" t="s">
        <v>94</v>
      </c>
      <c r="D318" s="33" t="s">
        <v>64</v>
      </c>
      <c r="E318" s="33" t="s">
        <v>65</v>
      </c>
      <c r="F318" s="33" t="s">
        <v>156</v>
      </c>
      <c r="G318" s="33" t="str">
        <f t="shared" si="13"/>
        <v>San Francisco → Phoenix</v>
      </c>
      <c r="H318" s="33" t="s">
        <v>157</v>
      </c>
      <c r="I318" s="33" t="s">
        <v>103</v>
      </c>
      <c r="J318" s="33" t="s">
        <v>1015</v>
      </c>
      <c r="K318" s="33">
        <v>295</v>
      </c>
      <c r="L318" s="33">
        <v>1939</v>
      </c>
      <c r="M318" s="33">
        <v>633.96</v>
      </c>
      <c r="N318" s="33" t="s">
        <v>44</v>
      </c>
      <c r="O318" s="33">
        <v>313</v>
      </c>
      <c r="P318" s="33">
        <v>247</v>
      </c>
      <c r="Q318" s="46">
        <f t="shared" si="14"/>
        <v>78.913738019169301</v>
      </c>
      <c r="R318" s="33" t="s">
        <v>70</v>
      </c>
      <c r="S318" s="47" t="str">
        <f t="shared" si="12"/>
        <v>2023-07</v>
      </c>
      <c r="T318" s="33">
        <v>137</v>
      </c>
    </row>
    <row r="319" spans="1:20">
      <c r="A319" s="37" t="s">
        <v>1016</v>
      </c>
      <c r="B319" s="48">
        <v>45425</v>
      </c>
      <c r="C319" s="33" t="s">
        <v>63</v>
      </c>
      <c r="D319" s="37" t="s">
        <v>197</v>
      </c>
      <c r="E319" s="37" t="s">
        <v>198</v>
      </c>
      <c r="F319" s="37" t="s">
        <v>38</v>
      </c>
      <c r="G319" s="33" t="str">
        <f t="shared" si="13"/>
        <v>Atlanta → Miami</v>
      </c>
      <c r="H319" s="37" t="s">
        <v>39</v>
      </c>
      <c r="I319" s="37" t="s">
        <v>545</v>
      </c>
      <c r="J319" s="37" t="s">
        <v>1018</v>
      </c>
      <c r="K319" s="37">
        <v>171</v>
      </c>
      <c r="L319" s="37">
        <v>724</v>
      </c>
      <c r="M319" s="37">
        <v>545.95000000000005</v>
      </c>
      <c r="N319" s="37" t="s">
        <v>27</v>
      </c>
      <c r="O319" s="37">
        <v>223</v>
      </c>
      <c r="P319" s="37">
        <v>195</v>
      </c>
      <c r="Q319" s="46">
        <f t="shared" si="14"/>
        <v>87.443946188340803</v>
      </c>
      <c r="R319" s="37" t="s">
        <v>70</v>
      </c>
      <c r="S319" s="49" t="str">
        <f t="shared" si="12"/>
        <v>2024-05</v>
      </c>
      <c r="T319" s="37">
        <v>61</v>
      </c>
    </row>
    <row r="320" spans="1:20" ht="25.5">
      <c r="A320" s="33" t="s">
        <v>1019</v>
      </c>
      <c r="B320" s="45">
        <v>45339</v>
      </c>
      <c r="C320" s="33" t="s">
        <v>47</v>
      </c>
      <c r="D320" s="33" t="s">
        <v>48</v>
      </c>
      <c r="E320" s="33" t="s">
        <v>49</v>
      </c>
      <c r="F320" s="33" t="s">
        <v>174</v>
      </c>
      <c r="G320" s="33" t="str">
        <f t="shared" si="13"/>
        <v>San Diego → New York</v>
      </c>
      <c r="H320" s="33" t="s">
        <v>175</v>
      </c>
      <c r="I320" s="33" t="s">
        <v>58</v>
      </c>
      <c r="J320" s="33" t="s">
        <v>962</v>
      </c>
      <c r="K320" s="33">
        <v>337</v>
      </c>
      <c r="L320" s="33">
        <v>2299</v>
      </c>
      <c r="M320" s="33">
        <v>206.49</v>
      </c>
      <c r="N320" s="33" t="s">
        <v>44</v>
      </c>
      <c r="O320" s="33">
        <v>212</v>
      </c>
      <c r="P320" s="33">
        <v>61</v>
      </c>
      <c r="Q320" s="46">
        <f t="shared" si="14"/>
        <v>28.7735849056604</v>
      </c>
      <c r="R320" s="33" t="s">
        <v>28</v>
      </c>
      <c r="S320" s="47" t="str">
        <f t="shared" si="12"/>
        <v>2024-02</v>
      </c>
      <c r="T320" s="33">
        <v>0</v>
      </c>
    </row>
    <row r="321" spans="1:20">
      <c r="A321" s="37" t="s">
        <v>1021</v>
      </c>
      <c r="B321" s="48">
        <v>45205</v>
      </c>
      <c r="C321" s="33" t="s">
        <v>20</v>
      </c>
      <c r="D321" s="37" t="s">
        <v>116</v>
      </c>
      <c r="E321" s="37" t="s">
        <v>117</v>
      </c>
      <c r="F321" s="37" t="s">
        <v>48</v>
      </c>
      <c r="G321" s="33" t="str">
        <f t="shared" si="13"/>
        <v>Houston → San Diego</v>
      </c>
      <c r="H321" s="37" t="s">
        <v>49</v>
      </c>
      <c r="I321" s="37" t="s">
        <v>338</v>
      </c>
      <c r="J321" s="37" t="s">
        <v>1023</v>
      </c>
      <c r="K321" s="37">
        <v>432</v>
      </c>
      <c r="L321" s="37">
        <v>1685</v>
      </c>
      <c r="M321" s="37">
        <v>661.39</v>
      </c>
      <c r="N321" s="37" t="s">
        <v>27</v>
      </c>
      <c r="O321" s="37">
        <v>279</v>
      </c>
      <c r="P321" s="37">
        <v>208</v>
      </c>
      <c r="Q321" s="46">
        <f t="shared" si="14"/>
        <v>74.551971326164903</v>
      </c>
      <c r="R321" s="37" t="s">
        <v>28</v>
      </c>
      <c r="S321" s="49" t="str">
        <f t="shared" si="12"/>
        <v>2023-10</v>
      </c>
      <c r="T321" s="37">
        <v>0</v>
      </c>
    </row>
    <row r="322" spans="1:20" ht="25.5">
      <c r="A322" s="33" t="s">
        <v>1024</v>
      </c>
      <c r="B322" s="45">
        <v>45071</v>
      </c>
      <c r="C322" s="33" t="s">
        <v>115</v>
      </c>
      <c r="D322" s="33" t="s">
        <v>64</v>
      </c>
      <c r="E322" s="33" t="s">
        <v>65</v>
      </c>
      <c r="F322" s="33" t="s">
        <v>129</v>
      </c>
      <c r="G322" s="33" t="str">
        <f t="shared" si="13"/>
        <v>San Francisco → Detroit</v>
      </c>
      <c r="H322" s="33" t="s">
        <v>130</v>
      </c>
      <c r="I322" s="33" t="s">
        <v>403</v>
      </c>
      <c r="J322" s="33" t="s">
        <v>1026</v>
      </c>
      <c r="K322" s="33">
        <v>95</v>
      </c>
      <c r="L322" s="33">
        <v>2935</v>
      </c>
      <c r="M322" s="33">
        <v>1126.5</v>
      </c>
      <c r="N322" s="33" t="s">
        <v>27</v>
      </c>
      <c r="O322" s="33">
        <v>317</v>
      </c>
      <c r="P322" s="33">
        <v>290</v>
      </c>
      <c r="Q322" s="46">
        <f t="shared" si="14"/>
        <v>91.4826498422713</v>
      </c>
      <c r="R322" s="33" t="s">
        <v>70</v>
      </c>
      <c r="S322" s="47" t="str">
        <f t="shared" ref="S322:S385" si="15">TEXT(B322,"YYYY-MM")</f>
        <v>2023-05</v>
      </c>
      <c r="T322" s="33">
        <v>57</v>
      </c>
    </row>
    <row r="323" spans="1:20">
      <c r="A323" s="37" t="s">
        <v>1027</v>
      </c>
      <c r="B323" s="48">
        <v>44715</v>
      </c>
      <c r="C323" s="33" t="s">
        <v>115</v>
      </c>
      <c r="D323" s="37" t="s">
        <v>156</v>
      </c>
      <c r="E323" s="37" t="s">
        <v>157</v>
      </c>
      <c r="F323" s="37" t="s">
        <v>23</v>
      </c>
      <c r="G323" s="33" t="str">
        <f t="shared" ref="G323:G386" si="16">D323&amp;" → "&amp;F323</f>
        <v>Phoenix → Denver</v>
      </c>
      <c r="H323" s="37" t="s">
        <v>24</v>
      </c>
      <c r="I323" s="37" t="s">
        <v>42</v>
      </c>
      <c r="J323" s="37" t="s">
        <v>1029</v>
      </c>
      <c r="K323" s="37">
        <v>115</v>
      </c>
      <c r="L323" s="37">
        <v>2376</v>
      </c>
      <c r="M323" s="37">
        <v>329.43</v>
      </c>
      <c r="N323" s="37" t="s">
        <v>27</v>
      </c>
      <c r="O323" s="37">
        <v>196</v>
      </c>
      <c r="P323" s="37">
        <v>153</v>
      </c>
      <c r="Q323" s="46">
        <f t="shared" ref="Q323:Q386" si="17">P323/O323*100</f>
        <v>78.061224489795904</v>
      </c>
      <c r="R323" s="37" t="s">
        <v>70</v>
      </c>
      <c r="S323" s="49" t="str">
        <f t="shared" si="15"/>
        <v>2022-06</v>
      </c>
      <c r="T323" s="37">
        <v>35</v>
      </c>
    </row>
    <row r="324" spans="1:20">
      <c r="A324" s="33" t="s">
        <v>1030</v>
      </c>
      <c r="B324" s="45">
        <v>45502</v>
      </c>
      <c r="C324" s="33" t="s">
        <v>115</v>
      </c>
      <c r="D324" s="33" t="s">
        <v>54</v>
      </c>
      <c r="E324" s="33" t="s">
        <v>74</v>
      </c>
      <c r="F324" s="33" t="s">
        <v>40</v>
      </c>
      <c r="G324" s="33" t="str">
        <f t="shared" si="16"/>
        <v>Chicago → Charlotte</v>
      </c>
      <c r="H324" s="33" t="s">
        <v>41</v>
      </c>
      <c r="I324" s="33" t="s">
        <v>170</v>
      </c>
      <c r="J324" s="33" t="s">
        <v>1032</v>
      </c>
      <c r="K324" s="33">
        <v>318</v>
      </c>
      <c r="L324" s="33">
        <v>1594</v>
      </c>
      <c r="M324" s="33">
        <v>212.95</v>
      </c>
      <c r="N324" s="33" t="s">
        <v>44</v>
      </c>
      <c r="O324" s="33">
        <v>290</v>
      </c>
      <c r="P324" s="33">
        <v>217</v>
      </c>
      <c r="Q324" s="46">
        <f t="shared" si="17"/>
        <v>74.827586206896598</v>
      </c>
      <c r="R324" s="33" t="s">
        <v>28</v>
      </c>
      <c r="S324" s="47" t="str">
        <f t="shared" si="15"/>
        <v>2024-07</v>
      </c>
      <c r="T324" s="33">
        <v>0</v>
      </c>
    </row>
    <row r="325" spans="1:20" ht="25.5">
      <c r="A325" s="37" t="s">
        <v>1033</v>
      </c>
      <c r="B325" s="48">
        <v>45388</v>
      </c>
      <c r="C325" s="33" t="s">
        <v>73</v>
      </c>
      <c r="D325" s="37" t="s">
        <v>56</v>
      </c>
      <c r="E325" s="37" t="s">
        <v>57</v>
      </c>
      <c r="F325" s="37" t="s">
        <v>54</v>
      </c>
      <c r="G325" s="33" t="str">
        <f t="shared" si="16"/>
        <v>Los Angeles → Chicago</v>
      </c>
      <c r="H325" s="37" t="s">
        <v>74</v>
      </c>
      <c r="I325" s="37" t="s">
        <v>571</v>
      </c>
      <c r="J325" s="37" t="s">
        <v>1034</v>
      </c>
      <c r="K325" s="37">
        <v>136</v>
      </c>
      <c r="L325" s="37">
        <v>2774</v>
      </c>
      <c r="M325" s="37">
        <v>1158.75</v>
      </c>
      <c r="N325" s="37" t="s">
        <v>27</v>
      </c>
      <c r="O325" s="37">
        <v>177</v>
      </c>
      <c r="P325" s="37">
        <v>102</v>
      </c>
      <c r="Q325" s="46">
        <f t="shared" si="17"/>
        <v>57.627118644067799</v>
      </c>
      <c r="R325" s="37" t="s">
        <v>70</v>
      </c>
      <c r="S325" s="49" t="str">
        <f t="shared" si="15"/>
        <v>2024-04</v>
      </c>
      <c r="T325" s="37">
        <v>131</v>
      </c>
    </row>
    <row r="326" spans="1:20" ht="25.5">
      <c r="A326" s="33" t="s">
        <v>1035</v>
      </c>
      <c r="B326" s="45">
        <v>45260</v>
      </c>
      <c r="C326" s="33" t="s">
        <v>47</v>
      </c>
      <c r="D326" s="33" t="s">
        <v>56</v>
      </c>
      <c r="E326" s="33" t="s">
        <v>57</v>
      </c>
      <c r="F326" s="33" t="s">
        <v>21</v>
      </c>
      <c r="G326" s="33" t="str">
        <f t="shared" si="16"/>
        <v>Los Angeles → Boston</v>
      </c>
      <c r="H326" s="33" t="s">
        <v>22</v>
      </c>
      <c r="I326" s="33" t="s">
        <v>361</v>
      </c>
      <c r="J326" s="33" t="s">
        <v>1037</v>
      </c>
      <c r="K326" s="33">
        <v>376</v>
      </c>
      <c r="L326" s="33">
        <v>2838</v>
      </c>
      <c r="M326" s="33">
        <v>751.95</v>
      </c>
      <c r="N326" t="s">
        <v>1463</v>
      </c>
      <c r="O326" s="33">
        <v>268</v>
      </c>
      <c r="P326" s="33">
        <v>143</v>
      </c>
      <c r="Q326" s="46">
        <f t="shared" si="17"/>
        <v>53.358208955223901</v>
      </c>
      <c r="R326" s="33" t="s">
        <v>70</v>
      </c>
      <c r="S326" s="47" t="str">
        <f t="shared" si="15"/>
        <v>2023-11</v>
      </c>
      <c r="T326" s="33">
        <v>44</v>
      </c>
    </row>
    <row r="327" spans="1:20" ht="25.5">
      <c r="A327" s="37" t="s">
        <v>1038</v>
      </c>
      <c r="B327" s="48">
        <v>44761</v>
      </c>
      <c r="C327" s="33" t="s">
        <v>31</v>
      </c>
      <c r="D327" s="37" t="s">
        <v>174</v>
      </c>
      <c r="E327" s="37" t="s">
        <v>175</v>
      </c>
      <c r="F327" s="37" t="s">
        <v>64</v>
      </c>
      <c r="G327" s="33" t="str">
        <f t="shared" si="16"/>
        <v>New York → San Francisco</v>
      </c>
      <c r="H327" s="37" t="s">
        <v>65</v>
      </c>
      <c r="I327" s="37" t="s">
        <v>162</v>
      </c>
      <c r="J327" s="37" t="s">
        <v>1040</v>
      </c>
      <c r="K327" s="37">
        <v>370</v>
      </c>
      <c r="L327" s="37">
        <v>2438</v>
      </c>
      <c r="M327" s="37">
        <v>498.76</v>
      </c>
      <c r="N327" s="37" t="s">
        <v>60</v>
      </c>
      <c r="O327" s="37">
        <v>111</v>
      </c>
      <c r="P327" s="37">
        <v>107</v>
      </c>
      <c r="Q327" s="46">
        <f t="shared" si="17"/>
        <v>96.396396396396398</v>
      </c>
      <c r="R327" s="37" t="s">
        <v>28</v>
      </c>
      <c r="S327" s="49" t="str">
        <f t="shared" si="15"/>
        <v>2022-07</v>
      </c>
      <c r="T327" s="37">
        <v>0</v>
      </c>
    </row>
    <row r="328" spans="1:20">
      <c r="A328" s="33" t="s">
        <v>1041</v>
      </c>
      <c r="B328" s="45">
        <v>44849</v>
      </c>
      <c r="C328" s="33" t="s">
        <v>73</v>
      </c>
      <c r="D328" s="33" t="s">
        <v>197</v>
      </c>
      <c r="E328" s="33" t="s">
        <v>198</v>
      </c>
      <c r="F328" s="33" t="s">
        <v>95</v>
      </c>
      <c r="G328" s="33" t="str">
        <f t="shared" si="16"/>
        <v>Atlanta → Las Vegas</v>
      </c>
      <c r="H328" s="33" t="s">
        <v>96</v>
      </c>
      <c r="I328" s="33" t="s">
        <v>494</v>
      </c>
      <c r="J328" s="33" t="s">
        <v>1043</v>
      </c>
      <c r="K328" s="33">
        <v>186</v>
      </c>
      <c r="L328" s="33">
        <v>794</v>
      </c>
      <c r="M328" s="33">
        <v>607.15771802325605</v>
      </c>
      <c r="N328" s="33" t="s">
        <v>44</v>
      </c>
      <c r="O328" s="33">
        <v>155</v>
      </c>
      <c r="P328" s="33">
        <v>108</v>
      </c>
      <c r="Q328" s="46">
        <f t="shared" si="17"/>
        <v>69.677419354838705</v>
      </c>
      <c r="R328" s="33" t="s">
        <v>70</v>
      </c>
      <c r="S328" s="47" t="str">
        <f t="shared" si="15"/>
        <v>2022-10</v>
      </c>
      <c r="T328" s="33">
        <v>63</v>
      </c>
    </row>
    <row r="329" spans="1:20">
      <c r="A329" s="37" t="s">
        <v>1044</v>
      </c>
      <c r="B329" s="48">
        <v>45254</v>
      </c>
      <c r="C329" s="33" t="s">
        <v>94</v>
      </c>
      <c r="D329" s="37" t="s">
        <v>129</v>
      </c>
      <c r="E329" s="37" t="s">
        <v>130</v>
      </c>
      <c r="F329" s="37" t="s">
        <v>56</v>
      </c>
      <c r="G329" s="33" t="str">
        <f t="shared" si="16"/>
        <v>Detroit → Los Angeles</v>
      </c>
      <c r="H329" s="37" t="s">
        <v>57</v>
      </c>
      <c r="I329" s="37" t="s">
        <v>499</v>
      </c>
      <c r="J329" s="37" t="s">
        <v>339</v>
      </c>
      <c r="K329" s="37">
        <v>320</v>
      </c>
      <c r="L329" s="37">
        <v>2173</v>
      </c>
      <c r="M329" s="37">
        <v>817.47</v>
      </c>
      <c r="N329" s="37" t="s">
        <v>27</v>
      </c>
      <c r="O329" s="37">
        <v>134</v>
      </c>
      <c r="P329" s="37">
        <v>113</v>
      </c>
      <c r="Q329" s="46">
        <f t="shared" si="17"/>
        <v>84.328358208955194</v>
      </c>
      <c r="R329" s="37" t="s">
        <v>28</v>
      </c>
      <c r="S329" s="49" t="str">
        <f t="shared" si="15"/>
        <v>2023-11</v>
      </c>
      <c r="T329" s="37">
        <v>0</v>
      </c>
    </row>
    <row r="330" spans="1:20">
      <c r="A330" s="33" t="s">
        <v>1046</v>
      </c>
      <c r="B330" s="45">
        <v>44661</v>
      </c>
      <c r="C330" s="33" t="s">
        <v>73</v>
      </c>
      <c r="D330" s="33" t="s">
        <v>54</v>
      </c>
      <c r="E330" s="33" t="s">
        <v>74</v>
      </c>
      <c r="F330" s="33" t="s">
        <v>79</v>
      </c>
      <c r="G330" s="33" t="str">
        <f t="shared" si="16"/>
        <v>Chicago → Newark</v>
      </c>
      <c r="H330" s="33" t="s">
        <v>80</v>
      </c>
      <c r="I330" s="33" t="s">
        <v>469</v>
      </c>
      <c r="J330" s="33" t="s">
        <v>1048</v>
      </c>
      <c r="K330" s="33">
        <v>444</v>
      </c>
      <c r="L330" s="33">
        <v>2669</v>
      </c>
      <c r="M330" s="33">
        <v>274.49</v>
      </c>
      <c r="N330" s="33" t="s">
        <v>60</v>
      </c>
      <c r="O330" s="33">
        <v>126</v>
      </c>
      <c r="P330" s="33">
        <v>99</v>
      </c>
      <c r="Q330" s="46">
        <f t="shared" si="17"/>
        <v>78.571428571428598</v>
      </c>
      <c r="R330" s="33" t="s">
        <v>70</v>
      </c>
      <c r="S330" s="47" t="str">
        <f t="shared" si="15"/>
        <v>2022-04</v>
      </c>
      <c r="T330" s="33">
        <v>170</v>
      </c>
    </row>
    <row r="331" spans="1:20">
      <c r="A331" s="37" t="s">
        <v>1049</v>
      </c>
      <c r="B331" s="48">
        <v>45221</v>
      </c>
      <c r="C331" s="33" t="s">
        <v>73</v>
      </c>
      <c r="D331" s="37" t="s">
        <v>129</v>
      </c>
      <c r="E331" s="37" t="s">
        <v>130</v>
      </c>
      <c r="F331" s="37" t="s">
        <v>23</v>
      </c>
      <c r="G331" s="33" t="str">
        <f t="shared" si="16"/>
        <v>Detroit → Denver</v>
      </c>
      <c r="H331" s="37" t="s">
        <v>24</v>
      </c>
      <c r="I331" s="37" t="s">
        <v>140</v>
      </c>
      <c r="J331" s="37" t="s">
        <v>1050</v>
      </c>
      <c r="K331" s="37">
        <v>265</v>
      </c>
      <c r="L331" s="37">
        <v>1504</v>
      </c>
      <c r="M331" s="37">
        <v>587.19000000000005</v>
      </c>
      <c r="N331" s="37" t="s">
        <v>60</v>
      </c>
      <c r="O331" s="37">
        <v>135</v>
      </c>
      <c r="P331" s="37">
        <v>102</v>
      </c>
      <c r="Q331" s="46">
        <f t="shared" si="17"/>
        <v>75.5555555555556</v>
      </c>
      <c r="R331" s="37" t="s">
        <v>28</v>
      </c>
      <c r="S331" s="49" t="str">
        <f t="shared" si="15"/>
        <v>2023-10</v>
      </c>
      <c r="T331" s="37">
        <v>0</v>
      </c>
    </row>
    <row r="332" spans="1:20">
      <c r="A332" s="33" t="s">
        <v>1051</v>
      </c>
      <c r="B332" s="45">
        <v>45611</v>
      </c>
      <c r="C332" s="33" t="s">
        <v>1462</v>
      </c>
      <c r="D332" s="33" t="s">
        <v>32</v>
      </c>
      <c r="E332" s="33" t="s">
        <v>33</v>
      </c>
      <c r="F332" s="33" t="s">
        <v>156</v>
      </c>
      <c r="G332" s="33" t="str">
        <f t="shared" si="16"/>
        <v>Orlando → Phoenix</v>
      </c>
      <c r="H332" s="33" t="s">
        <v>157</v>
      </c>
      <c r="I332" s="33" t="s">
        <v>600</v>
      </c>
      <c r="J332" s="33" t="s">
        <v>1053</v>
      </c>
      <c r="K332" s="33">
        <v>192</v>
      </c>
      <c r="L332" s="33">
        <v>1158</v>
      </c>
      <c r="M332" s="33">
        <v>779.07</v>
      </c>
      <c r="N332" s="33" t="s">
        <v>44</v>
      </c>
      <c r="O332" s="33">
        <v>275</v>
      </c>
      <c r="P332" s="33">
        <v>138</v>
      </c>
      <c r="Q332" s="46">
        <f t="shared" si="17"/>
        <v>50.181818181818201</v>
      </c>
      <c r="R332" s="33" t="s">
        <v>70</v>
      </c>
      <c r="S332" s="47" t="str">
        <f t="shared" si="15"/>
        <v>2024-11</v>
      </c>
      <c r="T332" s="33">
        <v>48</v>
      </c>
    </row>
    <row r="333" spans="1:20">
      <c r="A333" s="37" t="s">
        <v>1054</v>
      </c>
      <c r="B333" s="48">
        <v>44926</v>
      </c>
      <c r="C333" s="33" t="s">
        <v>47</v>
      </c>
      <c r="D333" s="37" t="s">
        <v>197</v>
      </c>
      <c r="E333" s="37" t="s">
        <v>198</v>
      </c>
      <c r="F333" s="37" t="s">
        <v>66</v>
      </c>
      <c r="G333" s="33" t="str">
        <f t="shared" si="16"/>
        <v>Atlanta → Minneapolis</v>
      </c>
      <c r="H333" s="37" t="s">
        <v>67</v>
      </c>
      <c r="I333" s="37" t="s">
        <v>476</v>
      </c>
      <c r="J333" s="37" t="s">
        <v>1056</v>
      </c>
      <c r="K333" s="37">
        <v>388</v>
      </c>
      <c r="L333" s="37">
        <v>2637</v>
      </c>
      <c r="M333" s="37">
        <v>629.91020467836302</v>
      </c>
      <c r="N333" s="37" t="s">
        <v>27</v>
      </c>
      <c r="O333" s="37">
        <v>206</v>
      </c>
      <c r="P333" s="37">
        <v>186</v>
      </c>
      <c r="Q333" s="46">
        <f t="shared" si="17"/>
        <v>90.291262135922295</v>
      </c>
      <c r="R333" s="37" t="s">
        <v>28</v>
      </c>
      <c r="S333" s="49" t="str">
        <f t="shared" si="15"/>
        <v>2022-12</v>
      </c>
      <c r="T333" s="37">
        <v>0</v>
      </c>
    </row>
    <row r="334" spans="1:20">
      <c r="A334" s="33" t="s">
        <v>1057</v>
      </c>
      <c r="B334" s="45">
        <v>45427</v>
      </c>
      <c r="C334" s="33" t="s">
        <v>20</v>
      </c>
      <c r="D334" s="33" t="s">
        <v>116</v>
      </c>
      <c r="E334" s="33" t="s">
        <v>117</v>
      </c>
      <c r="F334" s="33" t="s">
        <v>197</v>
      </c>
      <c r="G334" s="33" t="str">
        <f t="shared" si="16"/>
        <v>Houston → Atlanta</v>
      </c>
      <c r="H334" s="33" t="s">
        <v>198</v>
      </c>
      <c r="I334" s="33" t="s">
        <v>158</v>
      </c>
      <c r="J334" s="33" t="s">
        <v>1059</v>
      </c>
      <c r="K334" s="33">
        <v>164</v>
      </c>
      <c r="L334" s="33">
        <v>517</v>
      </c>
      <c r="M334" s="33">
        <v>830.68</v>
      </c>
      <c r="N334" s="33" t="s">
        <v>60</v>
      </c>
      <c r="O334" s="33">
        <v>168</v>
      </c>
      <c r="P334" s="33">
        <v>146</v>
      </c>
      <c r="Q334" s="46">
        <f t="shared" si="17"/>
        <v>86.904761904761898</v>
      </c>
      <c r="R334" s="33" t="s">
        <v>70</v>
      </c>
      <c r="S334" s="47" t="str">
        <f t="shared" si="15"/>
        <v>2024-05</v>
      </c>
      <c r="T334" s="33">
        <v>88</v>
      </c>
    </row>
    <row r="335" spans="1:20" ht="25.5">
      <c r="A335" s="37" t="s">
        <v>1060</v>
      </c>
      <c r="B335" s="48">
        <v>45075</v>
      </c>
      <c r="C335" s="33" t="s">
        <v>63</v>
      </c>
      <c r="D335" s="37" t="s">
        <v>56</v>
      </c>
      <c r="E335" s="37" t="s">
        <v>57</v>
      </c>
      <c r="F335" s="37" t="s">
        <v>156</v>
      </c>
      <c r="G335" s="33" t="str">
        <f t="shared" si="16"/>
        <v>Los Angeles → Phoenix</v>
      </c>
      <c r="H335" s="37" t="s">
        <v>157</v>
      </c>
      <c r="I335" s="37" t="s">
        <v>231</v>
      </c>
      <c r="J335" s="37" t="s">
        <v>1061</v>
      </c>
      <c r="K335" s="37">
        <v>273</v>
      </c>
      <c r="L335" s="37">
        <v>2153</v>
      </c>
      <c r="M335" s="37">
        <v>194.78</v>
      </c>
      <c r="N335" s="37" t="s">
        <v>27</v>
      </c>
      <c r="O335" s="37">
        <v>289</v>
      </c>
      <c r="P335" s="37">
        <v>193</v>
      </c>
      <c r="Q335" s="46">
        <f t="shared" si="17"/>
        <v>66.782006920415199</v>
      </c>
      <c r="R335" s="37" t="s">
        <v>70</v>
      </c>
      <c r="S335" s="49" t="str">
        <f t="shared" si="15"/>
        <v>2023-05</v>
      </c>
      <c r="T335" s="37">
        <v>180</v>
      </c>
    </row>
    <row r="336" spans="1:20">
      <c r="A336" s="33" t="s">
        <v>1062</v>
      </c>
      <c r="B336" s="45">
        <v>45358</v>
      </c>
      <c r="C336" s="33" t="s">
        <v>31</v>
      </c>
      <c r="D336" s="33" t="s">
        <v>116</v>
      </c>
      <c r="E336" s="33" t="s">
        <v>117</v>
      </c>
      <c r="F336" s="33" t="s">
        <v>95</v>
      </c>
      <c r="G336" s="33" t="str">
        <f t="shared" si="16"/>
        <v>Houston → Las Vegas</v>
      </c>
      <c r="H336" s="33" t="s">
        <v>96</v>
      </c>
      <c r="I336" s="33" t="s">
        <v>545</v>
      </c>
      <c r="J336" s="33" t="s">
        <v>170</v>
      </c>
      <c r="K336" s="33">
        <v>285</v>
      </c>
      <c r="L336" s="33">
        <v>1887</v>
      </c>
      <c r="M336" s="33">
        <v>546.54999999999995</v>
      </c>
      <c r="N336" s="33" t="s">
        <v>27</v>
      </c>
      <c r="O336" s="33">
        <v>180</v>
      </c>
      <c r="P336" s="33">
        <v>63</v>
      </c>
      <c r="Q336" s="46">
        <f t="shared" si="17"/>
        <v>35</v>
      </c>
      <c r="R336" s="33" t="s">
        <v>28</v>
      </c>
      <c r="S336" s="47" t="str">
        <f t="shared" si="15"/>
        <v>2024-03</v>
      </c>
      <c r="T336" s="33">
        <v>0</v>
      </c>
    </row>
    <row r="337" spans="1:20" ht="25.5">
      <c r="A337" s="37" t="s">
        <v>1065</v>
      </c>
      <c r="B337" s="48">
        <v>45076</v>
      </c>
      <c r="C337" s="33" t="s">
        <v>31</v>
      </c>
      <c r="D337" s="37" t="s">
        <v>48</v>
      </c>
      <c r="E337" s="37" t="s">
        <v>49</v>
      </c>
      <c r="F337" s="37" t="s">
        <v>40</v>
      </c>
      <c r="G337" s="33" t="str">
        <f t="shared" si="16"/>
        <v>San Diego → Charlotte</v>
      </c>
      <c r="H337" s="37" t="s">
        <v>41</v>
      </c>
      <c r="I337" s="37" t="s">
        <v>75</v>
      </c>
      <c r="J337" s="37" t="s">
        <v>1067</v>
      </c>
      <c r="K337" s="37">
        <v>476</v>
      </c>
      <c r="L337" s="37">
        <v>2710</v>
      </c>
      <c r="M337" s="37">
        <v>692.21</v>
      </c>
      <c r="N337" s="37" t="s">
        <v>27</v>
      </c>
      <c r="O337" s="37">
        <v>150</v>
      </c>
      <c r="P337" s="37">
        <v>149</v>
      </c>
      <c r="Q337" s="46">
        <f t="shared" si="17"/>
        <v>99.3333333333333</v>
      </c>
      <c r="R337" s="37" t="s">
        <v>70</v>
      </c>
      <c r="S337" s="49" t="str">
        <f t="shared" si="15"/>
        <v>2023-05</v>
      </c>
      <c r="T337" s="37">
        <v>64</v>
      </c>
    </row>
    <row r="338" spans="1:20">
      <c r="A338" s="33" t="s">
        <v>1068</v>
      </c>
      <c r="B338" s="45">
        <v>45164</v>
      </c>
      <c r="C338" s="33" t="s">
        <v>115</v>
      </c>
      <c r="D338" s="33" t="s">
        <v>38</v>
      </c>
      <c r="E338" s="33" t="s">
        <v>39</v>
      </c>
      <c r="F338" s="33" t="s">
        <v>54</v>
      </c>
      <c r="G338" s="33" t="str">
        <f t="shared" si="16"/>
        <v>Miami → Chicago</v>
      </c>
      <c r="H338" s="33" t="s">
        <v>55</v>
      </c>
      <c r="I338" s="33" t="s">
        <v>303</v>
      </c>
      <c r="J338" s="33" t="s">
        <v>1070</v>
      </c>
      <c r="K338" s="33">
        <v>466</v>
      </c>
      <c r="L338" s="33">
        <v>2404</v>
      </c>
      <c r="M338" s="33">
        <v>213.68</v>
      </c>
      <c r="N338" s="33" t="s">
        <v>60</v>
      </c>
      <c r="O338" s="33">
        <v>209</v>
      </c>
      <c r="P338" s="33">
        <v>121</v>
      </c>
      <c r="Q338" s="46">
        <f t="shared" si="17"/>
        <v>57.894736842105303</v>
      </c>
      <c r="R338" s="33" t="s">
        <v>28</v>
      </c>
      <c r="S338" s="47" t="str">
        <f t="shared" si="15"/>
        <v>2023-08</v>
      </c>
      <c r="T338" s="33">
        <v>0</v>
      </c>
    </row>
    <row r="339" spans="1:20">
      <c r="A339" s="37" t="s">
        <v>1071</v>
      </c>
      <c r="B339" s="48">
        <v>44828</v>
      </c>
      <c r="C339" s="33" t="s">
        <v>63</v>
      </c>
      <c r="D339" s="37" t="s">
        <v>54</v>
      </c>
      <c r="E339" s="37" t="s">
        <v>74</v>
      </c>
      <c r="F339" s="37" t="s">
        <v>21</v>
      </c>
      <c r="G339" s="33" t="str">
        <f t="shared" si="16"/>
        <v>Chicago → Boston</v>
      </c>
      <c r="H339" s="37" t="s">
        <v>22</v>
      </c>
      <c r="I339" s="37" t="s">
        <v>382</v>
      </c>
      <c r="J339" s="37" t="s">
        <v>314</v>
      </c>
      <c r="K339" s="37">
        <v>328</v>
      </c>
      <c r="L339" s="37">
        <v>934</v>
      </c>
      <c r="M339" s="37">
        <v>124.73</v>
      </c>
      <c r="N339" s="37" t="s">
        <v>44</v>
      </c>
      <c r="O339" s="37">
        <v>252</v>
      </c>
      <c r="P339" s="37">
        <v>63</v>
      </c>
      <c r="Q339" s="46">
        <f t="shared" si="17"/>
        <v>25</v>
      </c>
      <c r="R339" s="37" t="s">
        <v>70</v>
      </c>
      <c r="S339" s="49" t="str">
        <f t="shared" si="15"/>
        <v>2022-09</v>
      </c>
      <c r="T339" s="37">
        <v>175</v>
      </c>
    </row>
    <row r="340" spans="1:20">
      <c r="A340" s="33" t="s">
        <v>1073</v>
      </c>
      <c r="B340" s="45">
        <v>45178</v>
      </c>
      <c r="C340" s="33" t="s">
        <v>115</v>
      </c>
      <c r="D340" s="33" t="s">
        <v>54</v>
      </c>
      <c r="E340" s="33" t="s">
        <v>74</v>
      </c>
      <c r="F340" s="33" t="s">
        <v>32</v>
      </c>
      <c r="G340" s="33" t="str">
        <f t="shared" si="16"/>
        <v>Chicago → Orlando</v>
      </c>
      <c r="H340" s="33" t="s">
        <v>33</v>
      </c>
      <c r="I340" s="33" t="s">
        <v>1075</v>
      </c>
      <c r="J340" s="33" t="s">
        <v>1076</v>
      </c>
      <c r="K340" s="33">
        <v>452</v>
      </c>
      <c r="L340" s="33">
        <v>1601</v>
      </c>
      <c r="M340" s="33">
        <v>668.44</v>
      </c>
      <c r="N340" s="33" t="s">
        <v>60</v>
      </c>
      <c r="O340" s="33">
        <v>233</v>
      </c>
      <c r="P340" s="33">
        <v>67</v>
      </c>
      <c r="Q340" s="46">
        <f t="shared" si="17"/>
        <v>28.755364806867</v>
      </c>
      <c r="R340" s="33" t="s">
        <v>70</v>
      </c>
      <c r="S340" s="47" t="str">
        <f t="shared" si="15"/>
        <v>2023-09</v>
      </c>
      <c r="T340" s="33">
        <v>55</v>
      </c>
    </row>
    <row r="341" spans="1:20" ht="25.5">
      <c r="A341" s="37" t="s">
        <v>1077</v>
      </c>
      <c r="B341" s="48">
        <v>45413</v>
      </c>
      <c r="C341" s="33" t="s">
        <v>73</v>
      </c>
      <c r="D341" s="37" t="s">
        <v>54</v>
      </c>
      <c r="E341" s="37" t="s">
        <v>55</v>
      </c>
      <c r="F341" s="37" t="s">
        <v>66</v>
      </c>
      <c r="G341" s="33" t="str">
        <f t="shared" si="16"/>
        <v>Chicago → Minneapolis</v>
      </c>
      <c r="H341" s="37" t="s">
        <v>67</v>
      </c>
      <c r="I341" s="37" t="s">
        <v>25</v>
      </c>
      <c r="J341" s="37" t="s">
        <v>1079</v>
      </c>
      <c r="K341" s="37">
        <v>429</v>
      </c>
      <c r="L341" s="37">
        <v>1659</v>
      </c>
      <c r="M341" s="37">
        <v>450.79</v>
      </c>
      <c r="N341" s="37" t="s">
        <v>44</v>
      </c>
      <c r="O341" s="37">
        <v>155</v>
      </c>
      <c r="P341" s="37">
        <v>146</v>
      </c>
      <c r="Q341" s="46">
        <f t="shared" si="17"/>
        <v>94.193548387096797</v>
      </c>
      <c r="R341" s="37" t="s">
        <v>28</v>
      </c>
      <c r="S341" s="49" t="str">
        <f t="shared" si="15"/>
        <v>2024-05</v>
      </c>
      <c r="T341" s="37">
        <v>0</v>
      </c>
    </row>
    <row r="342" spans="1:20">
      <c r="A342" s="33" t="s">
        <v>1080</v>
      </c>
      <c r="B342" s="45">
        <v>45534</v>
      </c>
      <c r="C342" s="33" t="s">
        <v>20</v>
      </c>
      <c r="D342" s="33" t="s">
        <v>197</v>
      </c>
      <c r="E342" s="33" t="s">
        <v>198</v>
      </c>
      <c r="F342" s="33" t="s">
        <v>66</v>
      </c>
      <c r="G342" s="33" t="str">
        <f t="shared" si="16"/>
        <v>Atlanta → Minneapolis</v>
      </c>
      <c r="H342" s="33" t="s">
        <v>67</v>
      </c>
      <c r="I342" s="33" t="s">
        <v>473</v>
      </c>
      <c r="J342" s="33" t="s">
        <v>572</v>
      </c>
      <c r="K342" s="33">
        <v>418</v>
      </c>
      <c r="L342" s="33">
        <v>2813</v>
      </c>
      <c r="M342" s="33">
        <v>1108.8399999999999</v>
      </c>
      <c r="N342" s="33" t="s">
        <v>60</v>
      </c>
      <c r="O342" s="33">
        <v>345</v>
      </c>
      <c r="P342" s="33">
        <v>70</v>
      </c>
      <c r="Q342" s="46">
        <f t="shared" si="17"/>
        <v>20.289855072463801</v>
      </c>
      <c r="R342" s="33" t="s">
        <v>70</v>
      </c>
      <c r="S342" s="47" t="str">
        <f t="shared" si="15"/>
        <v>2024-08</v>
      </c>
      <c r="T342" s="33">
        <v>97</v>
      </c>
    </row>
    <row r="343" spans="1:20">
      <c r="A343" s="37" t="s">
        <v>1082</v>
      </c>
      <c r="B343" s="48">
        <v>45343</v>
      </c>
      <c r="C343" s="33" t="s">
        <v>94</v>
      </c>
      <c r="D343" s="37" t="s">
        <v>66</v>
      </c>
      <c r="E343" s="37" t="s">
        <v>67</v>
      </c>
      <c r="F343" s="37" t="s">
        <v>21</v>
      </c>
      <c r="G343" s="33" t="str">
        <f t="shared" si="16"/>
        <v>Minneapolis → Boston</v>
      </c>
      <c r="H343" s="37" t="s">
        <v>22</v>
      </c>
      <c r="I343" s="37" t="s">
        <v>528</v>
      </c>
      <c r="J343" s="37" t="s">
        <v>466</v>
      </c>
      <c r="K343" s="37">
        <v>102</v>
      </c>
      <c r="L343" s="37">
        <v>2417</v>
      </c>
      <c r="M343" s="37">
        <v>1000.76</v>
      </c>
      <c r="N343" s="37" t="s">
        <v>44</v>
      </c>
      <c r="O343" s="37">
        <v>231</v>
      </c>
      <c r="P343" s="37">
        <v>180</v>
      </c>
      <c r="Q343" s="46">
        <f t="shared" si="17"/>
        <v>77.922077922077904</v>
      </c>
      <c r="R343" s="37" t="s">
        <v>28</v>
      </c>
      <c r="S343" s="49" t="str">
        <f t="shared" si="15"/>
        <v>2024-02</v>
      </c>
      <c r="T343" s="37">
        <v>0</v>
      </c>
    </row>
    <row r="344" spans="1:20" ht="25.5">
      <c r="A344" s="33" t="s">
        <v>1084</v>
      </c>
      <c r="B344" s="45">
        <v>44651</v>
      </c>
      <c r="C344" s="33" t="s">
        <v>1462</v>
      </c>
      <c r="D344" s="33" t="s">
        <v>183</v>
      </c>
      <c r="E344" s="33" t="s">
        <v>184</v>
      </c>
      <c r="F344" s="33" t="s">
        <v>64</v>
      </c>
      <c r="G344" s="33" t="str">
        <f t="shared" si="16"/>
        <v>Seattle → San Francisco</v>
      </c>
      <c r="H344" s="33" t="s">
        <v>65</v>
      </c>
      <c r="I344" s="33" t="s">
        <v>712</v>
      </c>
      <c r="J344" s="33" t="s">
        <v>1086</v>
      </c>
      <c r="K344" s="33">
        <v>139</v>
      </c>
      <c r="L344" s="33">
        <v>985</v>
      </c>
      <c r="M344" s="33">
        <v>1168.22</v>
      </c>
      <c r="N344" s="33" t="s">
        <v>27</v>
      </c>
      <c r="O344" s="33">
        <v>236</v>
      </c>
      <c r="P344" s="33">
        <v>51</v>
      </c>
      <c r="Q344" s="46">
        <f t="shared" si="17"/>
        <v>21.610169491525401</v>
      </c>
      <c r="R344" s="33" t="s">
        <v>28</v>
      </c>
      <c r="S344" s="47" t="str">
        <f t="shared" si="15"/>
        <v>2022-03</v>
      </c>
      <c r="T344" s="33">
        <v>0</v>
      </c>
    </row>
    <row r="345" spans="1:20">
      <c r="A345" s="37" t="s">
        <v>1087</v>
      </c>
      <c r="B345" s="48">
        <v>44993</v>
      </c>
      <c r="C345" s="33" t="s">
        <v>31</v>
      </c>
      <c r="D345" s="37" t="s">
        <v>129</v>
      </c>
      <c r="E345" s="37" t="s">
        <v>130</v>
      </c>
      <c r="F345" s="37" t="s">
        <v>197</v>
      </c>
      <c r="G345" s="33" t="str">
        <f t="shared" si="16"/>
        <v>Detroit → Atlanta</v>
      </c>
      <c r="H345" s="37" t="s">
        <v>198</v>
      </c>
      <c r="I345" s="37" t="s">
        <v>139</v>
      </c>
      <c r="J345" s="37" t="s">
        <v>1088</v>
      </c>
      <c r="K345" s="37">
        <v>421</v>
      </c>
      <c r="L345" s="37">
        <v>595</v>
      </c>
      <c r="M345" s="37">
        <v>916.52</v>
      </c>
      <c r="N345" s="37" t="s">
        <v>60</v>
      </c>
      <c r="O345" s="37">
        <v>106</v>
      </c>
      <c r="P345" s="37">
        <v>79</v>
      </c>
      <c r="Q345" s="46">
        <f t="shared" si="17"/>
        <v>74.528301886792406</v>
      </c>
      <c r="R345" s="37" t="s">
        <v>70</v>
      </c>
      <c r="S345" s="49" t="str">
        <f t="shared" si="15"/>
        <v>2023-03</v>
      </c>
      <c r="T345" s="37">
        <v>24</v>
      </c>
    </row>
    <row r="346" spans="1:20" ht="25.5">
      <c r="A346" s="33" t="s">
        <v>1089</v>
      </c>
      <c r="B346" s="45">
        <v>44741</v>
      </c>
      <c r="C346" s="33" t="s">
        <v>94</v>
      </c>
      <c r="D346" s="33" t="s">
        <v>56</v>
      </c>
      <c r="E346" s="33" t="s">
        <v>57</v>
      </c>
      <c r="F346" s="33" t="s">
        <v>183</v>
      </c>
      <c r="G346" s="33" t="str">
        <f t="shared" si="16"/>
        <v>Los Angeles → Seattle</v>
      </c>
      <c r="H346" s="33" t="s">
        <v>184</v>
      </c>
      <c r="I346" s="33" t="s">
        <v>378</v>
      </c>
      <c r="J346" s="33" t="s">
        <v>1079</v>
      </c>
      <c r="K346" s="33">
        <v>384</v>
      </c>
      <c r="L346" s="33">
        <v>1232</v>
      </c>
      <c r="M346" s="33">
        <v>1100.3</v>
      </c>
      <c r="N346" s="33" t="s">
        <v>44</v>
      </c>
      <c r="O346" s="33">
        <v>199</v>
      </c>
      <c r="P346" s="33">
        <v>165</v>
      </c>
      <c r="Q346" s="46">
        <f t="shared" si="17"/>
        <v>82.914572864321599</v>
      </c>
      <c r="R346" s="33" t="s">
        <v>28</v>
      </c>
      <c r="S346" s="47" t="str">
        <f t="shared" si="15"/>
        <v>2022-06</v>
      </c>
      <c r="T346" s="33">
        <v>0</v>
      </c>
    </row>
    <row r="347" spans="1:20">
      <c r="A347" s="37" t="s">
        <v>1091</v>
      </c>
      <c r="B347" s="48">
        <v>45448</v>
      </c>
      <c r="C347" s="33" t="s">
        <v>47</v>
      </c>
      <c r="D347" s="37" t="s">
        <v>174</v>
      </c>
      <c r="E347" s="37" t="s">
        <v>175</v>
      </c>
      <c r="F347" s="37" t="s">
        <v>129</v>
      </c>
      <c r="G347" s="33" t="str">
        <f t="shared" si="16"/>
        <v>New York → Detroit</v>
      </c>
      <c r="H347" s="37" t="s">
        <v>130</v>
      </c>
      <c r="I347" s="37" t="s">
        <v>266</v>
      </c>
      <c r="J347" s="37" t="s">
        <v>1093</v>
      </c>
      <c r="K347" s="37">
        <v>363</v>
      </c>
      <c r="L347" s="37">
        <v>324</v>
      </c>
      <c r="M347" s="37">
        <v>798.39</v>
      </c>
      <c r="N347" s="37" t="s">
        <v>27</v>
      </c>
      <c r="O347" s="37">
        <v>116</v>
      </c>
      <c r="P347" s="37">
        <v>55</v>
      </c>
      <c r="Q347" s="46">
        <f t="shared" si="17"/>
        <v>47.413793103448299</v>
      </c>
      <c r="R347" s="37" t="s">
        <v>70</v>
      </c>
      <c r="S347" s="49" t="str">
        <f t="shared" si="15"/>
        <v>2024-06</v>
      </c>
      <c r="T347" s="37">
        <v>0</v>
      </c>
    </row>
    <row r="348" spans="1:20">
      <c r="A348" s="33" t="s">
        <v>1094</v>
      </c>
      <c r="B348" s="45">
        <v>45294</v>
      </c>
      <c r="C348" s="33" t="s">
        <v>94</v>
      </c>
      <c r="D348" s="33" t="s">
        <v>95</v>
      </c>
      <c r="E348" s="33" t="s">
        <v>96</v>
      </c>
      <c r="F348" s="33" t="s">
        <v>156</v>
      </c>
      <c r="G348" s="33" t="str">
        <f t="shared" si="16"/>
        <v>Las Vegas → Phoenix</v>
      </c>
      <c r="H348" s="33" t="s">
        <v>157</v>
      </c>
      <c r="I348" s="33" t="s">
        <v>34</v>
      </c>
      <c r="J348" s="33" t="s">
        <v>1096</v>
      </c>
      <c r="K348" s="33">
        <v>234</v>
      </c>
      <c r="L348" s="33">
        <v>2092</v>
      </c>
      <c r="M348" s="33">
        <v>507.18</v>
      </c>
      <c r="N348" s="33" t="s">
        <v>27</v>
      </c>
      <c r="O348" s="33">
        <v>107</v>
      </c>
      <c r="P348" s="33">
        <v>80</v>
      </c>
      <c r="Q348" s="46">
        <f t="shared" si="17"/>
        <v>74.766355140186903</v>
      </c>
      <c r="R348" s="33" t="s">
        <v>28</v>
      </c>
      <c r="S348" s="47" t="str">
        <f t="shared" si="15"/>
        <v>2024-01</v>
      </c>
      <c r="T348" s="33">
        <v>0</v>
      </c>
    </row>
    <row r="349" spans="1:20" ht="25.5">
      <c r="A349" s="37" t="s">
        <v>1097</v>
      </c>
      <c r="B349" s="48">
        <v>45012</v>
      </c>
      <c r="C349" s="33" t="s">
        <v>63</v>
      </c>
      <c r="D349" s="37" t="s">
        <v>66</v>
      </c>
      <c r="E349" s="37" t="s">
        <v>67</v>
      </c>
      <c r="F349" s="37" t="s">
        <v>54</v>
      </c>
      <c r="G349" s="33" t="str">
        <f t="shared" si="16"/>
        <v>Minneapolis → Chicago</v>
      </c>
      <c r="H349" s="37" t="s">
        <v>74</v>
      </c>
      <c r="I349" s="37" t="s">
        <v>143</v>
      </c>
      <c r="J349" s="37" t="s">
        <v>1099</v>
      </c>
      <c r="K349" s="37">
        <v>242</v>
      </c>
      <c r="L349" s="37">
        <v>2953</v>
      </c>
      <c r="M349" s="37">
        <v>497.91</v>
      </c>
      <c r="N349" s="37" t="s">
        <v>60</v>
      </c>
      <c r="O349" s="37">
        <v>241</v>
      </c>
      <c r="P349" s="37">
        <v>192</v>
      </c>
      <c r="Q349" s="46">
        <f t="shared" si="17"/>
        <v>79.668049792531093</v>
      </c>
      <c r="R349" s="37" t="s">
        <v>28</v>
      </c>
      <c r="S349" s="49" t="str">
        <f t="shared" si="15"/>
        <v>2023-03</v>
      </c>
      <c r="T349" s="37">
        <v>0</v>
      </c>
    </row>
    <row r="350" spans="1:20" ht="25.5">
      <c r="A350" s="33" t="s">
        <v>1100</v>
      </c>
      <c r="B350" s="45">
        <v>44647</v>
      </c>
      <c r="C350" s="33" t="s">
        <v>20</v>
      </c>
      <c r="D350" s="33" t="s">
        <v>54</v>
      </c>
      <c r="E350" s="33" t="s">
        <v>74</v>
      </c>
      <c r="F350" s="33" t="s">
        <v>66</v>
      </c>
      <c r="G350" s="33" t="str">
        <f t="shared" si="16"/>
        <v>Chicago → Minneapolis</v>
      </c>
      <c r="H350" s="33" t="s">
        <v>67</v>
      </c>
      <c r="I350" s="33" t="s">
        <v>571</v>
      </c>
      <c r="J350" s="33" t="s">
        <v>1102</v>
      </c>
      <c r="K350" s="33">
        <v>246</v>
      </c>
      <c r="L350" s="33">
        <v>1160</v>
      </c>
      <c r="M350" s="33">
        <v>918.09</v>
      </c>
      <c r="N350" s="33" t="s">
        <v>27</v>
      </c>
      <c r="O350" s="33">
        <v>188</v>
      </c>
      <c r="P350" s="33">
        <v>104</v>
      </c>
      <c r="Q350" s="46">
        <f t="shared" si="17"/>
        <v>55.319148936170201</v>
      </c>
      <c r="R350" s="33" t="s">
        <v>28</v>
      </c>
      <c r="S350" s="47" t="str">
        <f t="shared" si="15"/>
        <v>2022-03</v>
      </c>
      <c r="T350" s="33">
        <v>0</v>
      </c>
    </row>
    <row r="351" spans="1:20">
      <c r="A351" s="37" t="s">
        <v>1103</v>
      </c>
      <c r="B351" s="48">
        <v>45611</v>
      </c>
      <c r="C351" s="33" t="s">
        <v>63</v>
      </c>
      <c r="D351" s="37" t="s">
        <v>38</v>
      </c>
      <c r="E351" s="37" t="s">
        <v>39</v>
      </c>
      <c r="F351" s="37" t="s">
        <v>183</v>
      </c>
      <c r="G351" s="33" t="str">
        <f t="shared" si="16"/>
        <v>Miami → Seattle</v>
      </c>
      <c r="H351" s="37" t="s">
        <v>184</v>
      </c>
      <c r="I351" s="37" t="s">
        <v>75</v>
      </c>
      <c r="J351" s="37" t="s">
        <v>1104</v>
      </c>
      <c r="K351" s="37">
        <v>189</v>
      </c>
      <c r="L351" s="37">
        <v>769</v>
      </c>
      <c r="M351" s="37">
        <v>283.12</v>
      </c>
      <c r="N351" s="37" t="s">
        <v>27</v>
      </c>
      <c r="O351" s="37">
        <v>318</v>
      </c>
      <c r="P351" s="37">
        <v>77</v>
      </c>
      <c r="Q351" s="46">
        <f t="shared" si="17"/>
        <v>24.2138364779874</v>
      </c>
      <c r="R351" s="37" t="s">
        <v>70</v>
      </c>
      <c r="S351" s="49" t="str">
        <f t="shared" si="15"/>
        <v>2024-11</v>
      </c>
      <c r="T351" s="37">
        <v>155</v>
      </c>
    </row>
    <row r="352" spans="1:20">
      <c r="A352" s="33" t="s">
        <v>1105</v>
      </c>
      <c r="B352" s="45">
        <v>45506</v>
      </c>
      <c r="C352" s="33" t="s">
        <v>94</v>
      </c>
      <c r="D352" s="33" t="s">
        <v>95</v>
      </c>
      <c r="E352" s="33" t="s">
        <v>96</v>
      </c>
      <c r="F352" s="33" t="s">
        <v>54</v>
      </c>
      <c r="G352" s="33" t="str">
        <f t="shared" si="16"/>
        <v>Las Vegas → Chicago</v>
      </c>
      <c r="H352" s="33" t="s">
        <v>55</v>
      </c>
      <c r="I352" s="33" t="s">
        <v>378</v>
      </c>
      <c r="J352" s="33" t="s">
        <v>1107</v>
      </c>
      <c r="K352" s="33">
        <v>191</v>
      </c>
      <c r="L352" s="33">
        <v>2678</v>
      </c>
      <c r="M352" s="33">
        <v>625.65</v>
      </c>
      <c r="N352" s="33" t="s">
        <v>44</v>
      </c>
      <c r="O352" s="33">
        <v>191</v>
      </c>
      <c r="P352" s="33">
        <v>82</v>
      </c>
      <c r="Q352" s="46">
        <f t="shared" si="17"/>
        <v>42.931937172774902</v>
      </c>
      <c r="R352" s="33" t="s">
        <v>70</v>
      </c>
      <c r="S352" s="47" t="str">
        <f t="shared" si="15"/>
        <v>2024-08</v>
      </c>
      <c r="T352" s="33">
        <v>75</v>
      </c>
    </row>
    <row r="353" spans="1:20">
      <c r="A353" s="37" t="s">
        <v>1108</v>
      </c>
      <c r="B353" s="48">
        <v>44766</v>
      </c>
      <c r="C353" s="33" t="s">
        <v>1462</v>
      </c>
      <c r="D353" s="37" t="s">
        <v>48</v>
      </c>
      <c r="E353" s="37" t="s">
        <v>49</v>
      </c>
      <c r="F353" s="37" t="s">
        <v>54</v>
      </c>
      <c r="G353" s="33" t="str">
        <f t="shared" si="16"/>
        <v>San Diego → Chicago</v>
      </c>
      <c r="H353" s="37" t="s">
        <v>55</v>
      </c>
      <c r="I353" s="37" t="s">
        <v>68</v>
      </c>
      <c r="J353" s="37" t="s">
        <v>418</v>
      </c>
      <c r="K353" s="37">
        <v>338</v>
      </c>
      <c r="L353" s="37">
        <v>2145</v>
      </c>
      <c r="M353" s="37">
        <v>447.75</v>
      </c>
      <c r="N353" s="37" t="s">
        <v>27</v>
      </c>
      <c r="O353" s="37">
        <v>178</v>
      </c>
      <c r="P353" s="37">
        <v>89</v>
      </c>
      <c r="Q353" s="46">
        <f t="shared" si="17"/>
        <v>50</v>
      </c>
      <c r="R353" s="37" t="s">
        <v>28</v>
      </c>
      <c r="S353" s="49" t="str">
        <f t="shared" si="15"/>
        <v>2022-07</v>
      </c>
      <c r="T353" s="37">
        <v>0</v>
      </c>
    </row>
    <row r="354" spans="1:20">
      <c r="A354" s="33" t="s">
        <v>1110</v>
      </c>
      <c r="B354" s="45">
        <v>45308</v>
      </c>
      <c r="C354" s="33" t="s">
        <v>47</v>
      </c>
      <c r="D354" s="33" t="s">
        <v>129</v>
      </c>
      <c r="E354" s="33" t="s">
        <v>130</v>
      </c>
      <c r="F354" s="33" t="s">
        <v>38</v>
      </c>
      <c r="G354" s="33" t="str">
        <f t="shared" si="16"/>
        <v>Detroit → Miami</v>
      </c>
      <c r="H354" s="33" t="s">
        <v>39</v>
      </c>
      <c r="I354" s="33" t="s">
        <v>382</v>
      </c>
      <c r="J354" s="33" t="s">
        <v>370</v>
      </c>
      <c r="K354" s="33">
        <v>216</v>
      </c>
      <c r="L354" s="33">
        <v>1207</v>
      </c>
      <c r="M354" s="33">
        <v>877.66</v>
      </c>
      <c r="N354" s="33" t="s">
        <v>27</v>
      </c>
      <c r="O354" s="33">
        <v>211</v>
      </c>
      <c r="P354" s="33">
        <v>120</v>
      </c>
      <c r="Q354" s="46">
        <f t="shared" si="17"/>
        <v>56.872037914691902</v>
      </c>
      <c r="R354" s="33" t="s">
        <v>70</v>
      </c>
      <c r="S354" s="47" t="str">
        <f t="shared" si="15"/>
        <v>2024-01</v>
      </c>
      <c r="T354" s="33">
        <v>49</v>
      </c>
    </row>
    <row r="355" spans="1:20">
      <c r="A355" s="37" t="s">
        <v>1112</v>
      </c>
      <c r="B355" s="48">
        <v>45241</v>
      </c>
      <c r="C355" s="33" t="s">
        <v>115</v>
      </c>
      <c r="D355" s="37" t="s">
        <v>40</v>
      </c>
      <c r="E355" s="37" t="s">
        <v>41</v>
      </c>
      <c r="F355" s="37" t="s">
        <v>79</v>
      </c>
      <c r="G355" s="33" t="str">
        <f t="shared" si="16"/>
        <v>Charlotte → Newark</v>
      </c>
      <c r="H355" s="37" t="s">
        <v>80</v>
      </c>
      <c r="I355" s="37" t="s">
        <v>162</v>
      </c>
      <c r="J355" s="37" t="s">
        <v>1113</v>
      </c>
      <c r="K355" s="37">
        <v>339</v>
      </c>
      <c r="L355" s="37">
        <v>2559</v>
      </c>
      <c r="M355" s="37">
        <v>201.89</v>
      </c>
      <c r="N355" s="37" t="s">
        <v>27</v>
      </c>
      <c r="O355" s="37">
        <v>255</v>
      </c>
      <c r="P355" s="37">
        <v>70</v>
      </c>
      <c r="Q355" s="46">
        <f t="shared" si="17"/>
        <v>27.4509803921569</v>
      </c>
      <c r="R355" s="37" t="s">
        <v>70</v>
      </c>
      <c r="S355" s="49" t="str">
        <f t="shared" si="15"/>
        <v>2023-11</v>
      </c>
      <c r="T355" s="37">
        <v>50</v>
      </c>
    </row>
    <row r="356" spans="1:20">
      <c r="A356" s="33" t="s">
        <v>1114</v>
      </c>
      <c r="B356" s="45">
        <v>44964</v>
      </c>
      <c r="C356" s="33" t="s">
        <v>1462</v>
      </c>
      <c r="D356" s="33" t="s">
        <v>54</v>
      </c>
      <c r="E356" s="33" t="s">
        <v>55</v>
      </c>
      <c r="F356" s="33" t="s">
        <v>197</v>
      </c>
      <c r="G356" s="33" t="str">
        <f t="shared" si="16"/>
        <v>Chicago → Atlanta</v>
      </c>
      <c r="H356" s="33" t="s">
        <v>198</v>
      </c>
      <c r="I356" s="33" t="s">
        <v>317</v>
      </c>
      <c r="J356" s="33" t="s">
        <v>1023</v>
      </c>
      <c r="K356" s="33">
        <v>387</v>
      </c>
      <c r="L356" s="33">
        <v>2671</v>
      </c>
      <c r="M356" s="33">
        <v>533.75</v>
      </c>
      <c r="N356" s="33" t="s">
        <v>27</v>
      </c>
      <c r="O356" s="33">
        <v>154</v>
      </c>
      <c r="P356" s="33">
        <v>54</v>
      </c>
      <c r="Q356" s="46">
        <f t="shared" si="17"/>
        <v>35.064935064935099</v>
      </c>
      <c r="R356" s="33" t="s">
        <v>28</v>
      </c>
      <c r="S356" s="47" t="str">
        <f t="shared" si="15"/>
        <v>2023-02</v>
      </c>
      <c r="T356" s="33">
        <v>0</v>
      </c>
    </row>
    <row r="357" spans="1:20" ht="25.5">
      <c r="A357" s="37" t="s">
        <v>1116</v>
      </c>
      <c r="B357" s="48">
        <v>45528</v>
      </c>
      <c r="C357" s="33" t="s">
        <v>63</v>
      </c>
      <c r="D357" s="37" t="s">
        <v>64</v>
      </c>
      <c r="E357" s="37" t="s">
        <v>65</v>
      </c>
      <c r="F357" s="37" t="s">
        <v>129</v>
      </c>
      <c r="G357" s="33" t="str">
        <f t="shared" si="16"/>
        <v>San Francisco → Detroit</v>
      </c>
      <c r="H357" s="37" t="s">
        <v>130</v>
      </c>
      <c r="I357" s="37" t="s">
        <v>75</v>
      </c>
      <c r="J357" s="37" t="s">
        <v>485</v>
      </c>
      <c r="K357" s="37">
        <v>158</v>
      </c>
      <c r="L357" s="37">
        <v>2203</v>
      </c>
      <c r="M357" s="37">
        <v>641.26</v>
      </c>
      <c r="N357" s="37" t="s">
        <v>60</v>
      </c>
      <c r="O357" s="37">
        <v>201</v>
      </c>
      <c r="P357" s="37">
        <v>143</v>
      </c>
      <c r="Q357" s="46">
        <f t="shared" si="17"/>
        <v>71.144278606965202</v>
      </c>
      <c r="R357" s="37" t="s">
        <v>28</v>
      </c>
      <c r="S357" s="49" t="str">
        <f t="shared" si="15"/>
        <v>2024-08</v>
      </c>
      <c r="T357" s="37">
        <v>0</v>
      </c>
    </row>
    <row r="358" spans="1:20">
      <c r="A358" s="33" t="s">
        <v>1118</v>
      </c>
      <c r="B358" s="45">
        <v>45051</v>
      </c>
      <c r="C358" s="33" t="s">
        <v>63</v>
      </c>
      <c r="D358" s="33" t="s">
        <v>116</v>
      </c>
      <c r="E358" s="33" t="s">
        <v>117</v>
      </c>
      <c r="F358" s="33" t="s">
        <v>101</v>
      </c>
      <c r="G358" s="33" t="str">
        <f t="shared" si="16"/>
        <v>Houston → Dallas</v>
      </c>
      <c r="H358" s="33" t="s">
        <v>102</v>
      </c>
      <c r="I358" s="33" t="s">
        <v>473</v>
      </c>
      <c r="J358" s="33" t="s">
        <v>579</v>
      </c>
      <c r="K358" s="33">
        <v>181</v>
      </c>
      <c r="L358" s="33">
        <v>2619</v>
      </c>
      <c r="M358" s="33">
        <v>1142.56</v>
      </c>
      <c r="N358" s="33" t="s">
        <v>27</v>
      </c>
      <c r="O358" s="33">
        <v>323</v>
      </c>
      <c r="P358" s="33">
        <v>124</v>
      </c>
      <c r="Q358" s="46">
        <f t="shared" si="17"/>
        <v>38.390092879256997</v>
      </c>
      <c r="R358" s="33" t="s">
        <v>70</v>
      </c>
      <c r="S358" s="47" t="str">
        <f t="shared" si="15"/>
        <v>2023-05</v>
      </c>
      <c r="T358" s="33">
        <v>138</v>
      </c>
    </row>
    <row r="359" spans="1:20">
      <c r="A359" s="37" t="s">
        <v>1120</v>
      </c>
      <c r="B359" s="48">
        <v>45296</v>
      </c>
      <c r="C359" s="33" t="s">
        <v>20</v>
      </c>
      <c r="D359" s="37" t="s">
        <v>23</v>
      </c>
      <c r="E359" s="37" t="s">
        <v>24</v>
      </c>
      <c r="F359" s="37" t="s">
        <v>116</v>
      </c>
      <c r="G359" s="33" t="str">
        <f t="shared" si="16"/>
        <v>Denver → Houston</v>
      </c>
      <c r="H359" s="37" t="s">
        <v>117</v>
      </c>
      <c r="I359" s="37" t="s">
        <v>426</v>
      </c>
      <c r="J359" s="37" t="s">
        <v>248</v>
      </c>
      <c r="K359" s="37">
        <v>225</v>
      </c>
      <c r="L359" s="37">
        <v>1813</v>
      </c>
      <c r="M359" s="37">
        <v>342.1</v>
      </c>
      <c r="N359" s="37" t="s">
        <v>27</v>
      </c>
      <c r="O359" s="37">
        <v>152</v>
      </c>
      <c r="P359" s="37">
        <v>116</v>
      </c>
      <c r="Q359" s="46">
        <f t="shared" si="17"/>
        <v>76.315789473684205</v>
      </c>
      <c r="R359" s="37" t="s">
        <v>70</v>
      </c>
      <c r="S359" s="49" t="str">
        <f t="shared" si="15"/>
        <v>2024-01</v>
      </c>
      <c r="T359" s="37">
        <v>107</v>
      </c>
    </row>
    <row r="360" spans="1:20" ht="25.5">
      <c r="A360" s="33" t="s">
        <v>1122</v>
      </c>
      <c r="B360" s="45">
        <v>45356</v>
      </c>
      <c r="C360" s="33" t="s">
        <v>115</v>
      </c>
      <c r="D360" s="33" t="s">
        <v>40</v>
      </c>
      <c r="E360" s="33" t="s">
        <v>41</v>
      </c>
      <c r="F360" s="33" t="s">
        <v>56</v>
      </c>
      <c r="G360" s="33" t="str">
        <f t="shared" si="16"/>
        <v>Charlotte → Los Angeles</v>
      </c>
      <c r="H360" s="33" t="s">
        <v>57</v>
      </c>
      <c r="I360" s="33" t="s">
        <v>179</v>
      </c>
      <c r="J360" s="33" t="s">
        <v>1124</v>
      </c>
      <c r="K360" s="33">
        <v>142</v>
      </c>
      <c r="L360" s="33">
        <v>2435</v>
      </c>
      <c r="M360" s="33">
        <v>789.6</v>
      </c>
      <c r="N360" s="33" t="s">
        <v>44</v>
      </c>
      <c r="O360" s="33">
        <v>313</v>
      </c>
      <c r="P360" s="33">
        <v>184</v>
      </c>
      <c r="Q360" s="46">
        <f t="shared" si="17"/>
        <v>58.785942492012801</v>
      </c>
      <c r="R360" s="33" t="s">
        <v>28</v>
      </c>
      <c r="S360" s="47" t="str">
        <f t="shared" si="15"/>
        <v>2024-03</v>
      </c>
      <c r="T360" s="33">
        <v>0</v>
      </c>
    </row>
    <row r="361" spans="1:20" ht="25.5">
      <c r="A361" s="37" t="s">
        <v>1125</v>
      </c>
      <c r="B361" s="48">
        <v>44918</v>
      </c>
      <c r="C361" s="33" t="s">
        <v>73</v>
      </c>
      <c r="D361" s="37" t="s">
        <v>66</v>
      </c>
      <c r="E361" s="37" t="s">
        <v>67</v>
      </c>
      <c r="F361" s="37" t="s">
        <v>64</v>
      </c>
      <c r="G361" s="33" t="str">
        <f t="shared" si="16"/>
        <v>Minneapolis → San Francisco</v>
      </c>
      <c r="H361" s="37" t="s">
        <v>65</v>
      </c>
      <c r="I361" s="37" t="s">
        <v>244</v>
      </c>
      <c r="J361" s="37" t="s">
        <v>1126</v>
      </c>
      <c r="K361" s="37">
        <v>354</v>
      </c>
      <c r="L361" s="37">
        <v>1330</v>
      </c>
      <c r="M361" s="37">
        <v>501.49</v>
      </c>
      <c r="N361" s="37" t="s">
        <v>60</v>
      </c>
      <c r="O361" s="37">
        <v>232</v>
      </c>
      <c r="P361" s="37">
        <v>153</v>
      </c>
      <c r="Q361" s="46">
        <f t="shared" si="17"/>
        <v>65.948275862068996</v>
      </c>
      <c r="R361" s="37" t="s">
        <v>28</v>
      </c>
      <c r="S361" s="49" t="str">
        <f t="shared" si="15"/>
        <v>2022-12</v>
      </c>
      <c r="T361" s="37">
        <v>0</v>
      </c>
    </row>
    <row r="362" spans="1:20">
      <c r="A362" s="33" t="s">
        <v>1127</v>
      </c>
      <c r="B362" s="45">
        <v>45268</v>
      </c>
      <c r="C362" s="33" t="s">
        <v>115</v>
      </c>
      <c r="D362" s="33" t="s">
        <v>79</v>
      </c>
      <c r="E362" s="33" t="s">
        <v>80</v>
      </c>
      <c r="F362" s="33" t="s">
        <v>174</v>
      </c>
      <c r="G362" s="33" t="str">
        <f t="shared" si="16"/>
        <v>Newark → New York</v>
      </c>
      <c r="H362" s="33" t="s">
        <v>175</v>
      </c>
      <c r="I362" s="33" t="s">
        <v>469</v>
      </c>
      <c r="J362" s="33" t="s">
        <v>216</v>
      </c>
      <c r="K362" s="33">
        <v>315</v>
      </c>
      <c r="L362" s="33">
        <v>978</v>
      </c>
      <c r="M362" s="33">
        <v>337.59</v>
      </c>
      <c r="N362" s="33" t="s">
        <v>27</v>
      </c>
      <c r="O362" s="33">
        <v>264</v>
      </c>
      <c r="P362" s="33">
        <v>121</v>
      </c>
      <c r="Q362" s="46">
        <f t="shared" si="17"/>
        <v>45.8333333333333</v>
      </c>
      <c r="R362" s="33" t="s">
        <v>28</v>
      </c>
      <c r="S362" s="47" t="str">
        <f t="shared" si="15"/>
        <v>2023-12</v>
      </c>
      <c r="T362" s="33">
        <v>0</v>
      </c>
    </row>
    <row r="363" spans="1:20" ht="25.5">
      <c r="A363" s="37" t="s">
        <v>1129</v>
      </c>
      <c r="B363" s="48">
        <v>44944</v>
      </c>
      <c r="C363" s="33" t="s">
        <v>63</v>
      </c>
      <c r="D363" s="37" t="s">
        <v>64</v>
      </c>
      <c r="E363" s="37" t="s">
        <v>65</v>
      </c>
      <c r="F363" s="37" t="s">
        <v>197</v>
      </c>
      <c r="G363" s="33" t="str">
        <f t="shared" si="16"/>
        <v>San Francisco → Atlanta</v>
      </c>
      <c r="H363" s="37" t="s">
        <v>198</v>
      </c>
      <c r="I363" s="37" t="s">
        <v>58</v>
      </c>
      <c r="J363" s="37" t="s">
        <v>1130</v>
      </c>
      <c r="K363" s="37">
        <v>302</v>
      </c>
      <c r="L363" s="37">
        <v>1652</v>
      </c>
      <c r="M363" s="37">
        <v>527.08500000000004</v>
      </c>
      <c r="N363" s="37" t="s">
        <v>44</v>
      </c>
      <c r="O363" s="37">
        <v>272</v>
      </c>
      <c r="P363" s="37">
        <v>172</v>
      </c>
      <c r="Q363" s="46">
        <f t="shared" si="17"/>
        <v>63.235294117647101</v>
      </c>
      <c r="R363" s="37" t="s">
        <v>28</v>
      </c>
      <c r="S363" s="49" t="str">
        <f t="shared" si="15"/>
        <v>2023-01</v>
      </c>
      <c r="T363" s="37">
        <v>0</v>
      </c>
    </row>
    <row r="364" spans="1:20">
      <c r="A364" s="33" t="s">
        <v>1131</v>
      </c>
      <c r="B364" s="45">
        <v>44892</v>
      </c>
      <c r="C364" s="33" t="s">
        <v>73</v>
      </c>
      <c r="D364" s="33" t="s">
        <v>174</v>
      </c>
      <c r="E364" s="33" t="s">
        <v>175</v>
      </c>
      <c r="F364" s="33" t="s">
        <v>21</v>
      </c>
      <c r="G364" s="33" t="str">
        <f t="shared" si="16"/>
        <v>New York → Boston</v>
      </c>
      <c r="H364" s="33" t="s">
        <v>22</v>
      </c>
      <c r="I364" s="33" t="s">
        <v>855</v>
      </c>
      <c r="J364" s="33" t="s">
        <v>1133</v>
      </c>
      <c r="K364" s="33">
        <v>383</v>
      </c>
      <c r="L364" s="33">
        <v>2726</v>
      </c>
      <c r="M364" s="33">
        <v>260.45999999999998</v>
      </c>
      <c r="N364" s="33" t="s">
        <v>27</v>
      </c>
      <c r="O364" s="33">
        <v>231</v>
      </c>
      <c r="P364" s="33">
        <v>60</v>
      </c>
      <c r="Q364" s="46">
        <f t="shared" si="17"/>
        <v>25.974025974025999</v>
      </c>
      <c r="R364" s="33" t="s">
        <v>70</v>
      </c>
      <c r="S364" s="47" t="str">
        <f t="shared" si="15"/>
        <v>2022-11</v>
      </c>
      <c r="T364" s="33">
        <v>52</v>
      </c>
    </row>
    <row r="365" spans="1:20">
      <c r="A365" s="37" t="s">
        <v>1134</v>
      </c>
      <c r="B365" s="48">
        <v>44676</v>
      </c>
      <c r="C365" s="33" t="s">
        <v>63</v>
      </c>
      <c r="D365" s="37" t="s">
        <v>21</v>
      </c>
      <c r="E365" s="37" t="s">
        <v>22</v>
      </c>
      <c r="F365" s="37" t="s">
        <v>38</v>
      </c>
      <c r="G365" s="33" t="str">
        <f t="shared" si="16"/>
        <v>Boston → Miami</v>
      </c>
      <c r="H365" s="37" t="s">
        <v>39</v>
      </c>
      <c r="I365" s="37" t="s">
        <v>626</v>
      </c>
      <c r="J365" s="37" t="s">
        <v>1136</v>
      </c>
      <c r="K365" s="37">
        <v>396</v>
      </c>
      <c r="L365" s="37">
        <v>2608</v>
      </c>
      <c r="M365" s="37">
        <v>794.14</v>
      </c>
      <c r="N365" s="37" t="s">
        <v>27</v>
      </c>
      <c r="O365" s="37">
        <v>286</v>
      </c>
      <c r="P365" s="37">
        <v>219</v>
      </c>
      <c r="Q365" s="46">
        <f t="shared" si="17"/>
        <v>76.573426573426602</v>
      </c>
      <c r="R365" s="37" t="s">
        <v>70</v>
      </c>
      <c r="S365" s="49" t="str">
        <f t="shared" si="15"/>
        <v>2022-04</v>
      </c>
      <c r="T365" s="37">
        <v>36</v>
      </c>
    </row>
    <row r="366" spans="1:20">
      <c r="A366" s="33" t="s">
        <v>1137</v>
      </c>
      <c r="B366" s="45">
        <v>45005</v>
      </c>
      <c r="C366" s="33" t="s">
        <v>115</v>
      </c>
      <c r="D366" s="33" t="s">
        <v>48</v>
      </c>
      <c r="E366" s="33" t="s">
        <v>49</v>
      </c>
      <c r="F366" s="33" t="s">
        <v>79</v>
      </c>
      <c r="G366" s="33" t="str">
        <f t="shared" si="16"/>
        <v>San Diego → Newark</v>
      </c>
      <c r="H366" s="33" t="s">
        <v>80</v>
      </c>
      <c r="I366" s="33" t="s">
        <v>642</v>
      </c>
      <c r="J366" s="33" t="s">
        <v>1139</v>
      </c>
      <c r="K366" s="33">
        <v>202</v>
      </c>
      <c r="L366" s="33">
        <v>1982</v>
      </c>
      <c r="M366" s="33">
        <v>752.94</v>
      </c>
      <c r="N366" s="33" t="s">
        <v>27</v>
      </c>
      <c r="O366" s="33">
        <v>310</v>
      </c>
      <c r="P366" s="33">
        <v>143</v>
      </c>
      <c r="Q366" s="46">
        <f t="shared" si="17"/>
        <v>46.129032258064498</v>
      </c>
      <c r="R366" s="33" t="s">
        <v>28</v>
      </c>
      <c r="S366" s="47" t="str">
        <f t="shared" si="15"/>
        <v>2023-03</v>
      </c>
      <c r="T366" s="33">
        <v>0</v>
      </c>
    </row>
    <row r="367" spans="1:20" ht="25.5">
      <c r="A367" s="37" t="s">
        <v>1140</v>
      </c>
      <c r="B367" s="48">
        <v>45608</v>
      </c>
      <c r="C367" s="33" t="s">
        <v>1462</v>
      </c>
      <c r="D367" s="37" t="s">
        <v>38</v>
      </c>
      <c r="E367" s="37" t="s">
        <v>39</v>
      </c>
      <c r="F367" s="37" t="s">
        <v>64</v>
      </c>
      <c r="G367" s="33" t="str">
        <f t="shared" si="16"/>
        <v>Miami → San Francisco</v>
      </c>
      <c r="H367" s="37" t="s">
        <v>65</v>
      </c>
      <c r="I367" s="37" t="s">
        <v>135</v>
      </c>
      <c r="J367" s="37" t="s">
        <v>1141</v>
      </c>
      <c r="K367" s="37">
        <v>207</v>
      </c>
      <c r="L367" s="37">
        <v>1849</v>
      </c>
      <c r="M367" s="37">
        <v>511.72</v>
      </c>
      <c r="N367" s="37" t="s">
        <v>60</v>
      </c>
      <c r="O367" s="37">
        <v>104</v>
      </c>
      <c r="P367" s="37">
        <v>62</v>
      </c>
      <c r="Q367" s="46">
        <f t="shared" si="17"/>
        <v>59.615384615384599</v>
      </c>
      <c r="R367" s="37" t="s">
        <v>28</v>
      </c>
      <c r="S367" s="49" t="str">
        <f t="shared" si="15"/>
        <v>2024-11</v>
      </c>
      <c r="T367" s="37">
        <v>0</v>
      </c>
    </row>
    <row r="368" spans="1:20">
      <c r="A368" s="33" t="s">
        <v>1142</v>
      </c>
      <c r="B368" s="45">
        <v>45594</v>
      </c>
      <c r="C368" s="33" t="s">
        <v>73</v>
      </c>
      <c r="D368" s="33" t="s">
        <v>101</v>
      </c>
      <c r="E368" s="33" t="s">
        <v>102</v>
      </c>
      <c r="F368" s="33" t="s">
        <v>197</v>
      </c>
      <c r="G368" s="33" t="str">
        <f t="shared" si="16"/>
        <v>Dallas → Atlanta</v>
      </c>
      <c r="H368" s="33" t="s">
        <v>198</v>
      </c>
      <c r="I368" s="33" t="s">
        <v>97</v>
      </c>
      <c r="J368" s="33" t="s">
        <v>270</v>
      </c>
      <c r="K368" s="33">
        <v>404</v>
      </c>
      <c r="L368" s="33">
        <v>2756</v>
      </c>
      <c r="M368" s="33">
        <v>123.72</v>
      </c>
      <c r="N368" s="33" t="s">
        <v>27</v>
      </c>
      <c r="O368" s="33">
        <v>228</v>
      </c>
      <c r="P368" s="33">
        <v>80</v>
      </c>
      <c r="Q368" s="46">
        <f t="shared" si="17"/>
        <v>35.087719298245602</v>
      </c>
      <c r="R368" s="33" t="s">
        <v>28</v>
      </c>
      <c r="S368" s="47" t="str">
        <f t="shared" si="15"/>
        <v>2024-10</v>
      </c>
      <c r="T368" s="33">
        <v>0</v>
      </c>
    </row>
    <row r="369" spans="1:20">
      <c r="A369" s="37" t="s">
        <v>1144</v>
      </c>
      <c r="B369" s="48">
        <v>44828</v>
      </c>
      <c r="C369" s="33" t="s">
        <v>20</v>
      </c>
      <c r="D369" s="37" t="s">
        <v>129</v>
      </c>
      <c r="E369" s="37" t="s">
        <v>130</v>
      </c>
      <c r="F369" s="37" t="s">
        <v>32</v>
      </c>
      <c r="G369" s="33" t="str">
        <f t="shared" si="16"/>
        <v>Detroit → Orlando</v>
      </c>
      <c r="H369" s="37" t="s">
        <v>33</v>
      </c>
      <c r="I369" s="37" t="s">
        <v>152</v>
      </c>
      <c r="J369" s="37" t="s">
        <v>1145</v>
      </c>
      <c r="K369" s="37">
        <v>112</v>
      </c>
      <c r="L369" s="37">
        <v>2470</v>
      </c>
      <c r="M369" s="37">
        <v>560.42999999999995</v>
      </c>
      <c r="N369" t="s">
        <v>1463</v>
      </c>
      <c r="O369" s="37">
        <v>302</v>
      </c>
      <c r="P369" s="37">
        <v>246</v>
      </c>
      <c r="Q369" s="46">
        <f t="shared" si="17"/>
        <v>81.456953642384093</v>
      </c>
      <c r="R369" s="37" t="s">
        <v>28</v>
      </c>
      <c r="S369" s="49" t="str">
        <f t="shared" si="15"/>
        <v>2022-09</v>
      </c>
      <c r="T369" s="37">
        <v>0</v>
      </c>
    </row>
    <row r="370" spans="1:20">
      <c r="A370" s="33" t="s">
        <v>1146</v>
      </c>
      <c r="B370" s="45">
        <v>44762</v>
      </c>
      <c r="C370" s="33" t="s">
        <v>73</v>
      </c>
      <c r="D370" s="33" t="s">
        <v>101</v>
      </c>
      <c r="E370" s="33" t="s">
        <v>102</v>
      </c>
      <c r="F370" s="33" t="s">
        <v>95</v>
      </c>
      <c r="G370" s="33" t="str">
        <f t="shared" si="16"/>
        <v>Dallas → Las Vegas</v>
      </c>
      <c r="H370" s="33" t="s">
        <v>96</v>
      </c>
      <c r="I370" s="33" t="s">
        <v>642</v>
      </c>
      <c r="J370" s="33" t="s">
        <v>1141</v>
      </c>
      <c r="K370" s="33">
        <v>132</v>
      </c>
      <c r="L370" s="33">
        <v>1460</v>
      </c>
      <c r="M370" s="33">
        <v>750.09</v>
      </c>
      <c r="N370" s="33" t="s">
        <v>27</v>
      </c>
      <c r="O370" s="33">
        <v>204</v>
      </c>
      <c r="P370" s="33">
        <v>115</v>
      </c>
      <c r="Q370" s="46">
        <f t="shared" si="17"/>
        <v>56.372549019607803</v>
      </c>
      <c r="R370" s="33" t="s">
        <v>28</v>
      </c>
      <c r="S370" s="47" t="str">
        <f t="shared" si="15"/>
        <v>2022-07</v>
      </c>
      <c r="T370" s="33">
        <v>0</v>
      </c>
    </row>
    <row r="371" spans="1:20">
      <c r="A371" s="37" t="s">
        <v>1148</v>
      </c>
      <c r="B371" s="48">
        <v>44576</v>
      </c>
      <c r="C371" s="33" t="s">
        <v>94</v>
      </c>
      <c r="D371" s="37" t="s">
        <v>116</v>
      </c>
      <c r="E371" s="37" t="s">
        <v>117</v>
      </c>
      <c r="F371" s="37" t="s">
        <v>174</v>
      </c>
      <c r="G371" s="33" t="str">
        <f t="shared" si="16"/>
        <v>Houston → New York</v>
      </c>
      <c r="H371" s="37" t="s">
        <v>175</v>
      </c>
      <c r="I371" s="37" t="s">
        <v>279</v>
      </c>
      <c r="J371" s="37" t="s">
        <v>1149</v>
      </c>
      <c r="K371" s="37">
        <v>442</v>
      </c>
      <c r="L371" s="37">
        <v>1593</v>
      </c>
      <c r="M371" s="37">
        <v>537.91</v>
      </c>
      <c r="N371" t="s">
        <v>1463</v>
      </c>
      <c r="O371" s="37">
        <v>139</v>
      </c>
      <c r="P371" s="37">
        <v>104</v>
      </c>
      <c r="Q371" s="46">
        <f t="shared" si="17"/>
        <v>74.820143884892104</v>
      </c>
      <c r="R371" s="37" t="s">
        <v>70</v>
      </c>
      <c r="S371" s="49" t="str">
        <f t="shared" si="15"/>
        <v>2022-01</v>
      </c>
      <c r="T371" s="37">
        <v>79</v>
      </c>
    </row>
    <row r="372" spans="1:20" ht="25.5">
      <c r="A372" s="33" t="s">
        <v>1150</v>
      </c>
      <c r="B372" s="45">
        <v>45097</v>
      </c>
      <c r="C372" s="33" t="s">
        <v>73</v>
      </c>
      <c r="D372" s="33" t="s">
        <v>54</v>
      </c>
      <c r="E372" s="33" t="s">
        <v>74</v>
      </c>
      <c r="F372" s="33" t="s">
        <v>64</v>
      </c>
      <c r="G372" s="33" t="str">
        <f t="shared" si="16"/>
        <v>Chicago → San Francisco</v>
      </c>
      <c r="H372" s="33" t="s">
        <v>65</v>
      </c>
      <c r="I372" s="33" t="s">
        <v>414</v>
      </c>
      <c r="J372" s="33" t="s">
        <v>1152</v>
      </c>
      <c r="K372" s="33">
        <v>438</v>
      </c>
      <c r="L372" s="33">
        <v>1927</v>
      </c>
      <c r="M372" s="33">
        <v>925.57</v>
      </c>
      <c r="N372" s="33" t="s">
        <v>44</v>
      </c>
      <c r="O372" s="33">
        <v>241</v>
      </c>
      <c r="P372" s="33">
        <v>192</v>
      </c>
      <c r="Q372" s="46">
        <f t="shared" si="17"/>
        <v>79.668049792531093</v>
      </c>
      <c r="R372" s="33" t="s">
        <v>28</v>
      </c>
      <c r="S372" s="47" t="str">
        <f t="shared" si="15"/>
        <v>2023-06</v>
      </c>
      <c r="T372" s="33">
        <v>0</v>
      </c>
    </row>
    <row r="373" spans="1:20">
      <c r="A373" s="37" t="s">
        <v>1153</v>
      </c>
      <c r="B373" s="48">
        <v>45320</v>
      </c>
      <c r="C373" s="33" t="s">
        <v>115</v>
      </c>
      <c r="D373" s="37" t="s">
        <v>21</v>
      </c>
      <c r="E373" s="37" t="s">
        <v>22</v>
      </c>
      <c r="F373" s="37" t="s">
        <v>156</v>
      </c>
      <c r="G373" s="33" t="str">
        <f t="shared" si="16"/>
        <v>Boston → Phoenix</v>
      </c>
      <c r="H373" s="37" t="s">
        <v>157</v>
      </c>
      <c r="I373" s="37" t="s">
        <v>591</v>
      </c>
      <c r="J373" s="37" t="s">
        <v>1155</v>
      </c>
      <c r="K373" s="37">
        <v>451</v>
      </c>
      <c r="L373" s="37">
        <v>1930</v>
      </c>
      <c r="M373" s="37">
        <v>496.71749999999997</v>
      </c>
      <c r="N373" s="37" t="s">
        <v>27</v>
      </c>
      <c r="O373" s="37">
        <v>130</v>
      </c>
      <c r="P373" s="37">
        <v>79</v>
      </c>
      <c r="Q373" s="46">
        <f t="shared" si="17"/>
        <v>60.769230769230802</v>
      </c>
      <c r="R373" s="37" t="s">
        <v>28</v>
      </c>
      <c r="S373" s="49" t="str">
        <f t="shared" si="15"/>
        <v>2024-01</v>
      </c>
      <c r="T373" s="37">
        <v>0</v>
      </c>
    </row>
    <row r="374" spans="1:20">
      <c r="A374" s="33" t="s">
        <v>1156</v>
      </c>
      <c r="B374" s="45">
        <v>44893</v>
      </c>
      <c r="C374" s="33" t="s">
        <v>94</v>
      </c>
      <c r="D374" s="33" t="s">
        <v>183</v>
      </c>
      <c r="E374" s="33" t="s">
        <v>184</v>
      </c>
      <c r="F374" s="33" t="s">
        <v>32</v>
      </c>
      <c r="G374" s="33" t="str">
        <f t="shared" si="16"/>
        <v>Seattle → Orlando</v>
      </c>
      <c r="H374" s="33" t="s">
        <v>33</v>
      </c>
      <c r="I374" s="33" t="s">
        <v>462</v>
      </c>
      <c r="J374" s="33" t="s">
        <v>1158</v>
      </c>
      <c r="K374" s="33">
        <v>371</v>
      </c>
      <c r="L374" s="33">
        <v>2815</v>
      </c>
      <c r="M374" s="33">
        <v>860.7</v>
      </c>
      <c r="N374" s="33" t="s">
        <v>27</v>
      </c>
      <c r="O374" s="33">
        <v>113</v>
      </c>
      <c r="P374" s="33">
        <v>70</v>
      </c>
      <c r="Q374" s="46">
        <f t="shared" si="17"/>
        <v>61.946902654867301</v>
      </c>
      <c r="R374" s="33" t="s">
        <v>28</v>
      </c>
      <c r="S374" s="47" t="str">
        <f t="shared" si="15"/>
        <v>2022-11</v>
      </c>
      <c r="T374" s="33">
        <v>0</v>
      </c>
    </row>
    <row r="375" spans="1:20">
      <c r="A375" s="37" t="s">
        <v>1159</v>
      </c>
      <c r="B375" s="48">
        <v>44572</v>
      </c>
      <c r="C375" s="33" t="s">
        <v>94</v>
      </c>
      <c r="D375" s="37" t="s">
        <v>101</v>
      </c>
      <c r="E375" s="37" t="s">
        <v>102</v>
      </c>
      <c r="F375" s="37" t="s">
        <v>116</v>
      </c>
      <c r="G375" s="33" t="str">
        <f t="shared" si="16"/>
        <v>Dallas → Houston</v>
      </c>
      <c r="H375" s="37" t="s">
        <v>117</v>
      </c>
      <c r="I375" s="37" t="s">
        <v>111</v>
      </c>
      <c r="J375" s="37" t="s">
        <v>545</v>
      </c>
      <c r="K375" s="37">
        <v>135</v>
      </c>
      <c r="L375" s="37">
        <v>562</v>
      </c>
      <c r="M375" s="37">
        <v>374.66</v>
      </c>
      <c r="N375" s="37" t="s">
        <v>44</v>
      </c>
      <c r="O375" s="37">
        <v>120</v>
      </c>
      <c r="P375" s="37">
        <v>54</v>
      </c>
      <c r="Q375" s="46">
        <f t="shared" si="17"/>
        <v>45</v>
      </c>
      <c r="R375" s="37" t="s">
        <v>70</v>
      </c>
      <c r="S375" s="49" t="str">
        <f t="shared" si="15"/>
        <v>2022-01</v>
      </c>
      <c r="T375" s="37">
        <v>117</v>
      </c>
    </row>
    <row r="376" spans="1:20" ht="25.5">
      <c r="A376" s="33" t="s">
        <v>1160</v>
      </c>
      <c r="B376" s="45">
        <v>45629</v>
      </c>
      <c r="C376" s="33" t="s">
        <v>1462</v>
      </c>
      <c r="D376" s="33" t="s">
        <v>48</v>
      </c>
      <c r="E376" s="33" t="s">
        <v>49</v>
      </c>
      <c r="F376" s="33" t="s">
        <v>56</v>
      </c>
      <c r="G376" s="33" t="str">
        <f t="shared" si="16"/>
        <v>San Diego → Los Angeles</v>
      </c>
      <c r="H376" s="33" t="s">
        <v>57</v>
      </c>
      <c r="I376" s="33" t="s">
        <v>97</v>
      </c>
      <c r="J376" s="33" t="s">
        <v>1162</v>
      </c>
      <c r="K376" s="33">
        <v>314</v>
      </c>
      <c r="L376" s="33">
        <v>343</v>
      </c>
      <c r="M376" s="33">
        <v>498.48</v>
      </c>
      <c r="N376" s="33" t="s">
        <v>27</v>
      </c>
      <c r="O376" s="33">
        <v>338</v>
      </c>
      <c r="P376" s="33">
        <v>315</v>
      </c>
      <c r="Q376" s="46">
        <f t="shared" si="17"/>
        <v>93.195266272189301</v>
      </c>
      <c r="R376" s="33" t="s">
        <v>28</v>
      </c>
      <c r="S376" s="47" t="str">
        <f t="shared" si="15"/>
        <v>2024-12</v>
      </c>
      <c r="T376" s="33">
        <v>0</v>
      </c>
    </row>
    <row r="377" spans="1:20">
      <c r="A377" s="37" t="s">
        <v>1163</v>
      </c>
      <c r="B377" s="48">
        <v>44630</v>
      </c>
      <c r="C377" s="33" t="s">
        <v>31</v>
      </c>
      <c r="D377" s="37" t="s">
        <v>48</v>
      </c>
      <c r="E377" s="37" t="s">
        <v>49</v>
      </c>
      <c r="F377" s="37" t="s">
        <v>38</v>
      </c>
      <c r="G377" s="33" t="str">
        <f t="shared" si="16"/>
        <v>San Diego → Miami</v>
      </c>
      <c r="H377" s="37" t="s">
        <v>39</v>
      </c>
      <c r="I377" s="37" t="s">
        <v>266</v>
      </c>
      <c r="J377" s="37" t="s">
        <v>1164</v>
      </c>
      <c r="K377" s="37">
        <v>274</v>
      </c>
      <c r="L377" s="37">
        <v>1279</v>
      </c>
      <c r="M377" s="37">
        <v>813.62</v>
      </c>
      <c r="N377" s="37" t="s">
        <v>60</v>
      </c>
      <c r="O377" s="37">
        <v>122</v>
      </c>
      <c r="P377" s="37">
        <v>85</v>
      </c>
      <c r="Q377" s="46">
        <f t="shared" si="17"/>
        <v>69.672131147540995</v>
      </c>
      <c r="R377" s="37" t="s">
        <v>70</v>
      </c>
      <c r="S377" s="49" t="str">
        <f t="shared" si="15"/>
        <v>2022-03</v>
      </c>
      <c r="T377" s="37">
        <v>105</v>
      </c>
    </row>
    <row r="378" spans="1:20">
      <c r="A378" s="33" t="s">
        <v>1165</v>
      </c>
      <c r="B378" s="45">
        <v>45371</v>
      </c>
      <c r="C378" s="33" t="s">
        <v>73</v>
      </c>
      <c r="D378" s="33" t="s">
        <v>54</v>
      </c>
      <c r="E378" s="33" t="s">
        <v>74</v>
      </c>
      <c r="F378" s="33" t="s">
        <v>183</v>
      </c>
      <c r="G378" s="33" t="str">
        <f t="shared" si="16"/>
        <v>Chicago → Seattle</v>
      </c>
      <c r="H378" s="33" t="s">
        <v>184</v>
      </c>
      <c r="I378" s="33" t="s">
        <v>712</v>
      </c>
      <c r="J378" s="33" t="s">
        <v>1167</v>
      </c>
      <c r="K378" s="33">
        <v>467</v>
      </c>
      <c r="L378" s="33">
        <v>581</v>
      </c>
      <c r="M378" s="33">
        <v>1109.48</v>
      </c>
      <c r="N378" s="33" t="s">
        <v>27</v>
      </c>
      <c r="O378" s="33">
        <v>172</v>
      </c>
      <c r="P378" s="33">
        <v>142</v>
      </c>
      <c r="Q378" s="46">
        <f t="shared" si="17"/>
        <v>82.558139534883693</v>
      </c>
      <c r="R378" s="33" t="s">
        <v>70</v>
      </c>
      <c r="S378" s="47" t="str">
        <f t="shared" si="15"/>
        <v>2024-03</v>
      </c>
      <c r="T378" s="33">
        <v>164</v>
      </c>
    </row>
    <row r="379" spans="1:20">
      <c r="A379" s="37" t="s">
        <v>1168</v>
      </c>
      <c r="B379" s="48">
        <v>45274</v>
      </c>
      <c r="C379" s="33" t="s">
        <v>47</v>
      </c>
      <c r="D379" s="37" t="s">
        <v>21</v>
      </c>
      <c r="E379" s="37" t="s">
        <v>22</v>
      </c>
      <c r="F379" s="37" t="s">
        <v>23</v>
      </c>
      <c r="G379" s="33" t="str">
        <f t="shared" si="16"/>
        <v>Boston → Denver</v>
      </c>
      <c r="H379" s="37" t="s">
        <v>24</v>
      </c>
      <c r="I379" s="37" t="s">
        <v>494</v>
      </c>
      <c r="J379" s="37" t="s">
        <v>320</v>
      </c>
      <c r="K379" s="37">
        <v>322</v>
      </c>
      <c r="L379" s="37">
        <v>1954</v>
      </c>
      <c r="M379" s="37">
        <v>627.39</v>
      </c>
      <c r="N379" s="37" t="s">
        <v>44</v>
      </c>
      <c r="O379" s="37">
        <v>144</v>
      </c>
      <c r="P379" s="37">
        <v>102</v>
      </c>
      <c r="Q379" s="46">
        <f t="shared" si="17"/>
        <v>70.8333333333333</v>
      </c>
      <c r="R379" s="37" t="s">
        <v>28</v>
      </c>
      <c r="S379" s="49" t="str">
        <f t="shared" si="15"/>
        <v>2023-12</v>
      </c>
      <c r="T379" s="37">
        <v>0</v>
      </c>
    </row>
    <row r="380" spans="1:20">
      <c r="A380" s="33" t="s">
        <v>1170</v>
      </c>
      <c r="B380" s="45">
        <v>44710</v>
      </c>
      <c r="C380" s="33" t="s">
        <v>1462</v>
      </c>
      <c r="D380" s="33" t="s">
        <v>156</v>
      </c>
      <c r="E380" s="33" t="s">
        <v>157</v>
      </c>
      <c r="F380" s="33" t="s">
        <v>197</v>
      </c>
      <c r="G380" s="33" t="str">
        <f t="shared" si="16"/>
        <v>Phoenix → Atlanta</v>
      </c>
      <c r="H380" s="33" t="s">
        <v>198</v>
      </c>
      <c r="I380" s="33" t="s">
        <v>90</v>
      </c>
      <c r="J380" s="33" t="s">
        <v>1172</v>
      </c>
      <c r="K380" s="33">
        <v>365</v>
      </c>
      <c r="L380" s="33">
        <v>2654</v>
      </c>
      <c r="M380" s="33">
        <v>360.16</v>
      </c>
      <c r="N380" s="33" t="s">
        <v>44</v>
      </c>
      <c r="O380" s="33">
        <v>347</v>
      </c>
      <c r="P380" s="33">
        <v>243</v>
      </c>
      <c r="Q380" s="46">
        <f t="shared" si="17"/>
        <v>70.028818443803999</v>
      </c>
      <c r="R380" s="33" t="s">
        <v>28</v>
      </c>
      <c r="S380" s="47" t="str">
        <f t="shared" si="15"/>
        <v>2022-05</v>
      </c>
      <c r="T380" s="33">
        <v>0</v>
      </c>
    </row>
    <row r="381" spans="1:20">
      <c r="A381" s="37" t="s">
        <v>1173</v>
      </c>
      <c r="B381" s="48">
        <v>45060</v>
      </c>
      <c r="C381" s="33" t="s">
        <v>47</v>
      </c>
      <c r="D381" s="37" t="s">
        <v>40</v>
      </c>
      <c r="E381" s="37" t="s">
        <v>41</v>
      </c>
      <c r="F381" s="37" t="s">
        <v>79</v>
      </c>
      <c r="G381" s="33" t="str">
        <f t="shared" si="16"/>
        <v>Charlotte → Newark</v>
      </c>
      <c r="H381" s="37" t="s">
        <v>80</v>
      </c>
      <c r="I381" s="37" t="s">
        <v>244</v>
      </c>
      <c r="J381" s="37" t="s">
        <v>1175</v>
      </c>
      <c r="K381" s="37">
        <v>336</v>
      </c>
      <c r="L381" s="37">
        <v>776</v>
      </c>
      <c r="M381" s="37">
        <v>368.76</v>
      </c>
      <c r="N381" s="37" t="s">
        <v>44</v>
      </c>
      <c r="O381" s="37">
        <v>262</v>
      </c>
      <c r="P381" s="37">
        <v>251</v>
      </c>
      <c r="Q381" s="46">
        <f t="shared" si="17"/>
        <v>95.801526717557294</v>
      </c>
      <c r="R381" s="37" t="s">
        <v>149</v>
      </c>
      <c r="S381" s="49" t="str">
        <f t="shared" si="15"/>
        <v>2023-05</v>
      </c>
      <c r="T381" s="37">
        <v>0</v>
      </c>
    </row>
    <row r="382" spans="1:20" ht="25.5">
      <c r="A382" s="33" t="s">
        <v>1176</v>
      </c>
      <c r="B382" s="45">
        <v>45032</v>
      </c>
      <c r="C382" s="33" t="s">
        <v>47</v>
      </c>
      <c r="D382" s="33" t="s">
        <v>129</v>
      </c>
      <c r="E382" s="33" t="s">
        <v>130</v>
      </c>
      <c r="F382" s="33" t="s">
        <v>64</v>
      </c>
      <c r="G382" s="33" t="str">
        <f t="shared" si="16"/>
        <v>Detroit → San Francisco</v>
      </c>
      <c r="H382" s="33" t="s">
        <v>65</v>
      </c>
      <c r="I382" s="33" t="s">
        <v>712</v>
      </c>
      <c r="J382" s="33" t="s">
        <v>82</v>
      </c>
      <c r="K382" s="33">
        <v>448</v>
      </c>
      <c r="L382" s="33">
        <v>1378</v>
      </c>
      <c r="M382" s="33">
        <v>358.05</v>
      </c>
      <c r="N382" s="33" t="s">
        <v>60</v>
      </c>
      <c r="O382" s="33">
        <v>202</v>
      </c>
      <c r="P382" s="33">
        <v>137</v>
      </c>
      <c r="Q382" s="46">
        <f t="shared" si="17"/>
        <v>67.821782178217802</v>
      </c>
      <c r="R382" s="33" t="s">
        <v>28</v>
      </c>
      <c r="S382" s="47" t="str">
        <f t="shared" si="15"/>
        <v>2023-04</v>
      </c>
      <c r="T382" s="33">
        <v>0</v>
      </c>
    </row>
    <row r="383" spans="1:20" ht="25.5">
      <c r="A383" s="37" t="s">
        <v>1178</v>
      </c>
      <c r="B383" s="48">
        <v>44927</v>
      </c>
      <c r="C383" s="33" t="s">
        <v>115</v>
      </c>
      <c r="D383" s="37" t="s">
        <v>156</v>
      </c>
      <c r="E383" s="37" t="s">
        <v>157</v>
      </c>
      <c r="F383" s="37" t="s">
        <v>66</v>
      </c>
      <c r="G383" s="33" t="str">
        <f t="shared" si="16"/>
        <v>Phoenix → Minneapolis</v>
      </c>
      <c r="H383" s="37" t="s">
        <v>67</v>
      </c>
      <c r="I383" s="37" t="s">
        <v>68</v>
      </c>
      <c r="J383" s="37" t="s">
        <v>1180</v>
      </c>
      <c r="K383" s="37">
        <v>183</v>
      </c>
      <c r="L383" s="37">
        <v>1078</v>
      </c>
      <c r="M383" s="37">
        <v>638.88</v>
      </c>
      <c r="N383" s="37" t="s">
        <v>60</v>
      </c>
      <c r="O383" s="37">
        <v>160</v>
      </c>
      <c r="P383" s="37">
        <v>144</v>
      </c>
      <c r="Q383" s="46">
        <f t="shared" si="17"/>
        <v>90</v>
      </c>
      <c r="R383" s="37" t="s">
        <v>28</v>
      </c>
      <c r="S383" s="49" t="str">
        <f t="shared" si="15"/>
        <v>2023-01</v>
      </c>
      <c r="T383" s="37">
        <v>0</v>
      </c>
    </row>
    <row r="384" spans="1:20">
      <c r="A384" s="33" t="s">
        <v>1181</v>
      </c>
      <c r="B384" s="45">
        <v>45105</v>
      </c>
      <c r="C384" s="33" t="s">
        <v>31</v>
      </c>
      <c r="D384" s="33" t="s">
        <v>23</v>
      </c>
      <c r="E384" s="33" t="s">
        <v>24</v>
      </c>
      <c r="F384" s="33" t="s">
        <v>183</v>
      </c>
      <c r="G384" s="33" t="str">
        <f t="shared" si="16"/>
        <v>Denver → Seattle</v>
      </c>
      <c r="H384" s="33" t="s">
        <v>184</v>
      </c>
      <c r="I384" s="33" t="s">
        <v>75</v>
      </c>
      <c r="J384" s="33" t="s">
        <v>1182</v>
      </c>
      <c r="K384" s="33">
        <v>169</v>
      </c>
      <c r="L384" s="33">
        <v>736</v>
      </c>
      <c r="M384" s="33">
        <v>214.26</v>
      </c>
      <c r="N384" s="33" t="s">
        <v>60</v>
      </c>
      <c r="O384" s="33">
        <v>273</v>
      </c>
      <c r="P384" s="33">
        <v>219</v>
      </c>
      <c r="Q384" s="46">
        <f t="shared" si="17"/>
        <v>80.219780219780205</v>
      </c>
      <c r="R384" s="33" t="s">
        <v>28</v>
      </c>
      <c r="S384" s="47" t="str">
        <f t="shared" si="15"/>
        <v>2023-06</v>
      </c>
      <c r="T384" s="33">
        <v>0</v>
      </c>
    </row>
    <row r="385" spans="1:20" ht="25.5">
      <c r="A385" s="37" t="s">
        <v>1183</v>
      </c>
      <c r="B385" s="48">
        <v>44575</v>
      </c>
      <c r="C385" s="33" t="s">
        <v>20</v>
      </c>
      <c r="D385" s="37" t="s">
        <v>79</v>
      </c>
      <c r="E385" s="37" t="s">
        <v>80</v>
      </c>
      <c r="F385" s="37" t="s">
        <v>64</v>
      </c>
      <c r="G385" s="33" t="str">
        <f t="shared" si="16"/>
        <v>Newark → San Francisco</v>
      </c>
      <c r="H385" s="37" t="s">
        <v>65</v>
      </c>
      <c r="I385" s="37" t="s">
        <v>414</v>
      </c>
      <c r="J385" s="37" t="s">
        <v>1185</v>
      </c>
      <c r="K385" s="37">
        <v>342</v>
      </c>
      <c r="L385" s="37">
        <v>2653</v>
      </c>
      <c r="M385" s="37">
        <v>1053.02</v>
      </c>
      <c r="N385" s="37" t="s">
        <v>44</v>
      </c>
      <c r="O385" s="37">
        <v>146</v>
      </c>
      <c r="P385" s="37">
        <v>115</v>
      </c>
      <c r="Q385" s="46">
        <f t="shared" si="17"/>
        <v>78.767123287671197</v>
      </c>
      <c r="R385" s="37" t="s">
        <v>28</v>
      </c>
      <c r="S385" s="49" t="str">
        <f t="shared" si="15"/>
        <v>2022-01</v>
      </c>
      <c r="T385" s="37">
        <v>0</v>
      </c>
    </row>
    <row r="386" spans="1:20" ht="25.5">
      <c r="A386" s="33" t="s">
        <v>1186</v>
      </c>
      <c r="B386" s="45">
        <v>45016</v>
      </c>
      <c r="C386" s="33" t="s">
        <v>63</v>
      </c>
      <c r="D386" s="33" t="s">
        <v>56</v>
      </c>
      <c r="E386" s="33" t="s">
        <v>57</v>
      </c>
      <c r="F386" s="33" t="s">
        <v>32</v>
      </c>
      <c r="G386" s="33" t="str">
        <f t="shared" si="16"/>
        <v>Los Angeles → Orlando</v>
      </c>
      <c r="H386" s="33" t="s">
        <v>33</v>
      </c>
      <c r="I386" s="33" t="s">
        <v>226</v>
      </c>
      <c r="J386" s="33" t="s">
        <v>1188</v>
      </c>
      <c r="K386" s="33">
        <v>366</v>
      </c>
      <c r="L386" s="33">
        <v>433</v>
      </c>
      <c r="M386" s="33">
        <v>642.77</v>
      </c>
      <c r="N386" s="33" t="s">
        <v>44</v>
      </c>
      <c r="O386" s="33">
        <v>320</v>
      </c>
      <c r="P386" s="33">
        <v>139</v>
      </c>
      <c r="Q386" s="46">
        <f t="shared" si="17"/>
        <v>43.4375</v>
      </c>
      <c r="R386" s="33" t="s">
        <v>28</v>
      </c>
      <c r="S386" s="47" t="str">
        <f t="shared" ref="S386:S449" si="18">TEXT(B386,"YYYY-MM")</f>
        <v>2023-03</v>
      </c>
      <c r="T386" s="33">
        <v>0</v>
      </c>
    </row>
    <row r="387" spans="1:20">
      <c r="A387" s="37" t="s">
        <v>1189</v>
      </c>
      <c r="B387" s="48">
        <v>44808</v>
      </c>
      <c r="C387" s="33" t="s">
        <v>115</v>
      </c>
      <c r="D387" s="37" t="s">
        <v>156</v>
      </c>
      <c r="E387" s="37" t="s">
        <v>157</v>
      </c>
      <c r="F387" s="37" t="s">
        <v>174</v>
      </c>
      <c r="G387" s="33" t="str">
        <f t="shared" ref="G387:G450" si="19">D387&amp;" → "&amp;F387</f>
        <v>Phoenix → New York</v>
      </c>
      <c r="H387" s="37" t="s">
        <v>175</v>
      </c>
      <c r="I387" s="37" t="s">
        <v>252</v>
      </c>
      <c r="J387" s="37" t="s">
        <v>1191</v>
      </c>
      <c r="K387" s="37">
        <v>284</v>
      </c>
      <c r="L387" s="37">
        <v>2679</v>
      </c>
      <c r="M387" s="37">
        <v>192.84</v>
      </c>
      <c r="N387" s="37" t="s">
        <v>44</v>
      </c>
      <c r="O387" s="37">
        <v>256</v>
      </c>
      <c r="P387" s="37">
        <v>116</v>
      </c>
      <c r="Q387" s="46">
        <f t="shared" ref="Q387:Q450" si="20">P387/O387*100</f>
        <v>45.3125</v>
      </c>
      <c r="R387" s="37" t="s">
        <v>28</v>
      </c>
      <c r="S387" s="49" t="str">
        <f t="shared" si="18"/>
        <v>2022-09</v>
      </c>
      <c r="T387" s="37">
        <v>0</v>
      </c>
    </row>
    <row r="388" spans="1:20">
      <c r="A388" s="33" t="s">
        <v>1192</v>
      </c>
      <c r="B388" s="45">
        <v>45100</v>
      </c>
      <c r="C388" s="33" t="s">
        <v>31</v>
      </c>
      <c r="D388" s="33" t="s">
        <v>21</v>
      </c>
      <c r="E388" s="33" t="s">
        <v>22</v>
      </c>
      <c r="F388" s="33" t="s">
        <v>116</v>
      </c>
      <c r="G388" s="33" t="str">
        <f t="shared" si="19"/>
        <v>Boston → Houston</v>
      </c>
      <c r="H388" s="33" t="s">
        <v>117</v>
      </c>
      <c r="I388" s="33" t="s">
        <v>414</v>
      </c>
      <c r="J388" s="33" t="s">
        <v>539</v>
      </c>
      <c r="K388" s="33">
        <v>277</v>
      </c>
      <c r="L388" s="33">
        <v>1053</v>
      </c>
      <c r="M388" s="33">
        <v>638.62</v>
      </c>
      <c r="N388" s="33" t="s">
        <v>60</v>
      </c>
      <c r="O388" s="33">
        <v>207</v>
      </c>
      <c r="P388" s="33">
        <v>145</v>
      </c>
      <c r="Q388" s="46">
        <f t="shared" si="20"/>
        <v>70.048309178744006</v>
      </c>
      <c r="R388" s="33" t="s">
        <v>28</v>
      </c>
      <c r="S388" s="47" t="str">
        <f t="shared" si="18"/>
        <v>2023-06</v>
      </c>
      <c r="T388" s="33">
        <v>0</v>
      </c>
    </row>
    <row r="389" spans="1:20">
      <c r="A389" s="37" t="s">
        <v>1194</v>
      </c>
      <c r="B389" s="48">
        <v>45382</v>
      </c>
      <c r="C389" s="33" t="s">
        <v>1462</v>
      </c>
      <c r="D389" s="37" t="s">
        <v>40</v>
      </c>
      <c r="E389" s="37" t="s">
        <v>41</v>
      </c>
      <c r="F389" s="37" t="s">
        <v>38</v>
      </c>
      <c r="G389" s="33" t="str">
        <f t="shared" si="19"/>
        <v>Charlotte → Miami</v>
      </c>
      <c r="H389" s="37" t="s">
        <v>39</v>
      </c>
      <c r="I389" s="37" t="s">
        <v>259</v>
      </c>
      <c r="J389" s="37" t="s">
        <v>1195</v>
      </c>
      <c r="K389" s="37">
        <v>384</v>
      </c>
      <c r="L389" s="37">
        <v>1236</v>
      </c>
      <c r="M389" s="37">
        <v>991.89</v>
      </c>
      <c r="N389" s="37" t="s">
        <v>27</v>
      </c>
      <c r="O389" s="37">
        <v>169</v>
      </c>
      <c r="P389" s="37">
        <v>152</v>
      </c>
      <c r="Q389" s="46">
        <f t="shared" si="20"/>
        <v>89.940828402366904</v>
      </c>
      <c r="R389" s="37" t="s">
        <v>28</v>
      </c>
      <c r="S389" s="49" t="str">
        <f t="shared" si="18"/>
        <v>2024-03</v>
      </c>
      <c r="T389" s="37">
        <v>0</v>
      </c>
    </row>
    <row r="390" spans="1:20">
      <c r="A390" s="33" t="s">
        <v>1196</v>
      </c>
      <c r="B390" s="45">
        <v>45447</v>
      </c>
      <c r="C390" s="33" t="s">
        <v>73</v>
      </c>
      <c r="D390" s="33" t="s">
        <v>183</v>
      </c>
      <c r="E390" s="33" t="s">
        <v>184</v>
      </c>
      <c r="F390" s="33" t="s">
        <v>101</v>
      </c>
      <c r="G390" s="33" t="str">
        <f t="shared" si="19"/>
        <v>Seattle → Dallas</v>
      </c>
      <c r="H390" s="33" t="s">
        <v>102</v>
      </c>
      <c r="I390" s="33" t="s">
        <v>338</v>
      </c>
      <c r="J390" s="33" t="s">
        <v>180</v>
      </c>
      <c r="K390" s="33">
        <v>332</v>
      </c>
      <c r="L390" s="33">
        <v>339</v>
      </c>
      <c r="M390" s="33">
        <v>587.19000000000005</v>
      </c>
      <c r="N390" s="33" t="s">
        <v>44</v>
      </c>
      <c r="O390" s="33">
        <v>134</v>
      </c>
      <c r="P390" s="33">
        <v>130</v>
      </c>
      <c r="Q390" s="46">
        <f t="shared" si="20"/>
        <v>97.014925373134304</v>
      </c>
      <c r="R390" s="33" t="s">
        <v>28</v>
      </c>
      <c r="S390" s="47" t="str">
        <f t="shared" si="18"/>
        <v>2024-06</v>
      </c>
      <c r="T390" s="33">
        <v>0</v>
      </c>
    </row>
    <row r="391" spans="1:20">
      <c r="A391" s="37" t="s">
        <v>1198</v>
      </c>
      <c r="B391" s="48">
        <v>45208</v>
      </c>
      <c r="C391" s="33" t="s">
        <v>115</v>
      </c>
      <c r="D391" s="37" t="s">
        <v>95</v>
      </c>
      <c r="E391" s="37" t="s">
        <v>96</v>
      </c>
      <c r="F391" s="37" t="s">
        <v>21</v>
      </c>
      <c r="G391" s="33" t="str">
        <f t="shared" si="19"/>
        <v>Las Vegas → Boston</v>
      </c>
      <c r="H391" s="37" t="s">
        <v>22</v>
      </c>
      <c r="I391" s="37" t="s">
        <v>571</v>
      </c>
      <c r="J391" s="37" t="s">
        <v>1200</v>
      </c>
      <c r="K391" s="37">
        <v>293</v>
      </c>
      <c r="L391" s="37">
        <v>705</v>
      </c>
      <c r="M391" s="37">
        <v>853.41</v>
      </c>
      <c r="N391" s="37" t="s">
        <v>60</v>
      </c>
      <c r="O391" s="37">
        <v>155</v>
      </c>
      <c r="P391" s="37">
        <v>154</v>
      </c>
      <c r="Q391" s="46">
        <f t="shared" si="20"/>
        <v>99.354838709677395</v>
      </c>
      <c r="R391" s="37" t="s">
        <v>28</v>
      </c>
      <c r="S391" s="49" t="str">
        <f t="shared" si="18"/>
        <v>2023-10</v>
      </c>
      <c r="T391" s="37">
        <v>0</v>
      </c>
    </row>
    <row r="392" spans="1:20">
      <c r="A392" s="33" t="s">
        <v>1201</v>
      </c>
      <c r="B392" s="45">
        <v>44759</v>
      </c>
      <c r="C392" s="33" t="s">
        <v>115</v>
      </c>
      <c r="D392" s="33" t="s">
        <v>156</v>
      </c>
      <c r="E392" s="33" t="s">
        <v>157</v>
      </c>
      <c r="F392" s="33" t="s">
        <v>21</v>
      </c>
      <c r="G392" s="33" t="str">
        <f t="shared" si="19"/>
        <v>Phoenix → Boston</v>
      </c>
      <c r="H392" s="33" t="s">
        <v>22</v>
      </c>
      <c r="I392" s="33" t="s">
        <v>162</v>
      </c>
      <c r="J392" s="33" t="s">
        <v>1203</v>
      </c>
      <c r="K392" s="33">
        <v>376</v>
      </c>
      <c r="L392" s="33">
        <v>2583</v>
      </c>
      <c r="M392" s="33">
        <v>1123.67</v>
      </c>
      <c r="N392" s="33" t="s">
        <v>44</v>
      </c>
      <c r="O392" s="33">
        <v>188</v>
      </c>
      <c r="P392" s="33">
        <v>55</v>
      </c>
      <c r="Q392" s="46">
        <f t="shared" si="20"/>
        <v>29.255319148936199</v>
      </c>
      <c r="R392" s="33" t="s">
        <v>28</v>
      </c>
      <c r="S392" s="47" t="str">
        <f t="shared" si="18"/>
        <v>2022-07</v>
      </c>
      <c r="T392" s="33">
        <v>0</v>
      </c>
    </row>
    <row r="393" spans="1:20">
      <c r="A393" s="37" t="s">
        <v>1204</v>
      </c>
      <c r="B393" s="48">
        <v>45281</v>
      </c>
      <c r="C393" s="33" t="s">
        <v>31</v>
      </c>
      <c r="D393" s="37" t="s">
        <v>54</v>
      </c>
      <c r="E393" s="37" t="s">
        <v>74</v>
      </c>
      <c r="F393" s="37" t="s">
        <v>48</v>
      </c>
      <c r="G393" s="33" t="str">
        <f t="shared" si="19"/>
        <v>Chicago → San Diego</v>
      </c>
      <c r="H393" s="37" t="s">
        <v>49</v>
      </c>
      <c r="I393" s="37" t="s">
        <v>223</v>
      </c>
      <c r="J393" s="37" t="s">
        <v>1206</v>
      </c>
      <c r="K393" s="37">
        <v>235</v>
      </c>
      <c r="L393" s="37">
        <v>1754</v>
      </c>
      <c r="M393" s="37">
        <v>444.1</v>
      </c>
      <c r="N393" s="37" t="s">
        <v>27</v>
      </c>
      <c r="O393" s="37">
        <v>224</v>
      </c>
      <c r="P393" s="37">
        <v>164</v>
      </c>
      <c r="Q393" s="46">
        <f t="shared" si="20"/>
        <v>73.214285714285694</v>
      </c>
      <c r="R393" s="37" t="s">
        <v>70</v>
      </c>
      <c r="S393" s="49" t="str">
        <f t="shared" si="18"/>
        <v>2023-12</v>
      </c>
      <c r="T393" s="37">
        <v>112</v>
      </c>
    </row>
    <row r="394" spans="1:20">
      <c r="A394" s="33" t="s">
        <v>1207</v>
      </c>
      <c r="B394" s="45">
        <v>45148</v>
      </c>
      <c r="C394" s="33" t="s">
        <v>115</v>
      </c>
      <c r="D394" s="33" t="s">
        <v>101</v>
      </c>
      <c r="E394" s="33" t="s">
        <v>102</v>
      </c>
      <c r="F394" s="33" t="s">
        <v>183</v>
      </c>
      <c r="G394" s="33" t="str">
        <f t="shared" si="19"/>
        <v>Dallas → Seattle</v>
      </c>
      <c r="H394" s="33" t="s">
        <v>184</v>
      </c>
      <c r="I394" s="33" t="s">
        <v>393</v>
      </c>
      <c r="J394" s="33" t="s">
        <v>1209</v>
      </c>
      <c r="K394" s="33">
        <v>305</v>
      </c>
      <c r="L394" s="33">
        <v>2885</v>
      </c>
      <c r="M394" s="33">
        <v>765.79</v>
      </c>
      <c r="N394" t="s">
        <v>1463</v>
      </c>
      <c r="O394" s="33">
        <v>317</v>
      </c>
      <c r="P394" s="33">
        <v>86</v>
      </c>
      <c r="Q394" s="46">
        <f t="shared" si="20"/>
        <v>27.1293375394322</v>
      </c>
      <c r="R394" s="33" t="s">
        <v>28</v>
      </c>
      <c r="S394" s="47" t="str">
        <f t="shared" si="18"/>
        <v>2023-08</v>
      </c>
      <c r="T394" s="33">
        <v>0</v>
      </c>
    </row>
    <row r="395" spans="1:20" ht="25.5">
      <c r="A395" s="37" t="s">
        <v>1210</v>
      </c>
      <c r="B395" s="48">
        <v>45265</v>
      </c>
      <c r="C395" s="33" t="s">
        <v>31</v>
      </c>
      <c r="D395" s="37" t="s">
        <v>156</v>
      </c>
      <c r="E395" s="37" t="s">
        <v>157</v>
      </c>
      <c r="F395" s="37" t="s">
        <v>64</v>
      </c>
      <c r="G395" s="33" t="str">
        <f t="shared" si="19"/>
        <v>Phoenix → San Francisco</v>
      </c>
      <c r="H395" s="37" t="s">
        <v>65</v>
      </c>
      <c r="I395" s="37" t="s">
        <v>393</v>
      </c>
      <c r="J395" s="37" t="s">
        <v>1212</v>
      </c>
      <c r="K395" s="37">
        <v>453</v>
      </c>
      <c r="L395" s="37">
        <v>1395</v>
      </c>
      <c r="M395" s="37">
        <v>758.03</v>
      </c>
      <c r="N395" s="37" t="s">
        <v>44</v>
      </c>
      <c r="O395" s="37">
        <v>169</v>
      </c>
      <c r="P395" s="37">
        <v>163</v>
      </c>
      <c r="Q395" s="46">
        <f t="shared" si="20"/>
        <v>96.449704142011797</v>
      </c>
      <c r="R395" s="37" t="s">
        <v>28</v>
      </c>
      <c r="S395" s="49" t="str">
        <f t="shared" si="18"/>
        <v>2023-12</v>
      </c>
      <c r="T395" s="37">
        <v>0</v>
      </c>
    </row>
    <row r="396" spans="1:20">
      <c r="A396" s="33" t="s">
        <v>1213</v>
      </c>
      <c r="B396" s="45">
        <v>45305</v>
      </c>
      <c r="C396" s="33" t="s">
        <v>115</v>
      </c>
      <c r="D396" s="33" t="s">
        <v>129</v>
      </c>
      <c r="E396" s="33" t="s">
        <v>130</v>
      </c>
      <c r="F396" s="33" t="s">
        <v>38</v>
      </c>
      <c r="G396" s="33" t="str">
        <f t="shared" si="19"/>
        <v>Detroit → Miami</v>
      </c>
      <c r="H396" s="33" t="s">
        <v>39</v>
      </c>
      <c r="I396" s="33" t="s">
        <v>103</v>
      </c>
      <c r="J396" s="33" t="s">
        <v>1215</v>
      </c>
      <c r="K396" s="33">
        <v>154</v>
      </c>
      <c r="L396" s="33">
        <v>1261</v>
      </c>
      <c r="M396" s="33">
        <v>496.71749999999997</v>
      </c>
      <c r="N396" s="33" t="s">
        <v>27</v>
      </c>
      <c r="O396" s="33">
        <v>279</v>
      </c>
      <c r="P396" s="33">
        <v>241</v>
      </c>
      <c r="Q396" s="46">
        <f t="shared" si="20"/>
        <v>86.379928315412201</v>
      </c>
      <c r="R396" s="33" t="s">
        <v>28</v>
      </c>
      <c r="S396" s="47" t="str">
        <f t="shared" si="18"/>
        <v>2024-01</v>
      </c>
      <c r="T396" s="33">
        <v>0</v>
      </c>
    </row>
    <row r="397" spans="1:20">
      <c r="A397" s="37" t="s">
        <v>1216</v>
      </c>
      <c r="B397" s="48">
        <v>44903</v>
      </c>
      <c r="C397" s="33" t="s">
        <v>73</v>
      </c>
      <c r="D397" s="37" t="s">
        <v>197</v>
      </c>
      <c r="E397" s="37" t="s">
        <v>198</v>
      </c>
      <c r="F397" s="37" t="s">
        <v>101</v>
      </c>
      <c r="G397" s="33" t="str">
        <f t="shared" si="19"/>
        <v>Atlanta → Dallas</v>
      </c>
      <c r="H397" s="37" t="s">
        <v>102</v>
      </c>
      <c r="I397" s="37" t="s">
        <v>170</v>
      </c>
      <c r="J397" s="37" t="s">
        <v>1218</v>
      </c>
      <c r="K397" s="37">
        <v>370</v>
      </c>
      <c r="L397" s="37">
        <v>520</v>
      </c>
      <c r="M397" s="37">
        <v>109.53</v>
      </c>
      <c r="N397" s="37" t="s">
        <v>44</v>
      </c>
      <c r="O397" s="37">
        <v>234</v>
      </c>
      <c r="P397" s="37">
        <v>71</v>
      </c>
      <c r="Q397" s="46">
        <f t="shared" si="20"/>
        <v>30.341880341880302</v>
      </c>
      <c r="R397" s="37" t="s">
        <v>28</v>
      </c>
      <c r="S397" s="49" t="str">
        <f t="shared" si="18"/>
        <v>2022-12</v>
      </c>
      <c r="T397" s="37">
        <v>0</v>
      </c>
    </row>
    <row r="398" spans="1:20" ht="25.5">
      <c r="A398" s="33" t="s">
        <v>1219</v>
      </c>
      <c r="B398" s="45">
        <v>44880</v>
      </c>
      <c r="C398" s="33" t="s">
        <v>94</v>
      </c>
      <c r="D398" s="33" t="s">
        <v>66</v>
      </c>
      <c r="E398" s="33" t="s">
        <v>67</v>
      </c>
      <c r="F398" s="33" t="s">
        <v>95</v>
      </c>
      <c r="G398" s="33" t="str">
        <f t="shared" si="19"/>
        <v>Minneapolis → Las Vegas</v>
      </c>
      <c r="H398" s="33" t="s">
        <v>96</v>
      </c>
      <c r="I398" s="33" t="s">
        <v>25</v>
      </c>
      <c r="J398" s="33" t="s">
        <v>26</v>
      </c>
      <c r="K398" s="33">
        <v>467</v>
      </c>
      <c r="L398" s="33">
        <v>1463</v>
      </c>
      <c r="M398" s="33">
        <v>576.34</v>
      </c>
      <c r="N398" s="33" t="s">
        <v>60</v>
      </c>
      <c r="O398" s="33">
        <v>133</v>
      </c>
      <c r="P398" s="33">
        <v>117</v>
      </c>
      <c r="Q398" s="46">
        <f t="shared" si="20"/>
        <v>87.969924812030101</v>
      </c>
      <c r="R398" s="33" t="s">
        <v>70</v>
      </c>
      <c r="S398" s="47" t="str">
        <f t="shared" si="18"/>
        <v>2022-11</v>
      </c>
      <c r="T398" s="33">
        <v>22</v>
      </c>
    </row>
    <row r="399" spans="1:20">
      <c r="A399" s="37" t="s">
        <v>1221</v>
      </c>
      <c r="B399" s="48">
        <v>44633</v>
      </c>
      <c r="C399" s="33" t="s">
        <v>47</v>
      </c>
      <c r="D399" s="37" t="s">
        <v>156</v>
      </c>
      <c r="E399" s="37" t="s">
        <v>157</v>
      </c>
      <c r="F399" s="37" t="s">
        <v>116</v>
      </c>
      <c r="G399" s="33" t="str">
        <f t="shared" si="19"/>
        <v>Phoenix → Houston</v>
      </c>
      <c r="H399" s="37" t="s">
        <v>117</v>
      </c>
      <c r="I399" s="37" t="s">
        <v>361</v>
      </c>
      <c r="J399" s="37" t="s">
        <v>1223</v>
      </c>
      <c r="K399" s="37">
        <v>370</v>
      </c>
      <c r="L399" s="37">
        <v>2122</v>
      </c>
      <c r="M399" s="37">
        <v>231.33</v>
      </c>
      <c r="N399" s="37" t="s">
        <v>27</v>
      </c>
      <c r="O399" s="37">
        <v>238</v>
      </c>
      <c r="P399" s="37">
        <v>95</v>
      </c>
      <c r="Q399" s="46">
        <f t="shared" si="20"/>
        <v>39.915966386554601</v>
      </c>
      <c r="R399" s="37" t="s">
        <v>28</v>
      </c>
      <c r="S399" s="49" t="str">
        <f t="shared" si="18"/>
        <v>2022-03</v>
      </c>
      <c r="T399" s="37">
        <v>0</v>
      </c>
    </row>
    <row r="400" spans="1:20">
      <c r="A400" s="33" t="s">
        <v>1224</v>
      </c>
      <c r="B400" s="45">
        <v>45497</v>
      </c>
      <c r="C400" s="33" t="s">
        <v>73</v>
      </c>
      <c r="D400" s="33" t="s">
        <v>116</v>
      </c>
      <c r="E400" s="33" t="s">
        <v>117</v>
      </c>
      <c r="F400" s="33" t="s">
        <v>54</v>
      </c>
      <c r="G400" s="33" t="str">
        <f t="shared" si="19"/>
        <v>Houston → Chicago</v>
      </c>
      <c r="H400" s="33" t="s">
        <v>74</v>
      </c>
      <c r="I400" s="33" t="s">
        <v>283</v>
      </c>
      <c r="J400" s="33" t="s">
        <v>1225</v>
      </c>
      <c r="K400" s="33">
        <v>336</v>
      </c>
      <c r="L400" s="33">
        <v>2510</v>
      </c>
      <c r="M400" s="33">
        <v>334.38</v>
      </c>
      <c r="N400" s="33" t="s">
        <v>60</v>
      </c>
      <c r="O400" s="33">
        <v>213</v>
      </c>
      <c r="P400" s="33">
        <v>128</v>
      </c>
      <c r="Q400" s="46">
        <f t="shared" si="20"/>
        <v>60.093896713615003</v>
      </c>
      <c r="R400" s="33" t="s">
        <v>28</v>
      </c>
      <c r="S400" s="47" t="str">
        <f t="shared" si="18"/>
        <v>2024-07</v>
      </c>
      <c r="T400" s="33">
        <v>0</v>
      </c>
    </row>
    <row r="401" spans="1:20" ht="25.5">
      <c r="A401" s="37" t="s">
        <v>1226</v>
      </c>
      <c r="B401" s="48">
        <v>45094</v>
      </c>
      <c r="C401" s="33" t="s">
        <v>63</v>
      </c>
      <c r="D401" s="37" t="s">
        <v>95</v>
      </c>
      <c r="E401" s="37" t="s">
        <v>96</v>
      </c>
      <c r="F401" s="37" t="s">
        <v>174</v>
      </c>
      <c r="G401" s="33" t="str">
        <f t="shared" si="19"/>
        <v>Las Vegas → New York</v>
      </c>
      <c r="H401" s="37" t="s">
        <v>175</v>
      </c>
      <c r="I401" s="37" t="s">
        <v>252</v>
      </c>
      <c r="J401" s="37" t="s">
        <v>1228</v>
      </c>
      <c r="K401" s="37">
        <v>266</v>
      </c>
      <c r="L401" s="37">
        <v>1474</v>
      </c>
      <c r="M401" s="37">
        <v>605.5</v>
      </c>
      <c r="N401" s="37" t="s">
        <v>60</v>
      </c>
      <c r="O401" s="37">
        <v>276</v>
      </c>
      <c r="P401" s="37">
        <v>175</v>
      </c>
      <c r="Q401" s="46">
        <f t="shared" si="20"/>
        <v>63.405797101449302</v>
      </c>
      <c r="R401" s="37" t="s">
        <v>149</v>
      </c>
      <c r="S401" s="49" t="str">
        <f t="shared" si="18"/>
        <v>2023-06</v>
      </c>
      <c r="T401" s="37">
        <v>0</v>
      </c>
    </row>
    <row r="402" spans="1:20">
      <c r="A402" s="33" t="s">
        <v>1229</v>
      </c>
      <c r="B402" s="45">
        <v>45539</v>
      </c>
      <c r="C402" s="33" t="s">
        <v>1462</v>
      </c>
      <c r="D402" s="33" t="s">
        <v>174</v>
      </c>
      <c r="E402" s="33" t="s">
        <v>175</v>
      </c>
      <c r="F402" s="33" t="s">
        <v>40</v>
      </c>
      <c r="G402" s="33" t="str">
        <f t="shared" si="19"/>
        <v>New York → Charlotte</v>
      </c>
      <c r="H402" s="33" t="s">
        <v>41</v>
      </c>
      <c r="I402" s="33" t="s">
        <v>143</v>
      </c>
      <c r="J402" s="33" t="s">
        <v>1231</v>
      </c>
      <c r="K402" s="33">
        <v>93</v>
      </c>
      <c r="L402" s="33">
        <v>2545</v>
      </c>
      <c r="M402" s="33">
        <v>498.48</v>
      </c>
      <c r="N402" t="s">
        <v>1463</v>
      </c>
      <c r="O402" s="33">
        <v>325</v>
      </c>
      <c r="P402" s="33">
        <v>273</v>
      </c>
      <c r="Q402" s="46">
        <f t="shared" si="20"/>
        <v>84</v>
      </c>
      <c r="R402" s="33" t="s">
        <v>28</v>
      </c>
      <c r="S402" s="47" t="str">
        <f t="shared" si="18"/>
        <v>2024-09</v>
      </c>
      <c r="T402" s="33">
        <v>0</v>
      </c>
    </row>
    <row r="403" spans="1:20">
      <c r="A403" s="37" t="s">
        <v>1232</v>
      </c>
      <c r="B403" s="48">
        <v>44896</v>
      </c>
      <c r="C403" s="33" t="s">
        <v>73</v>
      </c>
      <c r="D403" s="37" t="s">
        <v>66</v>
      </c>
      <c r="E403" s="37" t="s">
        <v>67</v>
      </c>
      <c r="F403" s="37" t="s">
        <v>23</v>
      </c>
      <c r="G403" s="33" t="str">
        <f t="shared" si="19"/>
        <v>Minneapolis → Denver</v>
      </c>
      <c r="H403" s="37" t="s">
        <v>24</v>
      </c>
      <c r="I403" s="37" t="s">
        <v>378</v>
      </c>
      <c r="J403" s="37" t="s">
        <v>1234</v>
      </c>
      <c r="K403" s="37">
        <v>306</v>
      </c>
      <c r="L403" s="37">
        <v>2861</v>
      </c>
      <c r="M403" s="37">
        <v>348.31</v>
      </c>
      <c r="N403" s="37" t="s">
        <v>27</v>
      </c>
      <c r="O403" s="37">
        <v>306</v>
      </c>
      <c r="P403" s="37">
        <v>189</v>
      </c>
      <c r="Q403" s="46">
        <f t="shared" si="20"/>
        <v>61.764705882352899</v>
      </c>
      <c r="R403" s="37" t="s">
        <v>28</v>
      </c>
      <c r="S403" s="49" t="str">
        <f t="shared" si="18"/>
        <v>2022-12</v>
      </c>
      <c r="T403" s="37">
        <v>0</v>
      </c>
    </row>
    <row r="404" spans="1:20">
      <c r="A404" s="33" t="s">
        <v>1235</v>
      </c>
      <c r="B404" s="45">
        <v>45651</v>
      </c>
      <c r="C404" s="33" t="s">
        <v>1462</v>
      </c>
      <c r="D404" s="33" t="s">
        <v>129</v>
      </c>
      <c r="E404" s="33" t="s">
        <v>130</v>
      </c>
      <c r="F404" s="33" t="s">
        <v>183</v>
      </c>
      <c r="G404" s="33" t="str">
        <f t="shared" si="19"/>
        <v>Detroit → Seattle</v>
      </c>
      <c r="H404" s="33" t="s">
        <v>184</v>
      </c>
      <c r="I404" s="33" t="s">
        <v>147</v>
      </c>
      <c r="J404" s="33" t="s">
        <v>907</v>
      </c>
      <c r="K404" s="33">
        <v>159</v>
      </c>
      <c r="L404" s="33">
        <v>1486</v>
      </c>
      <c r="M404" s="33">
        <v>203.6</v>
      </c>
      <c r="N404" s="33" t="s">
        <v>44</v>
      </c>
      <c r="O404" s="33">
        <v>258</v>
      </c>
      <c r="P404" s="33">
        <v>165</v>
      </c>
      <c r="Q404" s="46">
        <f t="shared" si="20"/>
        <v>63.953488372092998</v>
      </c>
      <c r="R404" s="33" t="s">
        <v>28</v>
      </c>
      <c r="S404" s="47" t="str">
        <f t="shared" si="18"/>
        <v>2024-12</v>
      </c>
      <c r="T404" s="33">
        <v>0</v>
      </c>
    </row>
    <row r="405" spans="1:20">
      <c r="A405" s="37" t="s">
        <v>1237</v>
      </c>
      <c r="B405" s="48">
        <v>45569</v>
      </c>
      <c r="C405" s="33" t="s">
        <v>31</v>
      </c>
      <c r="D405" s="37" t="s">
        <v>156</v>
      </c>
      <c r="E405" s="37" t="s">
        <v>157</v>
      </c>
      <c r="F405" s="37" t="s">
        <v>174</v>
      </c>
      <c r="G405" s="33" t="str">
        <f t="shared" si="19"/>
        <v>Phoenix → New York</v>
      </c>
      <c r="H405" s="37" t="s">
        <v>175</v>
      </c>
      <c r="I405" s="37" t="s">
        <v>403</v>
      </c>
      <c r="J405" s="37" t="s">
        <v>1239</v>
      </c>
      <c r="K405" s="37">
        <v>363</v>
      </c>
      <c r="L405" s="37">
        <v>390</v>
      </c>
      <c r="M405" s="37">
        <v>288.25</v>
      </c>
      <c r="N405" s="37" t="s">
        <v>60</v>
      </c>
      <c r="O405" s="37">
        <v>172</v>
      </c>
      <c r="P405" s="37">
        <v>84</v>
      </c>
      <c r="Q405" s="46">
        <f t="shared" si="20"/>
        <v>48.837209302325597</v>
      </c>
      <c r="R405" s="37" t="s">
        <v>28</v>
      </c>
      <c r="S405" s="49" t="str">
        <f t="shared" si="18"/>
        <v>2024-10</v>
      </c>
      <c r="T405" s="37">
        <v>0</v>
      </c>
    </row>
    <row r="406" spans="1:20">
      <c r="A406" s="33" t="s">
        <v>1240</v>
      </c>
      <c r="B406" s="45">
        <v>45459</v>
      </c>
      <c r="C406" s="33" t="s">
        <v>20</v>
      </c>
      <c r="D406" s="33" t="s">
        <v>23</v>
      </c>
      <c r="E406" s="33" t="s">
        <v>24</v>
      </c>
      <c r="F406" s="33" t="s">
        <v>54</v>
      </c>
      <c r="G406" s="33" t="str">
        <f t="shared" si="19"/>
        <v>Denver → Chicago</v>
      </c>
      <c r="H406" s="33" t="s">
        <v>55</v>
      </c>
      <c r="I406" s="33" t="s">
        <v>403</v>
      </c>
      <c r="J406" s="33" t="s">
        <v>1242</v>
      </c>
      <c r="K406" s="33">
        <v>342</v>
      </c>
      <c r="L406" s="33">
        <v>1189</v>
      </c>
      <c r="M406" s="33">
        <v>462.94</v>
      </c>
      <c r="N406" s="33" t="s">
        <v>44</v>
      </c>
      <c r="O406" s="33">
        <v>301</v>
      </c>
      <c r="P406" s="33">
        <v>254</v>
      </c>
      <c r="Q406" s="46">
        <f t="shared" si="20"/>
        <v>84.385382059800705</v>
      </c>
      <c r="R406" s="33" t="s">
        <v>28</v>
      </c>
      <c r="S406" s="47" t="str">
        <f t="shared" si="18"/>
        <v>2024-06</v>
      </c>
      <c r="T406" s="33">
        <v>0</v>
      </c>
    </row>
    <row r="407" spans="1:20" ht="25.5">
      <c r="A407" s="37" t="s">
        <v>1243</v>
      </c>
      <c r="B407" s="48">
        <v>45322</v>
      </c>
      <c r="C407" s="33" t="s">
        <v>115</v>
      </c>
      <c r="D407" s="37" t="s">
        <v>56</v>
      </c>
      <c r="E407" s="37" t="s">
        <v>57</v>
      </c>
      <c r="F407" s="37" t="s">
        <v>64</v>
      </c>
      <c r="G407" s="33" t="str">
        <f t="shared" si="19"/>
        <v>Los Angeles → San Francisco</v>
      </c>
      <c r="H407" s="37" t="s">
        <v>65</v>
      </c>
      <c r="I407" s="37" t="s">
        <v>147</v>
      </c>
      <c r="J407" s="37" t="s">
        <v>421</v>
      </c>
      <c r="K407" s="37">
        <v>118</v>
      </c>
      <c r="L407" s="37">
        <v>1391</v>
      </c>
      <c r="M407" s="37">
        <v>948.73</v>
      </c>
      <c r="N407" s="37" t="s">
        <v>60</v>
      </c>
      <c r="O407" s="37">
        <v>239</v>
      </c>
      <c r="P407" s="37">
        <v>170</v>
      </c>
      <c r="Q407" s="46">
        <f t="shared" si="20"/>
        <v>71.129707112970706</v>
      </c>
      <c r="R407" s="37" t="s">
        <v>28</v>
      </c>
      <c r="S407" s="49" t="str">
        <f t="shared" si="18"/>
        <v>2024-01</v>
      </c>
      <c r="T407" s="37">
        <v>0</v>
      </c>
    </row>
    <row r="408" spans="1:20">
      <c r="A408" s="33" t="s">
        <v>1244</v>
      </c>
      <c r="B408" s="45">
        <v>45074</v>
      </c>
      <c r="C408" s="33" t="s">
        <v>73</v>
      </c>
      <c r="D408" s="33" t="s">
        <v>174</v>
      </c>
      <c r="E408" s="33" t="s">
        <v>175</v>
      </c>
      <c r="F408" s="33" t="s">
        <v>101</v>
      </c>
      <c r="G408" s="33" t="str">
        <f t="shared" si="19"/>
        <v>New York → Dallas</v>
      </c>
      <c r="H408" s="33" t="s">
        <v>102</v>
      </c>
      <c r="I408" s="33" t="s">
        <v>600</v>
      </c>
      <c r="J408" s="33" t="s">
        <v>1246</v>
      </c>
      <c r="K408" s="33">
        <v>287</v>
      </c>
      <c r="L408" s="33">
        <v>2114</v>
      </c>
      <c r="M408" s="33">
        <v>587.19000000000005</v>
      </c>
      <c r="N408" s="33" t="s">
        <v>60</v>
      </c>
      <c r="O408" s="33">
        <v>150</v>
      </c>
      <c r="P408" s="33">
        <v>108</v>
      </c>
      <c r="Q408" s="46">
        <f t="shared" si="20"/>
        <v>72</v>
      </c>
      <c r="R408" s="33" t="s">
        <v>70</v>
      </c>
      <c r="S408" s="47" t="str">
        <f t="shared" si="18"/>
        <v>2023-05</v>
      </c>
      <c r="T408" s="33">
        <v>39</v>
      </c>
    </row>
    <row r="409" spans="1:20" ht="25.5">
      <c r="A409" s="37" t="s">
        <v>1247</v>
      </c>
      <c r="B409" s="48">
        <v>45629</v>
      </c>
      <c r="C409" s="33" t="s">
        <v>31</v>
      </c>
      <c r="D409" s="37" t="s">
        <v>79</v>
      </c>
      <c r="E409" s="37" t="s">
        <v>80</v>
      </c>
      <c r="F409" s="37" t="s">
        <v>66</v>
      </c>
      <c r="G409" s="33" t="str">
        <f t="shared" si="19"/>
        <v>Newark → Minneapolis</v>
      </c>
      <c r="H409" s="37" t="s">
        <v>67</v>
      </c>
      <c r="I409" s="37" t="s">
        <v>216</v>
      </c>
      <c r="J409" s="37" t="s">
        <v>50</v>
      </c>
      <c r="K409" s="37">
        <v>255</v>
      </c>
      <c r="L409" s="37">
        <v>949</v>
      </c>
      <c r="M409" s="37">
        <v>784.66</v>
      </c>
      <c r="N409" s="37" t="s">
        <v>60</v>
      </c>
      <c r="O409" s="37">
        <v>290</v>
      </c>
      <c r="P409" s="37">
        <v>289</v>
      </c>
      <c r="Q409" s="46">
        <f t="shared" si="20"/>
        <v>99.655172413793096</v>
      </c>
      <c r="R409" s="37" t="s">
        <v>28</v>
      </c>
      <c r="S409" s="49" t="str">
        <f t="shared" si="18"/>
        <v>2024-12</v>
      </c>
      <c r="T409" s="37">
        <v>0</v>
      </c>
    </row>
    <row r="410" spans="1:20">
      <c r="A410" s="33" t="s">
        <v>1248</v>
      </c>
      <c r="B410" s="45">
        <v>44812</v>
      </c>
      <c r="C410" s="33" t="s">
        <v>1462</v>
      </c>
      <c r="D410" s="33" t="s">
        <v>79</v>
      </c>
      <c r="E410" s="33" t="s">
        <v>80</v>
      </c>
      <c r="F410" s="33" t="s">
        <v>95</v>
      </c>
      <c r="G410" s="33" t="str">
        <f t="shared" si="19"/>
        <v>Newark → Las Vegas</v>
      </c>
      <c r="H410" s="33" t="s">
        <v>96</v>
      </c>
      <c r="I410" s="33" t="s">
        <v>68</v>
      </c>
      <c r="J410" s="33" t="s">
        <v>1250</v>
      </c>
      <c r="K410" s="33">
        <v>116</v>
      </c>
      <c r="L410" s="33">
        <v>1192</v>
      </c>
      <c r="M410" s="33">
        <v>498.48</v>
      </c>
      <c r="N410" s="33" t="s">
        <v>60</v>
      </c>
      <c r="O410" s="33">
        <v>262</v>
      </c>
      <c r="P410" s="33">
        <v>161</v>
      </c>
      <c r="Q410" s="46">
        <f t="shared" si="20"/>
        <v>61.450381679389302</v>
      </c>
      <c r="R410" s="33" t="s">
        <v>28</v>
      </c>
      <c r="S410" s="47" t="str">
        <f t="shared" si="18"/>
        <v>2022-09</v>
      </c>
      <c r="T410" s="33">
        <v>0</v>
      </c>
    </row>
    <row r="411" spans="1:20">
      <c r="A411" s="37" t="s">
        <v>1251</v>
      </c>
      <c r="B411" s="48">
        <v>44904</v>
      </c>
      <c r="C411" s="33" t="s">
        <v>1462</v>
      </c>
      <c r="D411" s="37" t="s">
        <v>54</v>
      </c>
      <c r="E411" s="37" t="s">
        <v>74</v>
      </c>
      <c r="F411" s="37" t="s">
        <v>197</v>
      </c>
      <c r="G411" s="33" t="str">
        <f t="shared" si="19"/>
        <v>Chicago → Atlanta</v>
      </c>
      <c r="H411" s="37" t="s">
        <v>198</v>
      </c>
      <c r="I411" s="37" t="s">
        <v>279</v>
      </c>
      <c r="J411" s="37" t="s">
        <v>1253</v>
      </c>
      <c r="K411" s="37">
        <v>94</v>
      </c>
      <c r="L411" s="37">
        <v>472</v>
      </c>
      <c r="M411" s="37">
        <v>730.81</v>
      </c>
      <c r="N411" s="37" t="s">
        <v>27</v>
      </c>
      <c r="O411" s="37">
        <v>221</v>
      </c>
      <c r="P411" s="37">
        <v>202</v>
      </c>
      <c r="Q411" s="46">
        <f t="shared" si="20"/>
        <v>91.402714932126699</v>
      </c>
      <c r="R411" s="37" t="s">
        <v>28</v>
      </c>
      <c r="S411" s="49" t="str">
        <f t="shared" si="18"/>
        <v>2022-12</v>
      </c>
      <c r="T411" s="37">
        <v>0</v>
      </c>
    </row>
    <row r="412" spans="1:20">
      <c r="A412" s="33" t="s">
        <v>1254</v>
      </c>
      <c r="B412" s="45">
        <v>44745</v>
      </c>
      <c r="C412" s="33" t="s">
        <v>31</v>
      </c>
      <c r="D412" s="33" t="s">
        <v>38</v>
      </c>
      <c r="E412" s="33" t="s">
        <v>39</v>
      </c>
      <c r="F412" s="33" t="s">
        <v>116</v>
      </c>
      <c r="G412" s="33" t="str">
        <f t="shared" si="19"/>
        <v>Miami → Houston</v>
      </c>
      <c r="H412" s="33" t="s">
        <v>117</v>
      </c>
      <c r="I412" s="33" t="s">
        <v>230</v>
      </c>
      <c r="J412" s="33" t="s">
        <v>1256</v>
      </c>
      <c r="K412" s="33">
        <v>478</v>
      </c>
      <c r="L412" s="33">
        <v>2860</v>
      </c>
      <c r="M412" s="33">
        <v>147.26</v>
      </c>
      <c r="N412" s="33" t="s">
        <v>44</v>
      </c>
      <c r="O412" s="33">
        <v>265</v>
      </c>
      <c r="P412" s="33">
        <v>89</v>
      </c>
      <c r="Q412" s="46">
        <f t="shared" si="20"/>
        <v>33.584905660377402</v>
      </c>
      <c r="R412" s="33" t="s">
        <v>70</v>
      </c>
      <c r="S412" s="47" t="str">
        <f t="shared" si="18"/>
        <v>2022-07</v>
      </c>
      <c r="T412" s="33">
        <v>42</v>
      </c>
    </row>
    <row r="413" spans="1:20" ht="25.5">
      <c r="A413" s="37" t="s">
        <v>1257</v>
      </c>
      <c r="B413" s="48">
        <v>44819</v>
      </c>
      <c r="C413" s="33" t="s">
        <v>115</v>
      </c>
      <c r="D413" s="37" t="s">
        <v>23</v>
      </c>
      <c r="E413" s="37" t="s">
        <v>24</v>
      </c>
      <c r="F413" s="37" t="s">
        <v>64</v>
      </c>
      <c r="G413" s="33" t="str">
        <f t="shared" si="19"/>
        <v>Denver → San Francisco</v>
      </c>
      <c r="H413" s="37" t="s">
        <v>65</v>
      </c>
      <c r="I413" s="37" t="s">
        <v>528</v>
      </c>
      <c r="J413" s="37" t="s">
        <v>780</v>
      </c>
      <c r="K413" s="37">
        <v>314</v>
      </c>
      <c r="L413" s="37">
        <v>1090</v>
      </c>
      <c r="M413" s="37">
        <v>103.92</v>
      </c>
      <c r="N413" s="37" t="s">
        <v>44</v>
      </c>
      <c r="O413" s="37">
        <v>191</v>
      </c>
      <c r="P413" s="37">
        <v>84</v>
      </c>
      <c r="Q413" s="46">
        <f t="shared" si="20"/>
        <v>43.979057591622997</v>
      </c>
      <c r="R413" s="37" t="s">
        <v>28</v>
      </c>
      <c r="S413" s="49" t="str">
        <f t="shared" si="18"/>
        <v>2022-09</v>
      </c>
      <c r="T413" s="37">
        <v>0</v>
      </c>
    </row>
    <row r="414" spans="1:20">
      <c r="A414" s="33" t="s">
        <v>1259</v>
      </c>
      <c r="B414" s="45">
        <v>44642</v>
      </c>
      <c r="C414" s="33" t="s">
        <v>115</v>
      </c>
      <c r="D414" s="33" t="s">
        <v>40</v>
      </c>
      <c r="E414" s="33" t="s">
        <v>41</v>
      </c>
      <c r="F414" s="33" t="s">
        <v>54</v>
      </c>
      <c r="G414" s="33" t="str">
        <f t="shared" si="19"/>
        <v>Charlotte → Chicago</v>
      </c>
      <c r="H414" s="33" t="s">
        <v>74</v>
      </c>
      <c r="I414" s="33" t="s">
        <v>210</v>
      </c>
      <c r="J414" s="33" t="s">
        <v>1261</v>
      </c>
      <c r="K414" s="33">
        <v>187</v>
      </c>
      <c r="L414" s="33">
        <v>2621</v>
      </c>
      <c r="M414" s="33">
        <v>289.02</v>
      </c>
      <c r="N414" s="33" t="s">
        <v>44</v>
      </c>
      <c r="O414" s="33">
        <v>182</v>
      </c>
      <c r="P414" s="33">
        <v>169</v>
      </c>
      <c r="Q414" s="46">
        <f t="shared" si="20"/>
        <v>92.857142857142904</v>
      </c>
      <c r="R414" s="33" t="s">
        <v>28</v>
      </c>
      <c r="S414" s="47" t="str">
        <f t="shared" si="18"/>
        <v>2022-03</v>
      </c>
      <c r="T414" s="33">
        <v>0</v>
      </c>
    </row>
    <row r="415" spans="1:20">
      <c r="A415" s="37" t="s">
        <v>1262</v>
      </c>
      <c r="B415" s="48">
        <v>44890</v>
      </c>
      <c r="C415" s="33" t="s">
        <v>94</v>
      </c>
      <c r="D415" s="37" t="s">
        <v>116</v>
      </c>
      <c r="E415" s="37" t="s">
        <v>117</v>
      </c>
      <c r="F415" s="37" t="s">
        <v>101</v>
      </c>
      <c r="G415" s="33" t="str">
        <f t="shared" si="19"/>
        <v>Houston → Dallas</v>
      </c>
      <c r="H415" s="37" t="s">
        <v>102</v>
      </c>
      <c r="I415" s="37" t="s">
        <v>361</v>
      </c>
      <c r="J415" s="37" t="s">
        <v>1264</v>
      </c>
      <c r="K415" s="37">
        <v>224</v>
      </c>
      <c r="L415" s="37">
        <v>2518</v>
      </c>
      <c r="M415" s="37">
        <v>491.17</v>
      </c>
      <c r="N415" s="37" t="s">
        <v>60</v>
      </c>
      <c r="O415" s="37">
        <v>298</v>
      </c>
      <c r="P415" s="37">
        <v>213</v>
      </c>
      <c r="Q415" s="46">
        <f t="shared" si="20"/>
        <v>71.476510067114106</v>
      </c>
      <c r="R415" s="37" t="s">
        <v>28</v>
      </c>
      <c r="S415" s="49" t="str">
        <f t="shared" si="18"/>
        <v>2022-11</v>
      </c>
      <c r="T415" s="37">
        <v>0</v>
      </c>
    </row>
    <row r="416" spans="1:20" ht="25.5">
      <c r="A416" s="33" t="s">
        <v>1265</v>
      </c>
      <c r="B416" s="45">
        <v>44941</v>
      </c>
      <c r="C416" s="33" t="s">
        <v>20</v>
      </c>
      <c r="D416" s="33" t="s">
        <v>48</v>
      </c>
      <c r="E416" s="33" t="s">
        <v>49</v>
      </c>
      <c r="F416" s="33" t="s">
        <v>64</v>
      </c>
      <c r="G416" s="33" t="str">
        <f t="shared" si="19"/>
        <v>San Diego → San Francisco</v>
      </c>
      <c r="H416" s="33" t="s">
        <v>65</v>
      </c>
      <c r="I416" s="33" t="s">
        <v>494</v>
      </c>
      <c r="J416" s="33" t="s">
        <v>1266</v>
      </c>
      <c r="K416" s="33">
        <v>254</v>
      </c>
      <c r="L416" s="33">
        <v>559</v>
      </c>
      <c r="M416" s="33">
        <v>817.28</v>
      </c>
      <c r="N416" s="33" t="s">
        <v>27</v>
      </c>
      <c r="O416" s="33">
        <v>309</v>
      </c>
      <c r="P416" s="33">
        <v>248</v>
      </c>
      <c r="Q416" s="46">
        <f t="shared" si="20"/>
        <v>80.258899676375407</v>
      </c>
      <c r="R416" s="33" t="s">
        <v>28</v>
      </c>
      <c r="S416" s="47" t="str">
        <f t="shared" si="18"/>
        <v>2023-01</v>
      </c>
      <c r="T416" s="33">
        <v>0</v>
      </c>
    </row>
    <row r="417" spans="1:20" ht="25.5">
      <c r="A417" s="37" t="s">
        <v>1267</v>
      </c>
      <c r="B417" s="48">
        <v>45580</v>
      </c>
      <c r="C417" s="33" t="s">
        <v>63</v>
      </c>
      <c r="D417" s="37" t="s">
        <v>48</v>
      </c>
      <c r="E417" s="37" t="s">
        <v>49</v>
      </c>
      <c r="F417" s="37" t="s">
        <v>95</v>
      </c>
      <c r="G417" s="33" t="str">
        <f t="shared" si="19"/>
        <v>San Diego → Las Vegas</v>
      </c>
      <c r="H417" s="37" t="s">
        <v>96</v>
      </c>
      <c r="I417" s="37" t="s">
        <v>248</v>
      </c>
      <c r="J417" s="37" t="s">
        <v>323</v>
      </c>
      <c r="K417" s="37">
        <v>418</v>
      </c>
      <c r="L417" s="37">
        <v>1619</v>
      </c>
      <c r="M417" s="37">
        <v>203.72</v>
      </c>
      <c r="N417" s="37" t="s">
        <v>27</v>
      </c>
      <c r="O417" s="37">
        <v>268</v>
      </c>
      <c r="P417" s="37">
        <v>67</v>
      </c>
      <c r="Q417" s="46">
        <f t="shared" si="20"/>
        <v>25</v>
      </c>
      <c r="R417" s="37" t="s">
        <v>28</v>
      </c>
      <c r="S417" s="49" t="str">
        <f t="shared" si="18"/>
        <v>2024-10</v>
      </c>
      <c r="T417" s="37">
        <v>0</v>
      </c>
    </row>
    <row r="418" spans="1:20" ht="25.5">
      <c r="A418" s="33" t="s">
        <v>1269</v>
      </c>
      <c r="B418" s="45">
        <v>44827</v>
      </c>
      <c r="C418" s="33" t="s">
        <v>63</v>
      </c>
      <c r="D418" s="33" t="s">
        <v>56</v>
      </c>
      <c r="E418" s="33" t="s">
        <v>57</v>
      </c>
      <c r="F418" s="33" t="s">
        <v>23</v>
      </c>
      <c r="G418" s="33" t="str">
        <f t="shared" si="19"/>
        <v>Los Angeles → Denver</v>
      </c>
      <c r="H418" s="33" t="s">
        <v>24</v>
      </c>
      <c r="I418" s="33" t="s">
        <v>406</v>
      </c>
      <c r="J418" s="33" t="s">
        <v>756</v>
      </c>
      <c r="K418" s="33">
        <v>188</v>
      </c>
      <c r="L418" s="33">
        <v>704</v>
      </c>
      <c r="M418" s="33">
        <v>115.64</v>
      </c>
      <c r="N418" t="s">
        <v>1463</v>
      </c>
      <c r="O418" s="33">
        <v>314</v>
      </c>
      <c r="P418" s="33">
        <v>248</v>
      </c>
      <c r="Q418" s="46">
        <f t="shared" si="20"/>
        <v>78.980891719745202</v>
      </c>
      <c r="R418" s="33" t="s">
        <v>70</v>
      </c>
      <c r="S418" s="47" t="str">
        <f t="shared" si="18"/>
        <v>2022-09</v>
      </c>
      <c r="T418" s="33">
        <v>149</v>
      </c>
    </row>
    <row r="419" spans="1:20" ht="25.5">
      <c r="A419" s="37" t="s">
        <v>1271</v>
      </c>
      <c r="B419" s="48">
        <v>45086</v>
      </c>
      <c r="C419" s="33" t="s">
        <v>20</v>
      </c>
      <c r="D419" s="37" t="s">
        <v>64</v>
      </c>
      <c r="E419" s="37" t="s">
        <v>65</v>
      </c>
      <c r="F419" s="37" t="s">
        <v>23</v>
      </c>
      <c r="G419" s="33" t="str">
        <f t="shared" si="19"/>
        <v>San Francisco → Denver</v>
      </c>
      <c r="H419" s="37" t="s">
        <v>24</v>
      </c>
      <c r="I419" s="37" t="s">
        <v>34</v>
      </c>
      <c r="J419" s="37" t="s">
        <v>1273</v>
      </c>
      <c r="K419" s="37">
        <v>96</v>
      </c>
      <c r="L419" s="37">
        <v>1154</v>
      </c>
      <c r="M419" s="37">
        <v>814.44</v>
      </c>
      <c r="N419" s="37" t="s">
        <v>60</v>
      </c>
      <c r="O419" s="37">
        <v>219</v>
      </c>
      <c r="P419" s="37">
        <v>213</v>
      </c>
      <c r="Q419" s="46">
        <f t="shared" si="20"/>
        <v>97.260273972602704</v>
      </c>
      <c r="R419" s="37" t="s">
        <v>28</v>
      </c>
      <c r="S419" s="49" t="str">
        <f t="shared" si="18"/>
        <v>2023-06</v>
      </c>
      <c r="T419" s="37">
        <v>0</v>
      </c>
    </row>
    <row r="420" spans="1:20" ht="25.5">
      <c r="A420" s="33" t="s">
        <v>1274</v>
      </c>
      <c r="B420" s="45">
        <v>45413</v>
      </c>
      <c r="C420" s="33" t="s">
        <v>47</v>
      </c>
      <c r="D420" s="33" t="s">
        <v>56</v>
      </c>
      <c r="E420" s="33" t="s">
        <v>57</v>
      </c>
      <c r="F420" s="33" t="s">
        <v>95</v>
      </c>
      <c r="G420" s="33" t="str">
        <f t="shared" si="19"/>
        <v>Los Angeles → Las Vegas</v>
      </c>
      <c r="H420" s="33" t="s">
        <v>96</v>
      </c>
      <c r="I420" s="33" t="s">
        <v>712</v>
      </c>
      <c r="J420" s="33" t="s">
        <v>275</v>
      </c>
      <c r="K420" s="33">
        <v>465</v>
      </c>
      <c r="L420" s="33">
        <v>588</v>
      </c>
      <c r="M420" s="33">
        <v>1014.59</v>
      </c>
      <c r="N420" s="33" t="s">
        <v>60</v>
      </c>
      <c r="O420" s="33">
        <v>341</v>
      </c>
      <c r="P420" s="33">
        <v>160</v>
      </c>
      <c r="Q420" s="46">
        <f t="shared" si="20"/>
        <v>46.920821114369502</v>
      </c>
      <c r="R420" s="33" t="s">
        <v>149</v>
      </c>
      <c r="S420" s="47" t="str">
        <f t="shared" si="18"/>
        <v>2024-05</v>
      </c>
      <c r="T420" s="33">
        <v>0</v>
      </c>
    </row>
    <row r="421" spans="1:20">
      <c r="A421" s="37" t="s">
        <v>1275</v>
      </c>
      <c r="B421" s="48">
        <v>44760</v>
      </c>
      <c r="C421" s="33" t="s">
        <v>94</v>
      </c>
      <c r="D421" s="37" t="s">
        <v>23</v>
      </c>
      <c r="E421" s="37" t="s">
        <v>24</v>
      </c>
      <c r="F421" s="37" t="s">
        <v>54</v>
      </c>
      <c r="G421" s="33" t="str">
        <f t="shared" si="19"/>
        <v>Denver → Chicago</v>
      </c>
      <c r="H421" s="37" t="s">
        <v>74</v>
      </c>
      <c r="I421" s="37" t="s">
        <v>279</v>
      </c>
      <c r="J421" s="37" t="s">
        <v>610</v>
      </c>
      <c r="K421" s="37">
        <v>188</v>
      </c>
      <c r="L421" s="37">
        <v>2455</v>
      </c>
      <c r="M421" s="37">
        <v>815.7</v>
      </c>
      <c r="N421" s="37" t="s">
        <v>27</v>
      </c>
      <c r="O421" s="37">
        <v>260</v>
      </c>
      <c r="P421" s="37">
        <v>95</v>
      </c>
      <c r="Q421" s="46">
        <f t="shared" si="20"/>
        <v>36.538461538461497</v>
      </c>
      <c r="R421" s="37" t="s">
        <v>28</v>
      </c>
      <c r="S421" s="49" t="str">
        <f t="shared" si="18"/>
        <v>2022-07</v>
      </c>
      <c r="T421" s="37">
        <v>0</v>
      </c>
    </row>
    <row r="422" spans="1:20" ht="25.5">
      <c r="A422" s="33" t="s">
        <v>1277</v>
      </c>
      <c r="B422" s="45">
        <v>45412</v>
      </c>
      <c r="C422" s="33" t="s">
        <v>94</v>
      </c>
      <c r="D422" s="33" t="s">
        <v>54</v>
      </c>
      <c r="E422" s="33" t="s">
        <v>74</v>
      </c>
      <c r="F422" s="33" t="s">
        <v>64</v>
      </c>
      <c r="G422" s="33" t="str">
        <f t="shared" si="19"/>
        <v>Chicago → San Francisco</v>
      </c>
      <c r="H422" s="33" t="s">
        <v>65</v>
      </c>
      <c r="I422" s="33" t="s">
        <v>206</v>
      </c>
      <c r="J422" s="33" t="s">
        <v>832</v>
      </c>
      <c r="K422" s="33">
        <v>449</v>
      </c>
      <c r="L422" s="33">
        <v>2049</v>
      </c>
      <c r="M422" s="33">
        <v>1068.76</v>
      </c>
      <c r="N422" s="33" t="s">
        <v>60</v>
      </c>
      <c r="O422" s="33">
        <v>302</v>
      </c>
      <c r="P422" s="33">
        <v>96</v>
      </c>
      <c r="Q422" s="46">
        <f t="shared" si="20"/>
        <v>31.788079470198699</v>
      </c>
      <c r="R422" s="33" t="s">
        <v>28</v>
      </c>
      <c r="S422" s="47" t="str">
        <f t="shared" si="18"/>
        <v>2024-04</v>
      </c>
      <c r="T422" s="33">
        <v>0</v>
      </c>
    </row>
    <row r="423" spans="1:20">
      <c r="A423" s="37" t="s">
        <v>1279</v>
      </c>
      <c r="B423" s="48">
        <v>45595</v>
      </c>
      <c r="C423" s="33" t="s">
        <v>47</v>
      </c>
      <c r="D423" s="37" t="s">
        <v>38</v>
      </c>
      <c r="E423" s="37" t="s">
        <v>39</v>
      </c>
      <c r="F423" s="37" t="s">
        <v>54</v>
      </c>
      <c r="G423" s="33" t="str">
        <f t="shared" si="19"/>
        <v>Miami → Chicago</v>
      </c>
      <c r="H423" s="37" t="s">
        <v>74</v>
      </c>
      <c r="I423" s="37" t="s">
        <v>111</v>
      </c>
      <c r="J423" s="37" t="s">
        <v>252</v>
      </c>
      <c r="K423" s="37">
        <v>270</v>
      </c>
      <c r="L423" s="37">
        <v>1590</v>
      </c>
      <c r="M423" s="37">
        <v>696.09</v>
      </c>
      <c r="N423" t="s">
        <v>1463</v>
      </c>
      <c r="O423" s="37">
        <v>316</v>
      </c>
      <c r="P423" s="37">
        <v>137</v>
      </c>
      <c r="Q423" s="46">
        <f t="shared" si="20"/>
        <v>43.354430379746802</v>
      </c>
      <c r="R423" s="37" t="s">
        <v>28</v>
      </c>
      <c r="S423" s="49" t="str">
        <f t="shared" si="18"/>
        <v>2024-10</v>
      </c>
      <c r="T423" s="37">
        <v>0</v>
      </c>
    </row>
    <row r="424" spans="1:20">
      <c r="A424" s="33" t="s">
        <v>1281</v>
      </c>
      <c r="B424" s="45">
        <v>45443</v>
      </c>
      <c r="C424" s="33" t="s">
        <v>47</v>
      </c>
      <c r="D424" s="33" t="s">
        <v>48</v>
      </c>
      <c r="E424" s="33" t="s">
        <v>49</v>
      </c>
      <c r="F424" s="33" t="s">
        <v>23</v>
      </c>
      <c r="G424" s="33" t="str">
        <f t="shared" si="19"/>
        <v>San Diego → Denver</v>
      </c>
      <c r="H424" s="33" t="s">
        <v>24</v>
      </c>
      <c r="I424" s="33" t="s">
        <v>259</v>
      </c>
      <c r="J424" s="33" t="s">
        <v>1282</v>
      </c>
      <c r="K424" s="33">
        <v>282</v>
      </c>
      <c r="L424" s="33">
        <v>2553</v>
      </c>
      <c r="M424" s="33">
        <v>1117.28</v>
      </c>
      <c r="N424" s="33" t="s">
        <v>44</v>
      </c>
      <c r="O424" s="33">
        <v>192</v>
      </c>
      <c r="P424" s="33">
        <v>165</v>
      </c>
      <c r="Q424" s="46">
        <f t="shared" si="20"/>
        <v>85.9375</v>
      </c>
      <c r="R424" s="33" t="s">
        <v>28</v>
      </c>
      <c r="S424" s="47" t="str">
        <f t="shared" si="18"/>
        <v>2024-05</v>
      </c>
      <c r="T424" s="33">
        <v>0</v>
      </c>
    </row>
    <row r="425" spans="1:20" ht="25.5">
      <c r="A425" s="37" t="s">
        <v>1283</v>
      </c>
      <c r="B425" s="48">
        <v>45375</v>
      </c>
      <c r="C425" s="33" t="s">
        <v>20</v>
      </c>
      <c r="D425" s="37" t="s">
        <v>56</v>
      </c>
      <c r="E425" s="37" t="s">
        <v>57</v>
      </c>
      <c r="F425" s="37" t="s">
        <v>156</v>
      </c>
      <c r="G425" s="33" t="str">
        <f t="shared" si="19"/>
        <v>Los Angeles → Phoenix</v>
      </c>
      <c r="H425" s="37" t="s">
        <v>157</v>
      </c>
      <c r="I425" s="37" t="s">
        <v>34</v>
      </c>
      <c r="J425" s="37" t="s">
        <v>217</v>
      </c>
      <c r="K425" s="37">
        <v>355</v>
      </c>
      <c r="L425" s="37">
        <v>853</v>
      </c>
      <c r="M425" s="37">
        <v>1192.6199999999999</v>
      </c>
      <c r="N425" s="37" t="s">
        <v>44</v>
      </c>
      <c r="O425" s="37">
        <v>101</v>
      </c>
      <c r="P425" s="37">
        <v>69</v>
      </c>
      <c r="Q425" s="46">
        <f t="shared" si="20"/>
        <v>68.316831683168303</v>
      </c>
      <c r="R425" s="37" t="s">
        <v>149</v>
      </c>
      <c r="S425" s="49" t="str">
        <f t="shared" si="18"/>
        <v>2024-03</v>
      </c>
      <c r="T425" s="37">
        <v>0</v>
      </c>
    </row>
    <row r="426" spans="1:20" ht="25.5">
      <c r="A426" s="33" t="s">
        <v>1285</v>
      </c>
      <c r="B426" s="45">
        <v>45001</v>
      </c>
      <c r="C426" s="33" t="s">
        <v>47</v>
      </c>
      <c r="D426" s="33" t="s">
        <v>174</v>
      </c>
      <c r="E426" s="33" t="s">
        <v>175</v>
      </c>
      <c r="F426" s="33" t="s">
        <v>95</v>
      </c>
      <c r="G426" s="33" t="str">
        <f t="shared" si="19"/>
        <v>New York → Las Vegas</v>
      </c>
      <c r="H426" s="33" t="s">
        <v>96</v>
      </c>
      <c r="I426" s="33" t="s">
        <v>202</v>
      </c>
      <c r="J426" s="33" t="s">
        <v>1287</v>
      </c>
      <c r="K426" s="33">
        <v>138</v>
      </c>
      <c r="L426" s="33">
        <v>454</v>
      </c>
      <c r="M426" s="33">
        <v>595.61</v>
      </c>
      <c r="N426" s="33" t="s">
        <v>60</v>
      </c>
      <c r="O426" s="33">
        <v>135</v>
      </c>
      <c r="P426" s="33">
        <v>83</v>
      </c>
      <c r="Q426" s="46">
        <f t="shared" si="20"/>
        <v>61.481481481481502</v>
      </c>
      <c r="R426" s="33" t="s">
        <v>28</v>
      </c>
      <c r="S426" s="47" t="str">
        <f t="shared" si="18"/>
        <v>2023-03</v>
      </c>
      <c r="T426" s="33">
        <v>0</v>
      </c>
    </row>
    <row r="427" spans="1:20">
      <c r="A427" s="37" t="s">
        <v>1288</v>
      </c>
      <c r="B427" s="48">
        <v>45073</v>
      </c>
      <c r="C427" s="33" t="s">
        <v>31</v>
      </c>
      <c r="D427" s="37" t="s">
        <v>21</v>
      </c>
      <c r="E427" s="37" t="s">
        <v>22</v>
      </c>
      <c r="F427" s="37" t="s">
        <v>156</v>
      </c>
      <c r="G427" s="33" t="str">
        <f t="shared" si="19"/>
        <v>Boston → Phoenix</v>
      </c>
      <c r="H427" s="37" t="s">
        <v>157</v>
      </c>
      <c r="I427" s="37" t="s">
        <v>170</v>
      </c>
      <c r="J427" s="37" t="s">
        <v>1289</v>
      </c>
      <c r="K427" s="37">
        <v>381</v>
      </c>
      <c r="L427" s="37">
        <v>1190</v>
      </c>
      <c r="M427" s="37">
        <v>902.38</v>
      </c>
      <c r="N427" s="37" t="s">
        <v>27</v>
      </c>
      <c r="O427" s="37">
        <v>183</v>
      </c>
      <c r="P427" s="37">
        <v>173</v>
      </c>
      <c r="Q427" s="46">
        <f t="shared" si="20"/>
        <v>94.535519125683095</v>
      </c>
      <c r="R427" s="37" t="s">
        <v>28</v>
      </c>
      <c r="S427" s="49" t="str">
        <f t="shared" si="18"/>
        <v>2023-05</v>
      </c>
      <c r="T427" s="37">
        <v>0</v>
      </c>
    </row>
    <row r="428" spans="1:20" ht="25.5">
      <c r="A428" s="33" t="s">
        <v>1290</v>
      </c>
      <c r="B428" s="45">
        <v>44757</v>
      </c>
      <c r="C428" s="33" t="s">
        <v>1462</v>
      </c>
      <c r="D428" s="33" t="s">
        <v>56</v>
      </c>
      <c r="E428" s="33" t="s">
        <v>57</v>
      </c>
      <c r="F428" s="33" t="s">
        <v>48</v>
      </c>
      <c r="G428" s="33" t="str">
        <f t="shared" si="19"/>
        <v>Los Angeles → San Diego</v>
      </c>
      <c r="H428" s="33" t="s">
        <v>49</v>
      </c>
      <c r="I428" s="33" t="s">
        <v>453</v>
      </c>
      <c r="J428" s="33" t="s">
        <v>1292</v>
      </c>
      <c r="K428" s="33">
        <v>118</v>
      </c>
      <c r="L428" s="33">
        <v>1669</v>
      </c>
      <c r="M428" s="33">
        <v>469.68</v>
      </c>
      <c r="N428" s="33" t="s">
        <v>44</v>
      </c>
      <c r="O428" s="33">
        <v>206</v>
      </c>
      <c r="P428" s="33">
        <v>80</v>
      </c>
      <c r="Q428" s="46">
        <f t="shared" si="20"/>
        <v>38.834951456310698</v>
      </c>
      <c r="R428" s="33" t="s">
        <v>70</v>
      </c>
      <c r="S428" s="47" t="str">
        <f t="shared" si="18"/>
        <v>2022-07</v>
      </c>
      <c r="T428" s="33">
        <v>73</v>
      </c>
    </row>
    <row r="429" spans="1:20" ht="25.5">
      <c r="A429" s="37" t="s">
        <v>1293</v>
      </c>
      <c r="B429" s="48">
        <v>44585</v>
      </c>
      <c r="C429" s="33" t="s">
        <v>73</v>
      </c>
      <c r="D429" s="37" t="s">
        <v>56</v>
      </c>
      <c r="E429" s="37" t="s">
        <v>57</v>
      </c>
      <c r="F429" s="37" t="s">
        <v>156</v>
      </c>
      <c r="G429" s="33" t="str">
        <f t="shared" si="19"/>
        <v>Los Angeles → Phoenix</v>
      </c>
      <c r="H429" s="37" t="s">
        <v>157</v>
      </c>
      <c r="I429" s="37" t="s">
        <v>712</v>
      </c>
      <c r="J429" s="37" t="s">
        <v>1295</v>
      </c>
      <c r="K429" s="37">
        <v>253</v>
      </c>
      <c r="L429" s="37">
        <v>2511</v>
      </c>
      <c r="M429" s="37">
        <v>712.7</v>
      </c>
      <c r="N429" s="37" t="s">
        <v>44</v>
      </c>
      <c r="O429" s="37">
        <v>228</v>
      </c>
      <c r="P429" s="37">
        <v>228</v>
      </c>
      <c r="Q429" s="46">
        <f t="shared" si="20"/>
        <v>100</v>
      </c>
      <c r="R429" s="37" t="s">
        <v>28</v>
      </c>
      <c r="S429" s="49" t="str">
        <f t="shared" si="18"/>
        <v>2022-01</v>
      </c>
      <c r="T429" s="37">
        <v>0</v>
      </c>
    </row>
    <row r="430" spans="1:20" ht="25.5">
      <c r="A430" s="33" t="s">
        <v>1296</v>
      </c>
      <c r="B430" s="45">
        <v>44665</v>
      </c>
      <c r="C430" s="33" t="s">
        <v>73</v>
      </c>
      <c r="D430" s="33" t="s">
        <v>40</v>
      </c>
      <c r="E430" s="33" t="s">
        <v>41</v>
      </c>
      <c r="F430" s="33" t="s">
        <v>48</v>
      </c>
      <c r="G430" s="33" t="str">
        <f t="shared" si="19"/>
        <v>Charlotte → San Diego</v>
      </c>
      <c r="H430" s="33" t="s">
        <v>49</v>
      </c>
      <c r="I430" s="33" t="s">
        <v>712</v>
      </c>
      <c r="J430" s="33" t="s">
        <v>627</v>
      </c>
      <c r="K430" s="33">
        <v>203</v>
      </c>
      <c r="L430" s="33">
        <v>2069</v>
      </c>
      <c r="M430" s="33">
        <v>404.56</v>
      </c>
      <c r="N430" s="33" t="s">
        <v>44</v>
      </c>
      <c r="O430" s="33">
        <v>137</v>
      </c>
      <c r="P430" s="33">
        <v>66</v>
      </c>
      <c r="Q430" s="46">
        <f t="shared" si="20"/>
        <v>48.175182481751797</v>
      </c>
      <c r="R430" s="33" t="s">
        <v>28</v>
      </c>
      <c r="S430" s="47" t="str">
        <f t="shared" si="18"/>
        <v>2022-04</v>
      </c>
      <c r="T430" s="33">
        <v>0</v>
      </c>
    </row>
    <row r="431" spans="1:20" ht="25.5">
      <c r="A431" s="37" t="s">
        <v>1297</v>
      </c>
      <c r="B431" s="48">
        <v>45536</v>
      </c>
      <c r="C431" s="33" t="s">
        <v>20</v>
      </c>
      <c r="D431" s="37" t="s">
        <v>32</v>
      </c>
      <c r="E431" s="37" t="s">
        <v>33</v>
      </c>
      <c r="F431" s="37" t="s">
        <v>66</v>
      </c>
      <c r="G431" s="33" t="str">
        <f t="shared" si="19"/>
        <v>Orlando → Minneapolis</v>
      </c>
      <c r="H431" s="37" t="s">
        <v>67</v>
      </c>
      <c r="I431" s="37" t="s">
        <v>378</v>
      </c>
      <c r="J431" s="37" t="s">
        <v>491</v>
      </c>
      <c r="K431" s="37">
        <v>294</v>
      </c>
      <c r="L431" s="37">
        <v>2355</v>
      </c>
      <c r="M431" s="37">
        <v>566.63</v>
      </c>
      <c r="N431" s="37" t="s">
        <v>27</v>
      </c>
      <c r="O431" s="37">
        <v>133</v>
      </c>
      <c r="P431" s="37">
        <v>67</v>
      </c>
      <c r="Q431" s="46">
        <f t="shared" si="20"/>
        <v>50.375939849624103</v>
      </c>
      <c r="R431" s="37" t="s">
        <v>28</v>
      </c>
      <c r="S431" s="49" t="str">
        <f t="shared" si="18"/>
        <v>2024-09</v>
      </c>
      <c r="T431" s="37">
        <v>0</v>
      </c>
    </row>
    <row r="432" spans="1:20" ht="25.5">
      <c r="A432" s="33" t="s">
        <v>1299</v>
      </c>
      <c r="B432" s="45">
        <v>44967</v>
      </c>
      <c r="C432" s="33" t="s">
        <v>115</v>
      </c>
      <c r="D432" s="33" t="s">
        <v>66</v>
      </c>
      <c r="E432" s="33" t="s">
        <v>67</v>
      </c>
      <c r="F432" s="33" t="s">
        <v>48</v>
      </c>
      <c r="G432" s="33" t="str">
        <f t="shared" si="19"/>
        <v>Minneapolis → San Diego</v>
      </c>
      <c r="H432" s="33" t="s">
        <v>49</v>
      </c>
      <c r="I432" s="33" t="s">
        <v>790</v>
      </c>
      <c r="J432" s="33" t="s">
        <v>1300</v>
      </c>
      <c r="K432" s="33">
        <v>214</v>
      </c>
      <c r="L432" s="33">
        <v>593</v>
      </c>
      <c r="M432" s="33">
        <v>378.21</v>
      </c>
      <c r="N432" s="33" t="s">
        <v>44</v>
      </c>
      <c r="O432" s="33">
        <v>182</v>
      </c>
      <c r="P432" s="33">
        <v>72</v>
      </c>
      <c r="Q432" s="46">
        <f t="shared" si="20"/>
        <v>39.560439560439598</v>
      </c>
      <c r="R432" s="33" t="s">
        <v>28</v>
      </c>
      <c r="S432" s="47" t="str">
        <f t="shared" si="18"/>
        <v>2023-02</v>
      </c>
      <c r="T432" s="33">
        <v>0</v>
      </c>
    </row>
    <row r="433" spans="1:20" ht="25.5">
      <c r="A433" s="37" t="s">
        <v>1301</v>
      </c>
      <c r="B433" s="48">
        <v>45409</v>
      </c>
      <c r="C433" s="33" t="s">
        <v>73</v>
      </c>
      <c r="D433" s="37" t="s">
        <v>64</v>
      </c>
      <c r="E433" s="37" t="s">
        <v>65</v>
      </c>
      <c r="F433" s="37" t="s">
        <v>66</v>
      </c>
      <c r="G433" s="33" t="str">
        <f t="shared" si="19"/>
        <v>San Francisco → Minneapolis</v>
      </c>
      <c r="H433" s="37" t="s">
        <v>67</v>
      </c>
      <c r="I433" s="37" t="s">
        <v>68</v>
      </c>
      <c r="J433" s="37" t="s">
        <v>352</v>
      </c>
      <c r="K433" s="37">
        <v>266</v>
      </c>
      <c r="L433" s="37">
        <v>2732</v>
      </c>
      <c r="M433" s="37">
        <v>814.06</v>
      </c>
      <c r="N433" s="37" t="s">
        <v>44</v>
      </c>
      <c r="O433" s="37">
        <v>143</v>
      </c>
      <c r="P433" s="37">
        <v>94</v>
      </c>
      <c r="Q433" s="46">
        <f t="shared" si="20"/>
        <v>65.734265734265705</v>
      </c>
      <c r="R433" s="37" t="s">
        <v>28</v>
      </c>
      <c r="S433" s="49" t="str">
        <f t="shared" si="18"/>
        <v>2024-04</v>
      </c>
      <c r="T433" s="37">
        <v>0</v>
      </c>
    </row>
    <row r="434" spans="1:20" ht="25.5">
      <c r="A434" s="33" t="s">
        <v>1303</v>
      </c>
      <c r="B434" s="45">
        <v>45467</v>
      </c>
      <c r="C434" s="33" t="s">
        <v>63</v>
      </c>
      <c r="D434" s="33" t="s">
        <v>40</v>
      </c>
      <c r="E434" s="33" t="s">
        <v>41</v>
      </c>
      <c r="F434" s="33" t="s">
        <v>56</v>
      </c>
      <c r="G434" s="33" t="str">
        <f t="shared" si="19"/>
        <v>Charlotte → Los Angeles</v>
      </c>
      <c r="H434" s="33" t="s">
        <v>57</v>
      </c>
      <c r="I434" s="33" t="s">
        <v>25</v>
      </c>
      <c r="J434" s="33" t="s">
        <v>1305</v>
      </c>
      <c r="K434" s="33">
        <v>440</v>
      </c>
      <c r="L434" s="33">
        <v>1831</v>
      </c>
      <c r="M434" s="33">
        <v>254.71</v>
      </c>
      <c r="N434" s="33" t="s">
        <v>27</v>
      </c>
      <c r="O434" s="33">
        <v>318</v>
      </c>
      <c r="P434" s="33">
        <v>93</v>
      </c>
      <c r="Q434" s="46">
        <f t="shared" si="20"/>
        <v>29.245283018867902</v>
      </c>
      <c r="R434" s="33" t="s">
        <v>28</v>
      </c>
      <c r="S434" s="47" t="str">
        <f t="shared" si="18"/>
        <v>2024-06</v>
      </c>
      <c r="T434" s="33">
        <v>0</v>
      </c>
    </row>
    <row r="435" spans="1:20">
      <c r="A435" s="37" t="s">
        <v>1306</v>
      </c>
      <c r="B435" s="48">
        <v>44673</v>
      </c>
      <c r="C435" s="33" t="s">
        <v>31</v>
      </c>
      <c r="D435" s="37" t="s">
        <v>48</v>
      </c>
      <c r="E435" s="37" t="s">
        <v>49</v>
      </c>
      <c r="F435" s="37" t="s">
        <v>101</v>
      </c>
      <c r="G435" s="33" t="str">
        <f t="shared" si="19"/>
        <v>San Diego → Dallas</v>
      </c>
      <c r="H435" s="37" t="s">
        <v>102</v>
      </c>
      <c r="I435" s="37" t="s">
        <v>296</v>
      </c>
      <c r="J435" s="37" t="s">
        <v>1308</v>
      </c>
      <c r="K435" s="37">
        <v>265</v>
      </c>
      <c r="L435" s="37">
        <v>755</v>
      </c>
      <c r="M435" s="37">
        <v>421.73</v>
      </c>
      <c r="N435" s="37" t="s">
        <v>44</v>
      </c>
      <c r="O435" s="37">
        <v>105</v>
      </c>
      <c r="P435" s="37">
        <v>71</v>
      </c>
      <c r="Q435" s="46">
        <f t="shared" si="20"/>
        <v>67.619047619047606</v>
      </c>
      <c r="R435" s="37" t="s">
        <v>28</v>
      </c>
      <c r="S435" s="49" t="str">
        <f t="shared" si="18"/>
        <v>2022-04</v>
      </c>
      <c r="T435" s="37">
        <v>0</v>
      </c>
    </row>
    <row r="436" spans="1:20">
      <c r="A436" s="33" t="s">
        <v>1309</v>
      </c>
      <c r="B436" s="45">
        <v>44995</v>
      </c>
      <c r="C436" s="33" t="s">
        <v>31</v>
      </c>
      <c r="D436" s="33" t="s">
        <v>32</v>
      </c>
      <c r="E436" s="33" t="s">
        <v>33</v>
      </c>
      <c r="F436" s="33" t="s">
        <v>116</v>
      </c>
      <c r="G436" s="33" t="str">
        <f t="shared" si="19"/>
        <v>Orlando → Houston</v>
      </c>
      <c r="H436" s="33" t="s">
        <v>117</v>
      </c>
      <c r="I436" s="33" t="s">
        <v>140</v>
      </c>
      <c r="J436" s="33" t="s">
        <v>126</v>
      </c>
      <c r="K436" s="33">
        <v>408</v>
      </c>
      <c r="L436" s="33">
        <v>878</v>
      </c>
      <c r="M436" s="33">
        <v>858.48</v>
      </c>
      <c r="N436" s="33" t="s">
        <v>27</v>
      </c>
      <c r="O436" s="33">
        <v>104</v>
      </c>
      <c r="P436" s="33">
        <v>74</v>
      </c>
      <c r="Q436" s="46">
        <f t="shared" si="20"/>
        <v>71.153846153846203</v>
      </c>
      <c r="R436" s="33" t="s">
        <v>28</v>
      </c>
      <c r="S436" s="47" t="str">
        <f t="shared" si="18"/>
        <v>2023-03</v>
      </c>
      <c r="T436" s="33">
        <v>0</v>
      </c>
    </row>
    <row r="437" spans="1:20">
      <c r="A437" s="37" t="s">
        <v>1311</v>
      </c>
      <c r="B437" s="48">
        <v>45640</v>
      </c>
      <c r="C437" s="33" t="s">
        <v>20</v>
      </c>
      <c r="D437" s="37" t="s">
        <v>21</v>
      </c>
      <c r="E437" s="37" t="s">
        <v>22</v>
      </c>
      <c r="F437" s="37" t="s">
        <v>38</v>
      </c>
      <c r="G437" s="33" t="str">
        <f t="shared" si="19"/>
        <v>Boston → Miami</v>
      </c>
      <c r="H437" s="37" t="s">
        <v>39</v>
      </c>
      <c r="I437" s="37" t="s">
        <v>179</v>
      </c>
      <c r="J437" s="37" t="s">
        <v>992</v>
      </c>
      <c r="K437" s="37">
        <v>192</v>
      </c>
      <c r="L437" s="37">
        <v>2831</v>
      </c>
      <c r="M437" s="37">
        <v>383.84</v>
      </c>
      <c r="N437" s="37" t="s">
        <v>44</v>
      </c>
      <c r="O437" s="37">
        <v>267</v>
      </c>
      <c r="P437" s="37">
        <v>142</v>
      </c>
      <c r="Q437" s="46">
        <f t="shared" si="20"/>
        <v>53.183520599250897</v>
      </c>
      <c r="R437" s="37" t="s">
        <v>28</v>
      </c>
      <c r="S437" s="49" t="str">
        <f t="shared" si="18"/>
        <v>2024-12</v>
      </c>
      <c r="T437" s="37">
        <v>0</v>
      </c>
    </row>
    <row r="438" spans="1:20">
      <c r="A438" s="33" t="s">
        <v>1313</v>
      </c>
      <c r="B438" s="45">
        <v>45117</v>
      </c>
      <c r="C438" s="33" t="s">
        <v>47</v>
      </c>
      <c r="D438" s="33" t="s">
        <v>197</v>
      </c>
      <c r="E438" s="33" t="s">
        <v>198</v>
      </c>
      <c r="F438" s="33" t="s">
        <v>174</v>
      </c>
      <c r="G438" s="33" t="str">
        <f t="shared" si="19"/>
        <v>Atlanta → New York</v>
      </c>
      <c r="H438" s="33" t="s">
        <v>175</v>
      </c>
      <c r="I438" s="33" t="s">
        <v>210</v>
      </c>
      <c r="J438" s="33" t="s">
        <v>1314</v>
      </c>
      <c r="K438" s="33">
        <v>208</v>
      </c>
      <c r="L438" s="33">
        <v>1859</v>
      </c>
      <c r="M438" s="33">
        <v>649.57000000000005</v>
      </c>
      <c r="N438" s="33" t="s">
        <v>27</v>
      </c>
      <c r="O438" s="33">
        <v>125</v>
      </c>
      <c r="P438" s="33">
        <v>90</v>
      </c>
      <c r="Q438" s="46">
        <f t="shared" si="20"/>
        <v>72</v>
      </c>
      <c r="R438" s="33" t="s">
        <v>28</v>
      </c>
      <c r="S438" s="47" t="str">
        <f t="shared" si="18"/>
        <v>2023-07</v>
      </c>
      <c r="T438" s="33">
        <v>0</v>
      </c>
    </row>
    <row r="439" spans="1:20">
      <c r="A439" s="37" t="s">
        <v>1315</v>
      </c>
      <c r="B439" s="48">
        <v>45650</v>
      </c>
      <c r="C439" s="33" t="s">
        <v>94</v>
      </c>
      <c r="D439" s="37" t="s">
        <v>38</v>
      </c>
      <c r="E439" s="37" t="s">
        <v>39</v>
      </c>
      <c r="F439" s="37" t="s">
        <v>23</v>
      </c>
      <c r="G439" s="33" t="str">
        <f t="shared" si="19"/>
        <v>Miami → Denver</v>
      </c>
      <c r="H439" s="37" t="s">
        <v>24</v>
      </c>
      <c r="I439" s="37" t="s">
        <v>626</v>
      </c>
      <c r="J439" s="37" t="s">
        <v>1317</v>
      </c>
      <c r="K439" s="37">
        <v>377</v>
      </c>
      <c r="L439" s="37">
        <v>388</v>
      </c>
      <c r="M439" s="37">
        <v>124.52</v>
      </c>
      <c r="N439" s="37" t="s">
        <v>27</v>
      </c>
      <c r="O439" s="37">
        <v>178</v>
      </c>
      <c r="P439" s="37">
        <v>135</v>
      </c>
      <c r="Q439" s="46">
        <f t="shared" si="20"/>
        <v>75.842696629213506</v>
      </c>
      <c r="R439" s="37" t="s">
        <v>28</v>
      </c>
      <c r="S439" s="49" t="str">
        <f t="shared" si="18"/>
        <v>2024-12</v>
      </c>
      <c r="T439" s="37">
        <v>0</v>
      </c>
    </row>
    <row r="440" spans="1:20" ht="25.5">
      <c r="A440" s="33" t="s">
        <v>1318</v>
      </c>
      <c r="B440" s="45">
        <v>44883</v>
      </c>
      <c r="C440" s="33" t="s">
        <v>20</v>
      </c>
      <c r="D440" s="33" t="s">
        <v>64</v>
      </c>
      <c r="E440" s="33" t="s">
        <v>65</v>
      </c>
      <c r="F440" s="33" t="s">
        <v>66</v>
      </c>
      <c r="G440" s="33" t="str">
        <f t="shared" si="19"/>
        <v>San Francisco → Minneapolis</v>
      </c>
      <c r="H440" s="33" t="s">
        <v>67</v>
      </c>
      <c r="I440" s="33" t="s">
        <v>162</v>
      </c>
      <c r="J440" s="33" t="s">
        <v>240</v>
      </c>
      <c r="K440" s="33">
        <v>210</v>
      </c>
      <c r="L440" s="33">
        <v>2353</v>
      </c>
      <c r="M440" s="33">
        <v>388.98</v>
      </c>
      <c r="N440" s="33" t="s">
        <v>60</v>
      </c>
      <c r="O440" s="33">
        <v>260</v>
      </c>
      <c r="P440" s="33">
        <v>115</v>
      </c>
      <c r="Q440" s="46">
        <f t="shared" si="20"/>
        <v>44.230769230769198</v>
      </c>
      <c r="R440" s="33" t="s">
        <v>70</v>
      </c>
      <c r="S440" s="47" t="str">
        <f t="shared" si="18"/>
        <v>2022-11</v>
      </c>
      <c r="T440" s="33">
        <v>22</v>
      </c>
    </row>
    <row r="441" spans="1:20" ht="25.5">
      <c r="A441" s="37" t="s">
        <v>1320</v>
      </c>
      <c r="B441" s="48">
        <v>45135</v>
      </c>
      <c r="C441" s="33" t="s">
        <v>31</v>
      </c>
      <c r="D441" s="37" t="s">
        <v>101</v>
      </c>
      <c r="E441" s="37" t="s">
        <v>102</v>
      </c>
      <c r="F441" s="37" t="s">
        <v>64</v>
      </c>
      <c r="G441" s="33" t="str">
        <f t="shared" si="19"/>
        <v>Dallas → San Francisco</v>
      </c>
      <c r="H441" s="37" t="s">
        <v>65</v>
      </c>
      <c r="I441" s="37" t="s">
        <v>279</v>
      </c>
      <c r="J441" s="37" t="s">
        <v>1322</v>
      </c>
      <c r="K441" s="37">
        <v>134</v>
      </c>
      <c r="L441" s="37">
        <v>1865</v>
      </c>
      <c r="M441" s="37">
        <v>663.2</v>
      </c>
      <c r="N441" s="37" t="s">
        <v>27</v>
      </c>
      <c r="O441" s="37">
        <v>256</v>
      </c>
      <c r="P441" s="37">
        <v>210</v>
      </c>
      <c r="Q441" s="46">
        <f t="shared" si="20"/>
        <v>82.03125</v>
      </c>
      <c r="R441" s="37" t="s">
        <v>70</v>
      </c>
      <c r="S441" s="49" t="str">
        <f t="shared" si="18"/>
        <v>2023-07</v>
      </c>
      <c r="T441" s="37">
        <v>121</v>
      </c>
    </row>
    <row r="442" spans="1:20">
      <c r="A442" s="33" t="s">
        <v>1323</v>
      </c>
      <c r="B442" s="45">
        <v>45054</v>
      </c>
      <c r="C442" s="33" t="s">
        <v>63</v>
      </c>
      <c r="D442" s="33" t="s">
        <v>129</v>
      </c>
      <c r="E442" s="33" t="s">
        <v>130</v>
      </c>
      <c r="F442" s="33" t="s">
        <v>95</v>
      </c>
      <c r="G442" s="33" t="str">
        <f t="shared" si="19"/>
        <v>Detroit → Las Vegas</v>
      </c>
      <c r="H442" s="33" t="s">
        <v>96</v>
      </c>
      <c r="I442" s="33" t="s">
        <v>414</v>
      </c>
      <c r="J442" s="33" t="s">
        <v>1325</v>
      </c>
      <c r="K442" s="33">
        <v>319</v>
      </c>
      <c r="L442" s="33">
        <v>2520</v>
      </c>
      <c r="M442" s="33">
        <v>227.58</v>
      </c>
      <c r="N442" s="33" t="s">
        <v>27</v>
      </c>
      <c r="O442" s="33">
        <v>135</v>
      </c>
      <c r="P442" s="33">
        <v>124</v>
      </c>
      <c r="Q442" s="46">
        <f t="shared" si="20"/>
        <v>91.851851851851805</v>
      </c>
      <c r="R442" s="33" t="s">
        <v>28</v>
      </c>
      <c r="S442" s="47" t="str">
        <f t="shared" si="18"/>
        <v>2023-05</v>
      </c>
      <c r="T442" s="33">
        <v>0</v>
      </c>
    </row>
    <row r="443" spans="1:20">
      <c r="A443" s="37" t="s">
        <v>1326</v>
      </c>
      <c r="B443" s="48">
        <v>44976</v>
      </c>
      <c r="C443" s="33" t="s">
        <v>63</v>
      </c>
      <c r="D443" s="37" t="s">
        <v>95</v>
      </c>
      <c r="E443" s="37" t="s">
        <v>96</v>
      </c>
      <c r="F443" s="37" t="s">
        <v>32</v>
      </c>
      <c r="G443" s="33" t="str">
        <f t="shared" si="19"/>
        <v>Las Vegas → Orlando</v>
      </c>
      <c r="H443" s="37" t="s">
        <v>33</v>
      </c>
      <c r="I443" s="37" t="s">
        <v>86</v>
      </c>
      <c r="J443" s="37" t="s">
        <v>1328</v>
      </c>
      <c r="K443" s="37">
        <v>164</v>
      </c>
      <c r="L443" s="37">
        <v>2987</v>
      </c>
      <c r="M443" s="37">
        <v>1124.99</v>
      </c>
      <c r="N443" s="37" t="s">
        <v>60</v>
      </c>
      <c r="O443" s="37">
        <v>181</v>
      </c>
      <c r="P443" s="37">
        <v>67</v>
      </c>
      <c r="Q443" s="46">
        <f t="shared" si="20"/>
        <v>37.016574585635396</v>
      </c>
      <c r="R443" s="37" t="s">
        <v>28</v>
      </c>
      <c r="S443" s="49" t="str">
        <f t="shared" si="18"/>
        <v>2023-02</v>
      </c>
      <c r="T443" s="37">
        <v>0</v>
      </c>
    </row>
    <row r="444" spans="1:20">
      <c r="A444" s="33" t="s">
        <v>1329</v>
      </c>
      <c r="B444" s="45">
        <v>44804</v>
      </c>
      <c r="C444" s="33" t="s">
        <v>63</v>
      </c>
      <c r="D444" s="33" t="s">
        <v>156</v>
      </c>
      <c r="E444" s="33" t="s">
        <v>157</v>
      </c>
      <c r="F444" s="33" t="s">
        <v>101</v>
      </c>
      <c r="G444" s="33" t="str">
        <f t="shared" si="19"/>
        <v>Phoenix → Dallas</v>
      </c>
      <c r="H444" s="33" t="s">
        <v>102</v>
      </c>
      <c r="I444" s="33" t="s">
        <v>663</v>
      </c>
      <c r="J444" s="33" t="s">
        <v>1331</v>
      </c>
      <c r="K444" s="33">
        <v>253</v>
      </c>
      <c r="L444" s="33">
        <v>1995</v>
      </c>
      <c r="M444" s="33">
        <v>1156.54</v>
      </c>
      <c r="N444" t="s">
        <v>1463</v>
      </c>
      <c r="O444" s="33">
        <v>213</v>
      </c>
      <c r="P444" s="33">
        <v>213</v>
      </c>
      <c r="Q444" s="46">
        <f t="shared" si="20"/>
        <v>100</v>
      </c>
      <c r="R444" s="33" t="s">
        <v>149</v>
      </c>
      <c r="S444" s="47" t="str">
        <f t="shared" si="18"/>
        <v>2022-08</v>
      </c>
      <c r="T444" s="33">
        <v>0</v>
      </c>
    </row>
    <row r="445" spans="1:20">
      <c r="A445" s="37" t="s">
        <v>1332</v>
      </c>
      <c r="B445" s="48">
        <v>45122</v>
      </c>
      <c r="C445" s="33" t="s">
        <v>63</v>
      </c>
      <c r="D445" s="37" t="s">
        <v>183</v>
      </c>
      <c r="E445" s="37" t="s">
        <v>184</v>
      </c>
      <c r="F445" s="37" t="s">
        <v>197</v>
      </c>
      <c r="G445" s="33" t="str">
        <f t="shared" si="19"/>
        <v>Seattle → Atlanta</v>
      </c>
      <c r="H445" s="37" t="s">
        <v>198</v>
      </c>
      <c r="I445" s="37" t="s">
        <v>939</v>
      </c>
      <c r="J445" s="37" t="s">
        <v>314</v>
      </c>
      <c r="K445" s="37">
        <v>103</v>
      </c>
      <c r="L445" s="37">
        <v>2806</v>
      </c>
      <c r="M445" s="37">
        <v>770.98</v>
      </c>
      <c r="N445" s="37" t="s">
        <v>27</v>
      </c>
      <c r="O445" s="37">
        <v>245</v>
      </c>
      <c r="P445" s="37">
        <v>206</v>
      </c>
      <c r="Q445" s="46">
        <f t="shared" si="20"/>
        <v>84.081632653061206</v>
      </c>
      <c r="R445" s="37" t="s">
        <v>28</v>
      </c>
      <c r="S445" s="49" t="str">
        <f t="shared" si="18"/>
        <v>2023-07</v>
      </c>
      <c r="T445" s="37">
        <v>0</v>
      </c>
    </row>
    <row r="446" spans="1:20" ht="25.5">
      <c r="A446" s="33" t="s">
        <v>1334</v>
      </c>
      <c r="B446" s="45">
        <v>45037</v>
      </c>
      <c r="C446" s="33" t="s">
        <v>31</v>
      </c>
      <c r="D446" s="33" t="s">
        <v>174</v>
      </c>
      <c r="E446" s="33" t="s">
        <v>175</v>
      </c>
      <c r="F446" s="33" t="s">
        <v>66</v>
      </c>
      <c r="G446" s="33" t="str">
        <f t="shared" si="19"/>
        <v>New York → Minneapolis</v>
      </c>
      <c r="H446" s="33" t="s">
        <v>67</v>
      </c>
      <c r="I446" s="33" t="s">
        <v>170</v>
      </c>
      <c r="J446" s="33" t="s">
        <v>1336</v>
      </c>
      <c r="K446" s="33">
        <v>158</v>
      </c>
      <c r="L446" s="33">
        <v>2357</v>
      </c>
      <c r="M446" s="33">
        <v>1027.67</v>
      </c>
      <c r="N446" s="33" t="s">
        <v>44</v>
      </c>
      <c r="O446" s="33">
        <v>282</v>
      </c>
      <c r="P446" s="33">
        <v>216</v>
      </c>
      <c r="Q446" s="46">
        <f t="shared" si="20"/>
        <v>76.595744680851098</v>
      </c>
      <c r="R446" s="33" t="s">
        <v>28</v>
      </c>
      <c r="S446" s="47" t="str">
        <f t="shared" si="18"/>
        <v>2023-04</v>
      </c>
      <c r="T446" s="33">
        <v>0</v>
      </c>
    </row>
    <row r="447" spans="1:20">
      <c r="A447" s="37" t="s">
        <v>1337</v>
      </c>
      <c r="B447" s="48">
        <v>45355</v>
      </c>
      <c r="C447" s="33" t="s">
        <v>115</v>
      </c>
      <c r="D447" s="37" t="s">
        <v>79</v>
      </c>
      <c r="E447" s="37" t="s">
        <v>80</v>
      </c>
      <c r="F447" s="37" t="s">
        <v>101</v>
      </c>
      <c r="G447" s="33" t="str">
        <f t="shared" si="19"/>
        <v>Newark → Dallas</v>
      </c>
      <c r="H447" s="37" t="s">
        <v>102</v>
      </c>
      <c r="I447" s="37" t="s">
        <v>303</v>
      </c>
      <c r="J447" s="37" t="s">
        <v>439</v>
      </c>
      <c r="K447" s="37">
        <v>205</v>
      </c>
      <c r="L447" s="37">
        <v>432</v>
      </c>
      <c r="M447" s="37">
        <v>537.62</v>
      </c>
      <c r="N447" s="37" t="s">
        <v>60</v>
      </c>
      <c r="O447" s="37">
        <v>336</v>
      </c>
      <c r="P447" s="37">
        <v>188</v>
      </c>
      <c r="Q447" s="46">
        <f t="shared" si="20"/>
        <v>55.952380952380999</v>
      </c>
      <c r="R447" s="37" t="s">
        <v>149</v>
      </c>
      <c r="S447" s="49" t="str">
        <f t="shared" si="18"/>
        <v>2024-03</v>
      </c>
      <c r="T447" s="37">
        <v>0</v>
      </c>
    </row>
    <row r="448" spans="1:20">
      <c r="A448" s="33" t="s">
        <v>1338</v>
      </c>
      <c r="B448" s="45">
        <v>45017</v>
      </c>
      <c r="C448" s="33" t="s">
        <v>31</v>
      </c>
      <c r="D448" s="33" t="s">
        <v>183</v>
      </c>
      <c r="E448" s="33" t="s">
        <v>184</v>
      </c>
      <c r="F448" s="33" t="s">
        <v>54</v>
      </c>
      <c r="G448" s="33" t="str">
        <f t="shared" si="19"/>
        <v>Seattle → Chicago</v>
      </c>
      <c r="H448" s="33" t="s">
        <v>55</v>
      </c>
      <c r="I448" s="33" t="s">
        <v>97</v>
      </c>
      <c r="J448" s="33" t="s">
        <v>462</v>
      </c>
      <c r="K448" s="33">
        <v>405</v>
      </c>
      <c r="L448" s="33">
        <v>2306</v>
      </c>
      <c r="M448" s="33">
        <v>850.41</v>
      </c>
      <c r="N448" s="33" t="s">
        <v>44</v>
      </c>
      <c r="O448" s="33">
        <v>327</v>
      </c>
      <c r="P448" s="33">
        <v>176</v>
      </c>
      <c r="Q448" s="46">
        <f t="shared" si="20"/>
        <v>53.822629969418998</v>
      </c>
      <c r="R448" s="33" t="s">
        <v>28</v>
      </c>
      <c r="S448" s="47" t="str">
        <f t="shared" si="18"/>
        <v>2023-04</v>
      </c>
      <c r="T448" s="33">
        <v>0</v>
      </c>
    </row>
    <row r="449" spans="1:20">
      <c r="A449" s="37" t="s">
        <v>1340</v>
      </c>
      <c r="B449" s="48">
        <v>44647</v>
      </c>
      <c r="C449" s="33" t="s">
        <v>73</v>
      </c>
      <c r="D449" s="37" t="s">
        <v>156</v>
      </c>
      <c r="E449" s="37" t="s">
        <v>157</v>
      </c>
      <c r="F449" s="37" t="s">
        <v>129</v>
      </c>
      <c r="G449" s="33" t="str">
        <f t="shared" si="19"/>
        <v>Phoenix → Detroit</v>
      </c>
      <c r="H449" s="37" t="s">
        <v>130</v>
      </c>
      <c r="I449" s="37" t="s">
        <v>34</v>
      </c>
      <c r="J449" s="37" t="s">
        <v>1341</v>
      </c>
      <c r="K449" s="37">
        <v>356</v>
      </c>
      <c r="L449" s="37">
        <v>747</v>
      </c>
      <c r="M449" s="37">
        <v>585.79999999999995</v>
      </c>
      <c r="N449" s="37" t="s">
        <v>60</v>
      </c>
      <c r="O449" s="37">
        <v>324</v>
      </c>
      <c r="P449" s="37">
        <v>175</v>
      </c>
      <c r="Q449" s="46">
        <f t="shared" si="20"/>
        <v>54.012345679012299</v>
      </c>
      <c r="R449" s="37" t="s">
        <v>28</v>
      </c>
      <c r="S449" s="49" t="str">
        <f t="shared" si="18"/>
        <v>2022-03</v>
      </c>
      <c r="T449" s="37">
        <v>0</v>
      </c>
    </row>
    <row r="450" spans="1:20" ht="25.5">
      <c r="A450" s="33" t="s">
        <v>1342</v>
      </c>
      <c r="B450" s="45">
        <v>45372</v>
      </c>
      <c r="C450" s="33" t="s">
        <v>20</v>
      </c>
      <c r="D450" s="33" t="s">
        <v>32</v>
      </c>
      <c r="E450" s="33" t="s">
        <v>33</v>
      </c>
      <c r="F450" s="33" t="s">
        <v>66</v>
      </c>
      <c r="G450" s="33" t="str">
        <f t="shared" si="19"/>
        <v>Orlando → Minneapolis</v>
      </c>
      <c r="H450" s="33" t="s">
        <v>67</v>
      </c>
      <c r="I450" s="33" t="s">
        <v>712</v>
      </c>
      <c r="J450" s="33" t="s">
        <v>1344</v>
      </c>
      <c r="K450" s="33">
        <v>187</v>
      </c>
      <c r="L450" s="33">
        <v>1492</v>
      </c>
      <c r="M450" s="33">
        <v>572.29999999999995</v>
      </c>
      <c r="N450" s="33" t="s">
        <v>44</v>
      </c>
      <c r="O450" s="33">
        <v>298</v>
      </c>
      <c r="P450" s="33">
        <v>261</v>
      </c>
      <c r="Q450" s="46">
        <f t="shared" si="20"/>
        <v>87.583892617449706</v>
      </c>
      <c r="R450" s="33" t="s">
        <v>28</v>
      </c>
      <c r="S450" s="47" t="str">
        <f t="shared" ref="S450:S501" si="21">TEXT(B450,"YYYY-MM")</f>
        <v>2024-03</v>
      </c>
      <c r="T450" s="33">
        <v>0</v>
      </c>
    </row>
    <row r="451" spans="1:20" ht="25.5">
      <c r="A451" s="37" t="s">
        <v>1345</v>
      </c>
      <c r="B451" s="48">
        <v>44902</v>
      </c>
      <c r="C451" s="33" t="s">
        <v>73</v>
      </c>
      <c r="D451" s="37" t="s">
        <v>95</v>
      </c>
      <c r="E451" s="37" t="s">
        <v>96</v>
      </c>
      <c r="F451" s="37" t="s">
        <v>56</v>
      </c>
      <c r="G451" s="33" t="str">
        <f t="shared" ref="G451:G501" si="22">D451&amp;" → "&amp;F451</f>
        <v>Las Vegas → Los Angeles</v>
      </c>
      <c r="H451" s="37" t="s">
        <v>57</v>
      </c>
      <c r="I451" s="37" t="s">
        <v>600</v>
      </c>
      <c r="J451" s="37" t="s">
        <v>1346</v>
      </c>
      <c r="K451" s="37">
        <v>327</v>
      </c>
      <c r="L451" s="37">
        <v>2946</v>
      </c>
      <c r="M451" s="37">
        <v>585.9</v>
      </c>
      <c r="N451" s="37" t="s">
        <v>27</v>
      </c>
      <c r="O451" s="37">
        <v>228</v>
      </c>
      <c r="P451" s="37">
        <v>78</v>
      </c>
      <c r="Q451" s="46">
        <f t="shared" ref="Q451:Q501" si="23">P451/O451*100</f>
        <v>34.210526315789501</v>
      </c>
      <c r="R451" s="37" t="s">
        <v>28</v>
      </c>
      <c r="S451" s="49" t="str">
        <f t="shared" si="21"/>
        <v>2022-12</v>
      </c>
      <c r="T451" s="37">
        <v>0</v>
      </c>
    </row>
    <row r="452" spans="1:20">
      <c r="A452" s="33" t="s">
        <v>1347</v>
      </c>
      <c r="B452" s="45">
        <v>44839</v>
      </c>
      <c r="C452" s="33" t="s">
        <v>73</v>
      </c>
      <c r="D452" s="33" t="s">
        <v>129</v>
      </c>
      <c r="E452" s="33" t="s">
        <v>130</v>
      </c>
      <c r="F452" s="33" t="s">
        <v>156</v>
      </c>
      <c r="G452" s="33" t="str">
        <f t="shared" si="22"/>
        <v>Detroit → Phoenix</v>
      </c>
      <c r="H452" s="33" t="s">
        <v>157</v>
      </c>
      <c r="I452" s="33" t="s">
        <v>135</v>
      </c>
      <c r="J452" s="33" t="s">
        <v>1349</v>
      </c>
      <c r="K452" s="33">
        <v>181</v>
      </c>
      <c r="L452" s="33">
        <v>2158</v>
      </c>
      <c r="M452" s="33">
        <v>587.19000000000005</v>
      </c>
      <c r="N452" s="33" t="s">
        <v>27</v>
      </c>
      <c r="O452" s="33">
        <v>329</v>
      </c>
      <c r="P452" s="33">
        <v>153</v>
      </c>
      <c r="Q452" s="46">
        <f t="shared" si="23"/>
        <v>46.504559270516701</v>
      </c>
      <c r="R452" s="33" t="s">
        <v>70</v>
      </c>
      <c r="S452" s="47" t="str">
        <f t="shared" si="21"/>
        <v>2022-10</v>
      </c>
      <c r="T452" s="33">
        <v>38</v>
      </c>
    </row>
    <row r="453" spans="1:20">
      <c r="A453" s="37" t="s">
        <v>1350</v>
      </c>
      <c r="B453" s="48">
        <v>45074</v>
      </c>
      <c r="C453" s="33" t="s">
        <v>47</v>
      </c>
      <c r="D453" s="37" t="s">
        <v>38</v>
      </c>
      <c r="E453" s="37" t="s">
        <v>39</v>
      </c>
      <c r="F453" s="37" t="s">
        <v>197</v>
      </c>
      <c r="G453" s="33" t="str">
        <f t="shared" si="22"/>
        <v>Miami → Atlanta</v>
      </c>
      <c r="H453" s="37" t="s">
        <v>198</v>
      </c>
      <c r="I453" s="37" t="s">
        <v>107</v>
      </c>
      <c r="J453" s="37" t="s">
        <v>1351</v>
      </c>
      <c r="K453" s="37">
        <v>451</v>
      </c>
      <c r="L453" s="37">
        <v>2140</v>
      </c>
      <c r="M453" s="37">
        <v>790.16</v>
      </c>
      <c r="N453" s="37" t="s">
        <v>60</v>
      </c>
      <c r="O453" s="37">
        <v>234</v>
      </c>
      <c r="P453" s="37">
        <v>231</v>
      </c>
      <c r="Q453" s="46">
        <f t="shared" si="23"/>
        <v>98.717948717948701</v>
      </c>
      <c r="R453" s="37" t="s">
        <v>28</v>
      </c>
      <c r="S453" s="49" t="str">
        <f t="shared" si="21"/>
        <v>2023-05</v>
      </c>
      <c r="T453" s="37">
        <v>0</v>
      </c>
    </row>
    <row r="454" spans="1:20" ht="25.5">
      <c r="A454" s="33" t="s">
        <v>1352</v>
      </c>
      <c r="B454" s="45">
        <v>45609</v>
      </c>
      <c r="C454" s="33" t="s">
        <v>63</v>
      </c>
      <c r="D454" s="33" t="s">
        <v>66</v>
      </c>
      <c r="E454" s="33" t="s">
        <v>67</v>
      </c>
      <c r="F454" s="33" t="s">
        <v>54</v>
      </c>
      <c r="G454" s="33" t="str">
        <f t="shared" si="22"/>
        <v>Minneapolis → Chicago</v>
      </c>
      <c r="H454" s="33" t="s">
        <v>74</v>
      </c>
      <c r="I454" s="33" t="s">
        <v>453</v>
      </c>
      <c r="J454" s="33" t="s">
        <v>1009</v>
      </c>
      <c r="K454" s="33">
        <v>177</v>
      </c>
      <c r="L454" s="33">
        <v>1672</v>
      </c>
      <c r="M454" s="33">
        <v>713.35</v>
      </c>
      <c r="N454" s="33" t="s">
        <v>27</v>
      </c>
      <c r="O454" s="33">
        <v>320</v>
      </c>
      <c r="P454" s="33">
        <v>126</v>
      </c>
      <c r="Q454" s="46">
        <f t="shared" si="23"/>
        <v>39.375</v>
      </c>
      <c r="R454" s="33" t="s">
        <v>28</v>
      </c>
      <c r="S454" s="47" t="str">
        <f t="shared" si="21"/>
        <v>2024-11</v>
      </c>
      <c r="T454" s="33">
        <v>0</v>
      </c>
    </row>
    <row r="455" spans="1:20" ht="25.5">
      <c r="A455" s="37" t="s">
        <v>1354</v>
      </c>
      <c r="B455" s="48">
        <v>44858</v>
      </c>
      <c r="C455" s="33" t="s">
        <v>63</v>
      </c>
      <c r="D455" s="37" t="s">
        <v>56</v>
      </c>
      <c r="E455" s="37" t="s">
        <v>57</v>
      </c>
      <c r="F455" s="37" t="s">
        <v>40</v>
      </c>
      <c r="G455" s="33" t="str">
        <f t="shared" si="22"/>
        <v>Los Angeles → Charlotte</v>
      </c>
      <c r="H455" s="37" t="s">
        <v>41</v>
      </c>
      <c r="I455" s="37" t="s">
        <v>283</v>
      </c>
      <c r="J455" s="37" t="s">
        <v>153</v>
      </c>
      <c r="K455" s="37">
        <v>463</v>
      </c>
      <c r="L455" s="37">
        <v>2127</v>
      </c>
      <c r="M455" s="37">
        <v>403.43</v>
      </c>
      <c r="N455" s="37" t="s">
        <v>60</v>
      </c>
      <c r="O455" s="37">
        <v>130</v>
      </c>
      <c r="P455" s="37">
        <v>66</v>
      </c>
      <c r="Q455" s="46">
        <f t="shared" si="23"/>
        <v>50.769230769230802</v>
      </c>
      <c r="R455" s="37" t="s">
        <v>149</v>
      </c>
      <c r="S455" s="49" t="str">
        <f t="shared" si="21"/>
        <v>2022-10</v>
      </c>
      <c r="T455" s="37">
        <v>0</v>
      </c>
    </row>
    <row r="456" spans="1:20">
      <c r="A456" s="33" t="s">
        <v>1355</v>
      </c>
      <c r="B456" s="45">
        <v>44774</v>
      </c>
      <c r="C456" s="33" t="s">
        <v>1462</v>
      </c>
      <c r="D456" s="33" t="s">
        <v>174</v>
      </c>
      <c r="E456" s="33" t="s">
        <v>175</v>
      </c>
      <c r="F456" s="33" t="s">
        <v>79</v>
      </c>
      <c r="G456" s="33" t="str">
        <f t="shared" si="22"/>
        <v>New York → Newark</v>
      </c>
      <c r="H456" s="33" t="s">
        <v>80</v>
      </c>
      <c r="I456" s="33" t="s">
        <v>389</v>
      </c>
      <c r="J456" s="33" t="s">
        <v>1200</v>
      </c>
      <c r="K456" s="33">
        <v>368</v>
      </c>
      <c r="L456" s="33">
        <v>323</v>
      </c>
      <c r="M456" s="33">
        <v>760.94</v>
      </c>
      <c r="N456" s="33" t="s">
        <v>44</v>
      </c>
      <c r="O456" s="33">
        <v>160</v>
      </c>
      <c r="P456" s="33">
        <v>77</v>
      </c>
      <c r="Q456" s="46">
        <f t="shared" si="23"/>
        <v>48.125</v>
      </c>
      <c r="R456" s="33" t="s">
        <v>28</v>
      </c>
      <c r="S456" s="47" t="str">
        <f t="shared" si="21"/>
        <v>2022-08</v>
      </c>
      <c r="T456" s="33">
        <v>0</v>
      </c>
    </row>
    <row r="457" spans="1:20">
      <c r="A457" s="37" t="s">
        <v>1357</v>
      </c>
      <c r="B457" s="48">
        <v>45536</v>
      </c>
      <c r="C457" s="33" t="s">
        <v>115</v>
      </c>
      <c r="D457" s="37" t="s">
        <v>129</v>
      </c>
      <c r="E457" s="37" t="s">
        <v>130</v>
      </c>
      <c r="F457" s="37" t="s">
        <v>79</v>
      </c>
      <c r="G457" s="33" t="str">
        <f t="shared" si="22"/>
        <v>Detroit → Newark</v>
      </c>
      <c r="H457" s="37" t="s">
        <v>80</v>
      </c>
      <c r="I457" s="37" t="s">
        <v>107</v>
      </c>
      <c r="J457" s="37" t="s">
        <v>1026</v>
      </c>
      <c r="K457" s="37">
        <v>215</v>
      </c>
      <c r="L457" s="37">
        <v>2541</v>
      </c>
      <c r="M457" s="37">
        <v>391.49</v>
      </c>
      <c r="N457" s="37" t="s">
        <v>27</v>
      </c>
      <c r="O457" s="37">
        <v>242</v>
      </c>
      <c r="P457" s="37">
        <v>133</v>
      </c>
      <c r="Q457" s="46">
        <f t="shared" si="23"/>
        <v>54.958677685950398</v>
      </c>
      <c r="R457" s="37" t="s">
        <v>28</v>
      </c>
      <c r="S457" s="49" t="str">
        <f t="shared" si="21"/>
        <v>2024-09</v>
      </c>
      <c r="T457" s="37">
        <v>0</v>
      </c>
    </row>
    <row r="458" spans="1:20" ht="25.5">
      <c r="A458" s="33" t="s">
        <v>1358</v>
      </c>
      <c r="B458" s="45">
        <v>44865</v>
      </c>
      <c r="C458" s="33" t="s">
        <v>20</v>
      </c>
      <c r="D458" s="33" t="s">
        <v>64</v>
      </c>
      <c r="E458" s="33" t="s">
        <v>65</v>
      </c>
      <c r="F458" s="33" t="s">
        <v>56</v>
      </c>
      <c r="G458" s="33" t="str">
        <f t="shared" si="22"/>
        <v>San Francisco → Los Angeles</v>
      </c>
      <c r="H458" s="33" t="s">
        <v>57</v>
      </c>
      <c r="I458" s="33" t="s">
        <v>403</v>
      </c>
      <c r="J458" s="33" t="s">
        <v>1107</v>
      </c>
      <c r="K458" s="33">
        <v>431</v>
      </c>
      <c r="L458" s="33">
        <v>2667</v>
      </c>
      <c r="M458" s="33">
        <v>1018.58</v>
      </c>
      <c r="N458" s="33" t="s">
        <v>44</v>
      </c>
      <c r="O458" s="33">
        <v>184</v>
      </c>
      <c r="P458" s="33">
        <v>72</v>
      </c>
      <c r="Q458" s="46">
        <f t="shared" si="23"/>
        <v>39.130434782608702</v>
      </c>
      <c r="R458" s="33" t="s">
        <v>28</v>
      </c>
      <c r="S458" s="47" t="str">
        <f t="shared" si="21"/>
        <v>2022-10</v>
      </c>
      <c r="T458" s="33">
        <v>0</v>
      </c>
    </row>
    <row r="459" spans="1:20">
      <c r="A459" s="37" t="s">
        <v>1359</v>
      </c>
      <c r="B459" s="48">
        <v>45415</v>
      </c>
      <c r="C459" s="33" t="s">
        <v>63</v>
      </c>
      <c r="D459" s="37" t="s">
        <v>38</v>
      </c>
      <c r="E459" s="37" t="s">
        <v>39</v>
      </c>
      <c r="F459" s="37" t="s">
        <v>156</v>
      </c>
      <c r="G459" s="33" t="str">
        <f t="shared" si="22"/>
        <v>Miami → Phoenix</v>
      </c>
      <c r="H459" s="37" t="s">
        <v>157</v>
      </c>
      <c r="I459" s="37" t="s">
        <v>494</v>
      </c>
      <c r="J459" s="37" t="s">
        <v>1360</v>
      </c>
      <c r="K459" s="37">
        <v>323</v>
      </c>
      <c r="L459" s="37">
        <v>2671</v>
      </c>
      <c r="M459" s="37">
        <v>483.41</v>
      </c>
      <c r="N459" s="37" t="s">
        <v>60</v>
      </c>
      <c r="O459" s="37">
        <v>123</v>
      </c>
      <c r="P459" s="37">
        <v>88</v>
      </c>
      <c r="Q459" s="46">
        <f t="shared" si="23"/>
        <v>71.544715447154502</v>
      </c>
      <c r="R459" s="37" t="s">
        <v>28</v>
      </c>
      <c r="S459" s="49" t="str">
        <f t="shared" si="21"/>
        <v>2024-05</v>
      </c>
      <c r="T459" s="37">
        <v>0</v>
      </c>
    </row>
    <row r="460" spans="1:20">
      <c r="A460" s="33" t="s">
        <v>1361</v>
      </c>
      <c r="B460" s="45">
        <v>45338</v>
      </c>
      <c r="C460" s="33" t="s">
        <v>94</v>
      </c>
      <c r="D460" s="33" t="s">
        <v>129</v>
      </c>
      <c r="E460" s="33" t="s">
        <v>130</v>
      </c>
      <c r="F460" s="33" t="s">
        <v>54</v>
      </c>
      <c r="G460" s="33" t="str">
        <f t="shared" si="22"/>
        <v>Detroit → Chicago</v>
      </c>
      <c r="H460" s="33" t="s">
        <v>74</v>
      </c>
      <c r="I460" s="33" t="s">
        <v>230</v>
      </c>
      <c r="J460" s="33" t="s">
        <v>1362</v>
      </c>
      <c r="K460" s="33">
        <v>331</v>
      </c>
      <c r="L460" s="33">
        <v>851</v>
      </c>
      <c r="M460" s="33">
        <v>216.67</v>
      </c>
      <c r="N460" s="33" t="s">
        <v>44</v>
      </c>
      <c r="O460" s="33">
        <v>184</v>
      </c>
      <c r="P460" s="33">
        <v>184</v>
      </c>
      <c r="Q460" s="46">
        <f t="shared" si="23"/>
        <v>100</v>
      </c>
      <c r="R460" s="33" t="s">
        <v>28</v>
      </c>
      <c r="S460" s="47" t="str">
        <f t="shared" si="21"/>
        <v>2024-02</v>
      </c>
      <c r="T460" s="33">
        <v>0</v>
      </c>
    </row>
    <row r="461" spans="1:20" ht="25.5">
      <c r="A461" s="37" t="s">
        <v>1363</v>
      </c>
      <c r="B461" s="48">
        <v>44991</v>
      </c>
      <c r="C461" s="33" t="s">
        <v>31</v>
      </c>
      <c r="D461" s="37" t="s">
        <v>48</v>
      </c>
      <c r="E461" s="37" t="s">
        <v>49</v>
      </c>
      <c r="F461" s="37" t="s">
        <v>56</v>
      </c>
      <c r="G461" s="33" t="str">
        <f t="shared" si="22"/>
        <v>San Diego → Los Angeles</v>
      </c>
      <c r="H461" s="37" t="s">
        <v>57</v>
      </c>
      <c r="I461" s="37" t="s">
        <v>166</v>
      </c>
      <c r="J461" s="37" t="s">
        <v>1365</v>
      </c>
      <c r="K461" s="37">
        <v>337</v>
      </c>
      <c r="L461" s="37">
        <v>2777</v>
      </c>
      <c r="M461" s="37">
        <v>1125.96</v>
      </c>
      <c r="N461" s="37" t="s">
        <v>27</v>
      </c>
      <c r="O461" s="37">
        <v>173</v>
      </c>
      <c r="P461" s="37">
        <v>133</v>
      </c>
      <c r="Q461" s="46">
        <f t="shared" si="23"/>
        <v>76.878612716763001</v>
      </c>
      <c r="R461" s="37" t="s">
        <v>28</v>
      </c>
      <c r="S461" s="49" t="str">
        <f t="shared" si="21"/>
        <v>2023-03</v>
      </c>
      <c r="T461" s="37">
        <v>0</v>
      </c>
    </row>
    <row r="462" spans="1:20">
      <c r="A462" s="33" t="s">
        <v>1366</v>
      </c>
      <c r="B462" s="45">
        <v>45210</v>
      </c>
      <c r="C462" s="33" t="s">
        <v>1462</v>
      </c>
      <c r="D462" s="33" t="s">
        <v>116</v>
      </c>
      <c r="E462" s="33" t="s">
        <v>117</v>
      </c>
      <c r="F462" s="33" t="s">
        <v>48</v>
      </c>
      <c r="G462" s="33" t="str">
        <f t="shared" si="22"/>
        <v>Houston → San Diego</v>
      </c>
      <c r="H462" s="33" t="s">
        <v>49</v>
      </c>
      <c r="I462" s="33" t="s">
        <v>414</v>
      </c>
      <c r="J462" s="33" t="s">
        <v>1368</v>
      </c>
      <c r="K462" s="33">
        <v>156</v>
      </c>
      <c r="L462" s="33">
        <v>2816</v>
      </c>
      <c r="M462" s="33">
        <v>710.15</v>
      </c>
      <c r="N462" s="33" t="s">
        <v>27</v>
      </c>
      <c r="O462" s="33">
        <v>286</v>
      </c>
      <c r="P462" s="33">
        <v>211</v>
      </c>
      <c r="Q462" s="46">
        <f t="shared" si="23"/>
        <v>73.776223776223802</v>
      </c>
      <c r="R462" s="33" t="s">
        <v>28</v>
      </c>
      <c r="S462" s="47" t="str">
        <f t="shared" si="21"/>
        <v>2023-10</v>
      </c>
      <c r="T462" s="33">
        <v>0</v>
      </c>
    </row>
    <row r="463" spans="1:20">
      <c r="A463" s="37" t="s">
        <v>1369</v>
      </c>
      <c r="B463" s="48">
        <v>44930</v>
      </c>
      <c r="C463" s="33" t="s">
        <v>31</v>
      </c>
      <c r="D463" s="37" t="s">
        <v>95</v>
      </c>
      <c r="E463" s="37" t="s">
        <v>96</v>
      </c>
      <c r="F463" s="37" t="s">
        <v>183</v>
      </c>
      <c r="G463" s="33" t="str">
        <f t="shared" si="22"/>
        <v>Las Vegas → Seattle</v>
      </c>
      <c r="H463" s="37" t="s">
        <v>184</v>
      </c>
      <c r="I463" s="37" t="s">
        <v>317</v>
      </c>
      <c r="J463" s="37" t="s">
        <v>1370</v>
      </c>
      <c r="K463" s="37">
        <v>102</v>
      </c>
      <c r="L463" s="37">
        <v>2204</v>
      </c>
      <c r="M463" s="37">
        <v>780.52</v>
      </c>
      <c r="N463" s="37" t="s">
        <v>60</v>
      </c>
      <c r="O463" s="37">
        <v>288</v>
      </c>
      <c r="P463" s="37">
        <v>267</v>
      </c>
      <c r="Q463" s="46">
        <f t="shared" si="23"/>
        <v>92.7083333333333</v>
      </c>
      <c r="R463" s="37" t="s">
        <v>28</v>
      </c>
      <c r="S463" s="49" t="str">
        <f t="shared" si="21"/>
        <v>2023-01</v>
      </c>
      <c r="T463" s="37">
        <v>0</v>
      </c>
    </row>
    <row r="464" spans="1:20" ht="25.5">
      <c r="A464" s="33" t="s">
        <v>1371</v>
      </c>
      <c r="B464" s="45">
        <v>45411</v>
      </c>
      <c r="C464" s="33" t="s">
        <v>73</v>
      </c>
      <c r="D464" s="33" t="s">
        <v>56</v>
      </c>
      <c r="E464" s="33" t="s">
        <v>57</v>
      </c>
      <c r="F464" s="33" t="s">
        <v>64</v>
      </c>
      <c r="G464" s="33" t="str">
        <f t="shared" si="22"/>
        <v>Los Angeles → San Francisco</v>
      </c>
      <c r="H464" s="33" t="s">
        <v>65</v>
      </c>
      <c r="I464" s="33" t="s">
        <v>774</v>
      </c>
      <c r="J464" s="33" t="s">
        <v>1373</v>
      </c>
      <c r="K464" s="33">
        <v>95</v>
      </c>
      <c r="L464" s="33">
        <v>2923</v>
      </c>
      <c r="M464" s="33">
        <v>305.33</v>
      </c>
      <c r="N464" s="33" t="s">
        <v>44</v>
      </c>
      <c r="O464" s="33">
        <v>165</v>
      </c>
      <c r="P464" s="33">
        <v>151</v>
      </c>
      <c r="Q464" s="46">
        <f t="shared" si="23"/>
        <v>91.515151515151501</v>
      </c>
      <c r="R464" s="33" t="s">
        <v>28</v>
      </c>
      <c r="S464" s="47" t="str">
        <f t="shared" si="21"/>
        <v>2024-04</v>
      </c>
      <c r="T464" s="33">
        <v>0</v>
      </c>
    </row>
    <row r="465" spans="1:20">
      <c r="A465" s="37" t="s">
        <v>1374</v>
      </c>
      <c r="B465" s="48">
        <v>45116</v>
      </c>
      <c r="C465" s="33" t="s">
        <v>47</v>
      </c>
      <c r="D465" s="37" t="s">
        <v>174</v>
      </c>
      <c r="E465" s="37" t="s">
        <v>175</v>
      </c>
      <c r="F465" s="37" t="s">
        <v>101</v>
      </c>
      <c r="G465" s="33" t="str">
        <f t="shared" si="22"/>
        <v>New York → Dallas</v>
      </c>
      <c r="H465" s="37" t="s">
        <v>102</v>
      </c>
      <c r="I465" s="37" t="s">
        <v>216</v>
      </c>
      <c r="J465" s="37" t="s">
        <v>1376</v>
      </c>
      <c r="K465" s="37">
        <v>264</v>
      </c>
      <c r="L465" s="37">
        <v>1922</v>
      </c>
      <c r="M465" s="37">
        <v>891.32</v>
      </c>
      <c r="N465" s="37" t="s">
        <v>27</v>
      </c>
      <c r="O465" s="37">
        <v>345</v>
      </c>
      <c r="P465" s="37">
        <v>64</v>
      </c>
      <c r="Q465" s="46">
        <f t="shared" si="23"/>
        <v>18.550724637681199</v>
      </c>
      <c r="R465" s="37" t="s">
        <v>70</v>
      </c>
      <c r="S465" s="49" t="str">
        <f t="shared" si="21"/>
        <v>2023-07</v>
      </c>
      <c r="T465" s="37">
        <v>64</v>
      </c>
    </row>
    <row r="466" spans="1:20">
      <c r="A466" s="33" t="s">
        <v>1377</v>
      </c>
      <c r="B466" s="45">
        <v>45238</v>
      </c>
      <c r="C466" s="33" t="s">
        <v>47</v>
      </c>
      <c r="D466" s="33" t="s">
        <v>79</v>
      </c>
      <c r="E466" s="33" t="s">
        <v>80</v>
      </c>
      <c r="F466" s="33" t="s">
        <v>116</v>
      </c>
      <c r="G466" s="33" t="str">
        <f t="shared" si="22"/>
        <v>Newark → Houston</v>
      </c>
      <c r="H466" s="33" t="s">
        <v>117</v>
      </c>
      <c r="I466" s="33" t="s">
        <v>855</v>
      </c>
      <c r="J466" s="33" t="s">
        <v>1379</v>
      </c>
      <c r="K466" s="33">
        <v>336</v>
      </c>
      <c r="L466" s="33">
        <v>936</v>
      </c>
      <c r="M466" s="33">
        <v>782.46</v>
      </c>
      <c r="N466" s="33" t="s">
        <v>27</v>
      </c>
      <c r="O466" s="33">
        <v>329</v>
      </c>
      <c r="P466" s="33">
        <v>221</v>
      </c>
      <c r="Q466" s="46">
        <f t="shared" si="23"/>
        <v>67.173252279635193</v>
      </c>
      <c r="R466" s="33" t="s">
        <v>28</v>
      </c>
      <c r="S466" s="47" t="str">
        <f t="shared" si="21"/>
        <v>2023-11</v>
      </c>
      <c r="T466" s="33">
        <v>0</v>
      </c>
    </row>
    <row r="467" spans="1:20">
      <c r="A467" s="37" t="s">
        <v>1380</v>
      </c>
      <c r="B467" s="48">
        <v>45409</v>
      </c>
      <c r="C467" s="33" t="s">
        <v>20</v>
      </c>
      <c r="D467" s="37" t="s">
        <v>116</v>
      </c>
      <c r="E467" s="37" t="s">
        <v>117</v>
      </c>
      <c r="F467" s="37" t="s">
        <v>95</v>
      </c>
      <c r="G467" s="33" t="str">
        <f t="shared" si="22"/>
        <v>Houston → Las Vegas</v>
      </c>
      <c r="H467" s="37" t="s">
        <v>96</v>
      </c>
      <c r="I467" s="37" t="s">
        <v>591</v>
      </c>
      <c r="J467" s="37" t="s">
        <v>1381</v>
      </c>
      <c r="K467" s="37">
        <v>374</v>
      </c>
      <c r="L467" s="37">
        <v>2494</v>
      </c>
      <c r="M467" s="37">
        <v>100.96</v>
      </c>
      <c r="N467" s="37" t="s">
        <v>27</v>
      </c>
      <c r="O467" s="37">
        <v>275</v>
      </c>
      <c r="P467" s="37">
        <v>134</v>
      </c>
      <c r="Q467" s="46">
        <f t="shared" si="23"/>
        <v>48.727272727272698</v>
      </c>
      <c r="R467" s="37" t="s">
        <v>70</v>
      </c>
      <c r="S467" s="49" t="str">
        <f t="shared" si="21"/>
        <v>2024-04</v>
      </c>
      <c r="T467" s="37">
        <v>105</v>
      </c>
    </row>
    <row r="468" spans="1:20">
      <c r="A468" s="33" t="s">
        <v>1382</v>
      </c>
      <c r="B468" s="45">
        <v>44697</v>
      </c>
      <c r="C468" s="33" t="s">
        <v>63</v>
      </c>
      <c r="D468" s="33" t="s">
        <v>21</v>
      </c>
      <c r="E468" s="33" t="s">
        <v>22</v>
      </c>
      <c r="F468" s="33" t="s">
        <v>174</v>
      </c>
      <c r="G468" s="33" t="str">
        <f t="shared" si="22"/>
        <v>Boston → New York</v>
      </c>
      <c r="H468" s="33" t="s">
        <v>175</v>
      </c>
      <c r="I468" s="33" t="s">
        <v>248</v>
      </c>
      <c r="J468" s="33" t="s">
        <v>1384</v>
      </c>
      <c r="K468" s="33">
        <v>410</v>
      </c>
      <c r="L468" s="33">
        <v>2488</v>
      </c>
      <c r="M468" s="33">
        <v>1023.49</v>
      </c>
      <c r="N468" s="33" t="s">
        <v>27</v>
      </c>
      <c r="O468" s="33">
        <v>255</v>
      </c>
      <c r="P468" s="33">
        <v>149</v>
      </c>
      <c r="Q468" s="46">
        <f t="shared" si="23"/>
        <v>58.431372549019599</v>
      </c>
      <c r="R468" s="33" t="s">
        <v>28</v>
      </c>
      <c r="S468" s="47" t="str">
        <f t="shared" si="21"/>
        <v>2022-05</v>
      </c>
      <c r="T468" s="33">
        <v>0</v>
      </c>
    </row>
    <row r="469" spans="1:20" ht="25.5">
      <c r="A469" s="37" t="s">
        <v>1385</v>
      </c>
      <c r="B469" s="48">
        <v>44801</v>
      </c>
      <c r="C469" s="33" t="s">
        <v>1462</v>
      </c>
      <c r="D469" s="37" t="s">
        <v>156</v>
      </c>
      <c r="E469" s="37" t="s">
        <v>157</v>
      </c>
      <c r="F469" s="37" t="s">
        <v>56</v>
      </c>
      <c r="G469" s="33" t="str">
        <f t="shared" si="22"/>
        <v>Phoenix → Los Angeles</v>
      </c>
      <c r="H469" s="37" t="s">
        <v>57</v>
      </c>
      <c r="I469" s="37" t="s">
        <v>140</v>
      </c>
      <c r="J469" s="37" t="s">
        <v>1162</v>
      </c>
      <c r="K469" s="37">
        <v>134</v>
      </c>
      <c r="L469" s="37">
        <v>2335</v>
      </c>
      <c r="M469" s="37">
        <v>1062.29</v>
      </c>
      <c r="N469" s="37" t="s">
        <v>44</v>
      </c>
      <c r="O469" s="37">
        <v>215</v>
      </c>
      <c r="P469" s="37">
        <v>127</v>
      </c>
      <c r="Q469" s="46">
        <f t="shared" si="23"/>
        <v>59.069767441860499</v>
      </c>
      <c r="R469" s="37" t="s">
        <v>28</v>
      </c>
      <c r="S469" s="49" t="str">
        <f t="shared" si="21"/>
        <v>2022-08</v>
      </c>
      <c r="T469" s="37">
        <v>0</v>
      </c>
    </row>
    <row r="470" spans="1:20">
      <c r="A470" s="33" t="s">
        <v>1387</v>
      </c>
      <c r="B470" s="45">
        <v>45181</v>
      </c>
      <c r="C470" s="33" t="s">
        <v>63</v>
      </c>
      <c r="D470" s="33" t="s">
        <v>197</v>
      </c>
      <c r="E470" s="33" t="s">
        <v>198</v>
      </c>
      <c r="F470" s="33" t="s">
        <v>66</v>
      </c>
      <c r="G470" s="33" t="str">
        <f t="shared" si="22"/>
        <v>Atlanta → Minneapolis</v>
      </c>
      <c r="H470" s="33" t="s">
        <v>67</v>
      </c>
      <c r="I470" s="33" t="s">
        <v>855</v>
      </c>
      <c r="J470" s="33" t="s">
        <v>1389</v>
      </c>
      <c r="K470" s="33">
        <v>137</v>
      </c>
      <c r="L470" s="33">
        <v>2117</v>
      </c>
      <c r="M470" s="33">
        <v>646.71</v>
      </c>
      <c r="N470" s="33" t="s">
        <v>44</v>
      </c>
      <c r="O470" s="33">
        <v>331</v>
      </c>
      <c r="P470" s="33">
        <v>306</v>
      </c>
      <c r="Q470" s="46">
        <f t="shared" si="23"/>
        <v>92.4471299093656</v>
      </c>
      <c r="R470" s="33" t="s">
        <v>28</v>
      </c>
      <c r="S470" s="47" t="str">
        <f t="shared" si="21"/>
        <v>2023-09</v>
      </c>
      <c r="T470" s="33">
        <v>0</v>
      </c>
    </row>
    <row r="471" spans="1:20">
      <c r="A471" s="37" t="s">
        <v>1390</v>
      </c>
      <c r="B471" s="48">
        <v>45258</v>
      </c>
      <c r="C471" s="33" t="s">
        <v>115</v>
      </c>
      <c r="D471" s="37" t="s">
        <v>116</v>
      </c>
      <c r="E471" s="37" t="s">
        <v>117</v>
      </c>
      <c r="F471" s="37" t="s">
        <v>95</v>
      </c>
      <c r="G471" s="33" t="str">
        <f t="shared" si="22"/>
        <v>Houston → Las Vegas</v>
      </c>
      <c r="H471" s="37" t="s">
        <v>96</v>
      </c>
      <c r="I471" s="37" t="s">
        <v>269</v>
      </c>
      <c r="J471" s="37" t="s">
        <v>1391</v>
      </c>
      <c r="K471" s="37">
        <v>140</v>
      </c>
      <c r="L471" s="37">
        <v>2414</v>
      </c>
      <c r="M471" s="37">
        <v>837.92</v>
      </c>
      <c r="N471" s="37" t="s">
        <v>60</v>
      </c>
      <c r="O471" s="37">
        <v>152</v>
      </c>
      <c r="P471" s="37">
        <v>136</v>
      </c>
      <c r="Q471" s="46">
        <f t="shared" si="23"/>
        <v>89.473684210526301</v>
      </c>
      <c r="R471" s="37" t="s">
        <v>28</v>
      </c>
      <c r="S471" s="49" t="str">
        <f t="shared" si="21"/>
        <v>2023-11</v>
      </c>
      <c r="T471" s="37">
        <v>0</v>
      </c>
    </row>
    <row r="472" spans="1:20">
      <c r="A472" s="33" t="s">
        <v>1392</v>
      </c>
      <c r="B472" s="45">
        <v>45355</v>
      </c>
      <c r="C472" s="33" t="s">
        <v>94</v>
      </c>
      <c r="D472" s="33" t="s">
        <v>174</v>
      </c>
      <c r="E472" s="33" t="s">
        <v>175</v>
      </c>
      <c r="F472" s="33" t="s">
        <v>156</v>
      </c>
      <c r="G472" s="33" t="str">
        <f t="shared" si="22"/>
        <v>New York → Phoenix</v>
      </c>
      <c r="H472" s="33" t="s">
        <v>157</v>
      </c>
      <c r="I472" s="33" t="s">
        <v>802</v>
      </c>
      <c r="J472" s="33" t="s">
        <v>1393</v>
      </c>
      <c r="K472" s="33">
        <v>260</v>
      </c>
      <c r="L472" s="33">
        <v>2212</v>
      </c>
      <c r="M472" s="33">
        <v>1075.8900000000001</v>
      </c>
      <c r="N472" s="33" t="s">
        <v>60</v>
      </c>
      <c r="O472" s="33">
        <v>233</v>
      </c>
      <c r="P472" s="33">
        <v>218</v>
      </c>
      <c r="Q472" s="46">
        <f t="shared" si="23"/>
        <v>93.562231759656697</v>
      </c>
      <c r="R472" s="33" t="s">
        <v>70</v>
      </c>
      <c r="S472" s="47" t="str">
        <f t="shared" si="21"/>
        <v>2024-03</v>
      </c>
      <c r="T472" s="33">
        <v>20</v>
      </c>
    </row>
    <row r="473" spans="1:20">
      <c r="A473" s="37" t="s">
        <v>1394</v>
      </c>
      <c r="B473" s="48">
        <v>45201</v>
      </c>
      <c r="C473" s="33" t="s">
        <v>31</v>
      </c>
      <c r="D473" s="37" t="s">
        <v>156</v>
      </c>
      <c r="E473" s="37" t="s">
        <v>157</v>
      </c>
      <c r="F473" s="37" t="s">
        <v>183</v>
      </c>
      <c r="G473" s="33" t="str">
        <f t="shared" si="22"/>
        <v>Phoenix → Seattle</v>
      </c>
      <c r="H473" s="37" t="s">
        <v>184</v>
      </c>
      <c r="I473" s="37" t="s">
        <v>68</v>
      </c>
      <c r="J473" s="37" t="s">
        <v>1396</v>
      </c>
      <c r="K473" s="37">
        <v>231</v>
      </c>
      <c r="L473" s="37">
        <v>2480</v>
      </c>
      <c r="M473" s="37">
        <v>437.45</v>
      </c>
      <c r="N473" s="37" t="s">
        <v>44</v>
      </c>
      <c r="O473" s="37">
        <v>271</v>
      </c>
      <c r="P473" s="37">
        <v>142</v>
      </c>
      <c r="Q473" s="46">
        <f t="shared" si="23"/>
        <v>52.398523985239898</v>
      </c>
      <c r="R473" s="37" t="s">
        <v>28</v>
      </c>
      <c r="S473" s="49" t="str">
        <f t="shared" si="21"/>
        <v>2023-10</v>
      </c>
      <c r="T473" s="37">
        <v>0</v>
      </c>
    </row>
    <row r="474" spans="1:20">
      <c r="A474" s="33" t="s">
        <v>1397</v>
      </c>
      <c r="B474" s="45">
        <v>44884</v>
      </c>
      <c r="C474" s="33" t="s">
        <v>1462</v>
      </c>
      <c r="D474" s="33" t="s">
        <v>197</v>
      </c>
      <c r="E474" s="33" t="s">
        <v>198</v>
      </c>
      <c r="F474" s="33" t="s">
        <v>174</v>
      </c>
      <c r="G474" s="33" t="str">
        <f t="shared" si="22"/>
        <v>Atlanta → New York</v>
      </c>
      <c r="H474" s="33" t="s">
        <v>175</v>
      </c>
      <c r="I474" s="33" t="s">
        <v>34</v>
      </c>
      <c r="J474" s="33" t="s">
        <v>600</v>
      </c>
      <c r="K474" s="33">
        <v>195</v>
      </c>
      <c r="L474" s="33">
        <v>2522</v>
      </c>
      <c r="M474" s="33">
        <v>472.36</v>
      </c>
      <c r="N474" s="33" t="s">
        <v>44</v>
      </c>
      <c r="O474" s="33">
        <v>169</v>
      </c>
      <c r="P474" s="33">
        <v>142</v>
      </c>
      <c r="Q474" s="46">
        <f t="shared" si="23"/>
        <v>84.023668639053298</v>
      </c>
      <c r="R474" s="33" t="s">
        <v>149</v>
      </c>
      <c r="S474" s="47" t="str">
        <f t="shared" si="21"/>
        <v>2022-11</v>
      </c>
      <c r="T474" s="33">
        <v>0</v>
      </c>
    </row>
    <row r="475" spans="1:20">
      <c r="A475" s="37" t="s">
        <v>1398</v>
      </c>
      <c r="B475" s="48">
        <v>45142</v>
      </c>
      <c r="C475" s="33" t="s">
        <v>31</v>
      </c>
      <c r="D475" s="37" t="s">
        <v>38</v>
      </c>
      <c r="E475" s="37" t="s">
        <v>39</v>
      </c>
      <c r="F475" s="37" t="s">
        <v>54</v>
      </c>
      <c r="G475" s="33" t="str">
        <f t="shared" si="22"/>
        <v>Miami → Chicago</v>
      </c>
      <c r="H475" s="37" t="s">
        <v>55</v>
      </c>
      <c r="I475" s="37" t="s">
        <v>283</v>
      </c>
      <c r="J475" s="37" t="s">
        <v>1400</v>
      </c>
      <c r="K475" s="37">
        <v>366</v>
      </c>
      <c r="L475" s="37">
        <v>2117</v>
      </c>
      <c r="M475" s="37">
        <v>136.81</v>
      </c>
      <c r="N475" s="37" t="s">
        <v>60</v>
      </c>
      <c r="O475" s="37">
        <v>220</v>
      </c>
      <c r="P475" s="37">
        <v>62</v>
      </c>
      <c r="Q475" s="46">
        <f t="shared" si="23"/>
        <v>28.181818181818201</v>
      </c>
      <c r="R475" s="37" t="s">
        <v>28</v>
      </c>
      <c r="S475" s="49" t="str">
        <f t="shared" si="21"/>
        <v>2023-08</v>
      </c>
      <c r="T475" s="37">
        <v>0</v>
      </c>
    </row>
    <row r="476" spans="1:20">
      <c r="A476" s="33" t="s">
        <v>1401</v>
      </c>
      <c r="B476" s="45">
        <v>44672</v>
      </c>
      <c r="C476" s="33" t="s">
        <v>94</v>
      </c>
      <c r="D476" s="33" t="s">
        <v>129</v>
      </c>
      <c r="E476" s="33" t="s">
        <v>130</v>
      </c>
      <c r="F476" s="33" t="s">
        <v>66</v>
      </c>
      <c r="G476" s="33" t="str">
        <f t="shared" si="22"/>
        <v>Detroit → Minneapolis</v>
      </c>
      <c r="H476" s="33" t="s">
        <v>67</v>
      </c>
      <c r="I476" s="33" t="s">
        <v>97</v>
      </c>
      <c r="J476" s="33" t="s">
        <v>462</v>
      </c>
      <c r="K476" s="33">
        <v>405</v>
      </c>
      <c r="L476" s="33">
        <v>1756</v>
      </c>
      <c r="M476" s="33">
        <v>429.93</v>
      </c>
      <c r="N476" s="33" t="s">
        <v>60</v>
      </c>
      <c r="O476" s="33">
        <v>282</v>
      </c>
      <c r="P476" s="33">
        <v>244</v>
      </c>
      <c r="Q476" s="46">
        <f t="shared" si="23"/>
        <v>86.524822695035496</v>
      </c>
      <c r="R476" s="33" t="s">
        <v>70</v>
      </c>
      <c r="S476" s="47" t="str">
        <f t="shared" si="21"/>
        <v>2022-04</v>
      </c>
      <c r="T476" s="33">
        <v>151</v>
      </c>
    </row>
    <row r="477" spans="1:20">
      <c r="A477" s="37" t="s">
        <v>1403</v>
      </c>
      <c r="B477" s="48">
        <v>44722</v>
      </c>
      <c r="C477" s="33" t="s">
        <v>115</v>
      </c>
      <c r="D477" s="37" t="s">
        <v>54</v>
      </c>
      <c r="E477" s="37" t="s">
        <v>74</v>
      </c>
      <c r="F477" s="37" t="s">
        <v>101</v>
      </c>
      <c r="G477" s="33" t="str">
        <f t="shared" si="22"/>
        <v>Chicago → Dallas</v>
      </c>
      <c r="H477" s="37" t="s">
        <v>102</v>
      </c>
      <c r="I477" s="37" t="s">
        <v>170</v>
      </c>
      <c r="J477" s="37" t="s">
        <v>1405</v>
      </c>
      <c r="K477" s="37">
        <v>139</v>
      </c>
      <c r="L477" s="37">
        <v>2166</v>
      </c>
      <c r="M477" s="37">
        <v>427.64</v>
      </c>
      <c r="N477" s="37" t="s">
        <v>27</v>
      </c>
      <c r="O477" s="37">
        <v>281</v>
      </c>
      <c r="P477" s="37">
        <v>246</v>
      </c>
      <c r="Q477" s="46">
        <f t="shared" si="23"/>
        <v>87.544483985765098</v>
      </c>
      <c r="R477" s="37" t="s">
        <v>28</v>
      </c>
      <c r="S477" s="49" t="str">
        <f t="shared" si="21"/>
        <v>2022-06</v>
      </c>
      <c r="T477" s="37">
        <v>0</v>
      </c>
    </row>
    <row r="478" spans="1:20">
      <c r="A478" s="33" t="s">
        <v>1406</v>
      </c>
      <c r="B478" s="45">
        <v>45036</v>
      </c>
      <c r="C478" s="33" t="s">
        <v>31</v>
      </c>
      <c r="D478" s="33" t="s">
        <v>101</v>
      </c>
      <c r="E478" s="33" t="s">
        <v>102</v>
      </c>
      <c r="F478" s="33" t="s">
        <v>95</v>
      </c>
      <c r="G478" s="33" t="str">
        <f t="shared" si="22"/>
        <v>Dallas → Las Vegas</v>
      </c>
      <c r="H478" s="33" t="s">
        <v>96</v>
      </c>
      <c r="I478" s="33" t="s">
        <v>193</v>
      </c>
      <c r="J478" s="33" t="s">
        <v>1408</v>
      </c>
      <c r="K478" s="33">
        <v>183</v>
      </c>
      <c r="L478" s="33">
        <v>1653</v>
      </c>
      <c r="M478" s="33">
        <v>963.43</v>
      </c>
      <c r="N478" s="33" t="s">
        <v>44</v>
      </c>
      <c r="O478" s="33">
        <v>216</v>
      </c>
      <c r="P478" s="33">
        <v>174</v>
      </c>
      <c r="Q478" s="46">
        <f t="shared" si="23"/>
        <v>80.5555555555556</v>
      </c>
      <c r="R478" s="33" t="s">
        <v>28</v>
      </c>
      <c r="S478" s="47" t="str">
        <f t="shared" si="21"/>
        <v>2023-04</v>
      </c>
      <c r="T478" s="33">
        <v>0</v>
      </c>
    </row>
    <row r="479" spans="1:20" ht="25.5">
      <c r="A479" s="37" t="s">
        <v>1409</v>
      </c>
      <c r="B479" s="48">
        <v>45535</v>
      </c>
      <c r="C479" s="33" t="s">
        <v>94</v>
      </c>
      <c r="D479" s="37" t="s">
        <v>64</v>
      </c>
      <c r="E479" s="37" t="s">
        <v>65</v>
      </c>
      <c r="F479" s="37" t="s">
        <v>116</v>
      </c>
      <c r="G479" s="33" t="str">
        <f t="shared" si="22"/>
        <v>San Francisco → Houston</v>
      </c>
      <c r="H479" s="37" t="s">
        <v>117</v>
      </c>
      <c r="I479" s="37" t="s">
        <v>473</v>
      </c>
      <c r="J479" s="37" t="s">
        <v>1410</v>
      </c>
      <c r="K479" s="37">
        <v>234</v>
      </c>
      <c r="L479" s="37">
        <v>1727</v>
      </c>
      <c r="M479" s="37">
        <v>756.97</v>
      </c>
      <c r="N479" s="37" t="s">
        <v>60</v>
      </c>
      <c r="O479" s="37">
        <v>230</v>
      </c>
      <c r="P479" s="37">
        <v>76</v>
      </c>
      <c r="Q479" s="46">
        <f t="shared" si="23"/>
        <v>33.043478260869598</v>
      </c>
      <c r="R479" s="37" t="s">
        <v>28</v>
      </c>
      <c r="S479" s="49" t="str">
        <f t="shared" si="21"/>
        <v>2024-08</v>
      </c>
      <c r="T479" s="37">
        <v>0</v>
      </c>
    </row>
    <row r="480" spans="1:20">
      <c r="A480" s="33" t="s">
        <v>1411</v>
      </c>
      <c r="B480" s="45">
        <v>44781</v>
      </c>
      <c r="C480" s="33" t="s">
        <v>47</v>
      </c>
      <c r="D480" s="33" t="s">
        <v>32</v>
      </c>
      <c r="E480" s="33" t="s">
        <v>33</v>
      </c>
      <c r="F480" s="33" t="s">
        <v>54</v>
      </c>
      <c r="G480" s="33" t="str">
        <f t="shared" si="22"/>
        <v>Orlando → Chicago</v>
      </c>
      <c r="H480" s="33" t="s">
        <v>55</v>
      </c>
      <c r="I480" s="33" t="s">
        <v>210</v>
      </c>
      <c r="J480" s="33" t="s">
        <v>1413</v>
      </c>
      <c r="K480" s="33">
        <v>295</v>
      </c>
      <c r="L480" s="33">
        <v>2718</v>
      </c>
      <c r="M480" s="33">
        <v>543.04999999999995</v>
      </c>
      <c r="N480" s="33" t="s">
        <v>27</v>
      </c>
      <c r="O480" s="33">
        <v>162</v>
      </c>
      <c r="P480" s="33">
        <v>120</v>
      </c>
      <c r="Q480" s="46">
        <f t="shared" si="23"/>
        <v>74.074074074074105</v>
      </c>
      <c r="R480" s="33" t="s">
        <v>28</v>
      </c>
      <c r="S480" s="47" t="str">
        <f t="shared" si="21"/>
        <v>2022-08</v>
      </c>
      <c r="T480" s="33">
        <v>0</v>
      </c>
    </row>
    <row r="481" spans="1:20" ht="25.5">
      <c r="A481" s="37" t="s">
        <v>1414</v>
      </c>
      <c r="B481" s="48">
        <v>45549</v>
      </c>
      <c r="C481" s="33" t="s">
        <v>73</v>
      </c>
      <c r="D481" s="37" t="s">
        <v>54</v>
      </c>
      <c r="E481" s="37" t="s">
        <v>55</v>
      </c>
      <c r="F481" s="37" t="s">
        <v>64</v>
      </c>
      <c r="G481" s="33" t="str">
        <f t="shared" si="22"/>
        <v>Chicago → San Francisco</v>
      </c>
      <c r="H481" s="37" t="s">
        <v>65</v>
      </c>
      <c r="I481" s="37" t="s">
        <v>139</v>
      </c>
      <c r="J481" s="37" t="s">
        <v>1416</v>
      </c>
      <c r="K481" s="37">
        <v>312</v>
      </c>
      <c r="L481" s="37">
        <v>2623</v>
      </c>
      <c r="M481" s="37">
        <v>961.81</v>
      </c>
      <c r="N481" s="37" t="s">
        <v>27</v>
      </c>
      <c r="O481" s="37">
        <v>277</v>
      </c>
      <c r="P481" s="37">
        <v>110</v>
      </c>
      <c r="Q481" s="46">
        <f t="shared" si="23"/>
        <v>39.711191335740097</v>
      </c>
      <c r="R481" s="37" t="s">
        <v>28</v>
      </c>
      <c r="S481" s="49" t="str">
        <f t="shared" si="21"/>
        <v>2024-09</v>
      </c>
      <c r="T481" s="37">
        <v>0</v>
      </c>
    </row>
    <row r="482" spans="1:20">
      <c r="A482" s="33" t="s">
        <v>1417</v>
      </c>
      <c r="B482" s="45">
        <v>44721</v>
      </c>
      <c r="C482" s="33" t="s">
        <v>115</v>
      </c>
      <c r="D482" s="33" t="s">
        <v>197</v>
      </c>
      <c r="E482" s="33" t="s">
        <v>198</v>
      </c>
      <c r="F482" s="33" t="s">
        <v>48</v>
      </c>
      <c r="G482" s="33" t="str">
        <f t="shared" si="22"/>
        <v>Atlanta → San Diego</v>
      </c>
      <c r="H482" s="33" t="s">
        <v>49</v>
      </c>
      <c r="I482" s="33" t="s">
        <v>111</v>
      </c>
      <c r="J482" s="33" t="s">
        <v>716</v>
      </c>
      <c r="K482" s="33">
        <v>256</v>
      </c>
      <c r="L482" s="33">
        <v>2573</v>
      </c>
      <c r="M482" s="33">
        <v>189.37</v>
      </c>
      <c r="N482" s="33" t="s">
        <v>44</v>
      </c>
      <c r="O482" s="33">
        <v>145</v>
      </c>
      <c r="P482" s="33">
        <v>89</v>
      </c>
      <c r="Q482" s="46">
        <f t="shared" si="23"/>
        <v>61.379310344827601</v>
      </c>
      <c r="R482" s="33" t="s">
        <v>149</v>
      </c>
      <c r="S482" s="47" t="str">
        <f t="shared" si="21"/>
        <v>2022-06</v>
      </c>
      <c r="T482" s="33">
        <v>0</v>
      </c>
    </row>
    <row r="483" spans="1:20" ht="25.5">
      <c r="A483" s="37" t="s">
        <v>1418</v>
      </c>
      <c r="B483" s="48">
        <v>44704</v>
      </c>
      <c r="C483" s="33" t="s">
        <v>94</v>
      </c>
      <c r="D483" s="37" t="s">
        <v>48</v>
      </c>
      <c r="E483" s="37" t="s">
        <v>49</v>
      </c>
      <c r="F483" s="37" t="s">
        <v>66</v>
      </c>
      <c r="G483" s="33" t="str">
        <f t="shared" si="22"/>
        <v>San Diego → Minneapolis</v>
      </c>
      <c r="H483" s="37" t="s">
        <v>67</v>
      </c>
      <c r="I483" s="37" t="s">
        <v>248</v>
      </c>
      <c r="J483" s="37" t="s">
        <v>476</v>
      </c>
      <c r="K483" s="37">
        <v>420</v>
      </c>
      <c r="L483" s="37">
        <v>551</v>
      </c>
      <c r="M483" s="37">
        <v>181.4</v>
      </c>
      <c r="N483" s="37" t="s">
        <v>60</v>
      </c>
      <c r="O483" s="37">
        <v>327</v>
      </c>
      <c r="P483" s="37">
        <v>50</v>
      </c>
      <c r="Q483" s="46">
        <f t="shared" si="23"/>
        <v>15.2905198776758</v>
      </c>
      <c r="R483" s="37" t="s">
        <v>70</v>
      </c>
      <c r="S483" s="49" t="str">
        <f t="shared" si="21"/>
        <v>2022-05</v>
      </c>
      <c r="T483" s="37">
        <v>53</v>
      </c>
    </row>
    <row r="484" spans="1:20" ht="25.5">
      <c r="A484" s="33" t="s">
        <v>1420</v>
      </c>
      <c r="B484" s="45">
        <v>45489</v>
      </c>
      <c r="C484" s="33" t="s">
        <v>1462</v>
      </c>
      <c r="D484" s="33" t="s">
        <v>66</v>
      </c>
      <c r="E484" s="33" t="s">
        <v>67</v>
      </c>
      <c r="F484" s="33" t="s">
        <v>48</v>
      </c>
      <c r="G484" s="33" t="str">
        <f t="shared" si="22"/>
        <v>Minneapolis → San Diego</v>
      </c>
      <c r="H484" s="33" t="s">
        <v>49</v>
      </c>
      <c r="I484" s="33" t="s">
        <v>473</v>
      </c>
      <c r="J484" s="33" t="s">
        <v>528</v>
      </c>
      <c r="K484" s="33">
        <v>195</v>
      </c>
      <c r="L484" s="33">
        <v>1596</v>
      </c>
      <c r="M484" s="33">
        <v>415.7</v>
      </c>
      <c r="N484" s="33" t="s">
        <v>27</v>
      </c>
      <c r="O484" s="33">
        <v>177</v>
      </c>
      <c r="P484" s="33">
        <v>161</v>
      </c>
      <c r="Q484" s="46">
        <f t="shared" si="23"/>
        <v>90.960451977401107</v>
      </c>
      <c r="R484" s="33" t="s">
        <v>70</v>
      </c>
      <c r="S484" s="47" t="str">
        <f t="shared" si="21"/>
        <v>2024-07</v>
      </c>
      <c r="T484" s="33">
        <v>103</v>
      </c>
    </row>
    <row r="485" spans="1:20">
      <c r="A485" s="37" t="s">
        <v>1422</v>
      </c>
      <c r="B485" s="48">
        <v>44744</v>
      </c>
      <c r="C485" s="33" t="s">
        <v>20</v>
      </c>
      <c r="D485" s="37" t="s">
        <v>48</v>
      </c>
      <c r="E485" s="37" t="s">
        <v>49</v>
      </c>
      <c r="F485" s="37" t="s">
        <v>116</v>
      </c>
      <c r="G485" s="33" t="str">
        <f t="shared" si="22"/>
        <v>San Diego → Houston</v>
      </c>
      <c r="H485" s="37" t="s">
        <v>117</v>
      </c>
      <c r="I485" s="37" t="s">
        <v>279</v>
      </c>
      <c r="J485" s="37" t="s">
        <v>469</v>
      </c>
      <c r="K485" s="37">
        <v>240</v>
      </c>
      <c r="L485" s="37">
        <v>555</v>
      </c>
      <c r="M485" s="37">
        <v>493.53</v>
      </c>
      <c r="N485" s="37" t="s">
        <v>27</v>
      </c>
      <c r="O485" s="37">
        <v>347</v>
      </c>
      <c r="P485" s="37">
        <v>77</v>
      </c>
      <c r="Q485" s="46">
        <f t="shared" si="23"/>
        <v>22.190201729106601</v>
      </c>
      <c r="R485" s="37" t="s">
        <v>28</v>
      </c>
      <c r="S485" s="49" t="str">
        <f t="shared" si="21"/>
        <v>2022-07</v>
      </c>
      <c r="T485" s="37">
        <v>0</v>
      </c>
    </row>
    <row r="486" spans="1:20" ht="25.5">
      <c r="A486" s="33" t="s">
        <v>1424</v>
      </c>
      <c r="B486" s="45">
        <v>45297</v>
      </c>
      <c r="C486" s="33" t="s">
        <v>94</v>
      </c>
      <c r="D486" s="33" t="s">
        <v>95</v>
      </c>
      <c r="E486" s="33" t="s">
        <v>96</v>
      </c>
      <c r="F486" s="33" t="s">
        <v>174</v>
      </c>
      <c r="G486" s="33" t="str">
        <f t="shared" si="22"/>
        <v>Las Vegas → New York</v>
      </c>
      <c r="H486" s="33" t="s">
        <v>175</v>
      </c>
      <c r="I486" s="33" t="s">
        <v>417</v>
      </c>
      <c r="J486" s="33" t="s">
        <v>1425</v>
      </c>
      <c r="K486" s="33">
        <v>449</v>
      </c>
      <c r="L486" s="33">
        <v>2717</v>
      </c>
      <c r="M486" s="33">
        <v>521.58000000000004</v>
      </c>
      <c r="N486" s="33" t="s">
        <v>44</v>
      </c>
      <c r="O486" s="33">
        <v>282</v>
      </c>
      <c r="P486" s="33">
        <v>147</v>
      </c>
      <c r="Q486" s="46">
        <f t="shared" si="23"/>
        <v>52.127659574468098</v>
      </c>
      <c r="R486" s="33" t="s">
        <v>28</v>
      </c>
      <c r="S486" s="47" t="str">
        <f t="shared" si="21"/>
        <v>2024-01</v>
      </c>
      <c r="T486" s="33">
        <v>0</v>
      </c>
    </row>
    <row r="487" spans="1:20">
      <c r="A487" s="37" t="s">
        <v>1426</v>
      </c>
      <c r="B487" s="48">
        <v>45453</v>
      </c>
      <c r="C487" s="33" t="s">
        <v>31</v>
      </c>
      <c r="D487" s="37" t="s">
        <v>38</v>
      </c>
      <c r="E487" s="37" t="s">
        <v>39</v>
      </c>
      <c r="F487" s="37" t="s">
        <v>116</v>
      </c>
      <c r="G487" s="33" t="str">
        <f t="shared" si="22"/>
        <v>Miami → Houston</v>
      </c>
      <c r="H487" s="37" t="s">
        <v>117</v>
      </c>
      <c r="I487" s="37" t="s">
        <v>939</v>
      </c>
      <c r="J487" s="37" t="s">
        <v>1428</v>
      </c>
      <c r="K487" s="37">
        <v>374</v>
      </c>
      <c r="L487" s="37">
        <v>1875</v>
      </c>
      <c r="M487" s="37">
        <v>1024.53</v>
      </c>
      <c r="N487" s="37" t="s">
        <v>44</v>
      </c>
      <c r="O487" s="37">
        <v>315</v>
      </c>
      <c r="P487" s="37">
        <v>263</v>
      </c>
      <c r="Q487" s="46">
        <f t="shared" si="23"/>
        <v>83.492063492063494</v>
      </c>
      <c r="R487" s="37" t="s">
        <v>28</v>
      </c>
      <c r="S487" s="49" t="str">
        <f t="shared" si="21"/>
        <v>2024-06</v>
      </c>
      <c r="T487" s="37">
        <v>0</v>
      </c>
    </row>
    <row r="488" spans="1:20">
      <c r="A488" s="33" t="s">
        <v>1429</v>
      </c>
      <c r="B488" s="45">
        <v>44819</v>
      </c>
      <c r="C488" s="33" t="s">
        <v>63</v>
      </c>
      <c r="D488" s="33" t="s">
        <v>174</v>
      </c>
      <c r="E488" s="33" t="s">
        <v>175</v>
      </c>
      <c r="F488" s="33" t="s">
        <v>197</v>
      </c>
      <c r="G488" s="33" t="str">
        <f t="shared" si="22"/>
        <v>New York → Atlanta</v>
      </c>
      <c r="H488" s="33" t="s">
        <v>198</v>
      </c>
      <c r="I488" s="33" t="s">
        <v>499</v>
      </c>
      <c r="J488" s="33" t="s">
        <v>91</v>
      </c>
      <c r="K488" s="33">
        <v>163</v>
      </c>
      <c r="L488" s="33">
        <v>2293</v>
      </c>
      <c r="M488" s="33">
        <v>816.88</v>
      </c>
      <c r="N488" s="33" t="s">
        <v>60</v>
      </c>
      <c r="O488" s="33">
        <v>121</v>
      </c>
      <c r="P488" s="33">
        <v>67</v>
      </c>
      <c r="Q488" s="46">
        <f t="shared" si="23"/>
        <v>55.3719008264463</v>
      </c>
      <c r="R488" s="33" t="s">
        <v>28</v>
      </c>
      <c r="S488" s="47" t="str">
        <f t="shared" si="21"/>
        <v>2022-09</v>
      </c>
      <c r="T488" s="33">
        <v>0</v>
      </c>
    </row>
    <row r="489" spans="1:20">
      <c r="A489" s="37" t="s">
        <v>1430</v>
      </c>
      <c r="B489" s="48">
        <v>45413</v>
      </c>
      <c r="C489" s="33" t="s">
        <v>115</v>
      </c>
      <c r="D489" s="37" t="s">
        <v>48</v>
      </c>
      <c r="E489" s="37" t="s">
        <v>49</v>
      </c>
      <c r="F489" s="37" t="s">
        <v>129</v>
      </c>
      <c r="G489" s="33" t="str">
        <f t="shared" si="22"/>
        <v>San Diego → Detroit</v>
      </c>
      <c r="H489" s="37" t="s">
        <v>130</v>
      </c>
      <c r="I489" s="37" t="s">
        <v>494</v>
      </c>
      <c r="J489" s="37" t="s">
        <v>320</v>
      </c>
      <c r="K489" s="37">
        <v>322</v>
      </c>
      <c r="L489" s="37">
        <v>2386</v>
      </c>
      <c r="M489" s="37">
        <v>555.02</v>
      </c>
      <c r="N489" s="37" t="s">
        <v>44</v>
      </c>
      <c r="O489" s="37">
        <v>198</v>
      </c>
      <c r="P489" s="37">
        <v>140</v>
      </c>
      <c r="Q489" s="46">
        <f t="shared" si="23"/>
        <v>70.707070707070699</v>
      </c>
      <c r="R489" s="37" t="s">
        <v>28</v>
      </c>
      <c r="S489" s="49" t="str">
        <f t="shared" si="21"/>
        <v>2024-05</v>
      </c>
      <c r="T489" s="37">
        <v>0</v>
      </c>
    </row>
    <row r="490" spans="1:20">
      <c r="A490" s="33" t="s">
        <v>1431</v>
      </c>
      <c r="B490" s="45">
        <v>45431</v>
      </c>
      <c r="C490" s="33" t="s">
        <v>20</v>
      </c>
      <c r="D490" s="33" t="s">
        <v>54</v>
      </c>
      <c r="E490" s="33" t="s">
        <v>74</v>
      </c>
      <c r="F490" s="33" t="s">
        <v>79</v>
      </c>
      <c r="G490" s="33" t="str">
        <f t="shared" si="22"/>
        <v>Chicago → Newark</v>
      </c>
      <c r="H490" s="33" t="s">
        <v>80</v>
      </c>
      <c r="I490" s="33" t="s">
        <v>338</v>
      </c>
      <c r="J490" s="33" t="s">
        <v>1433</v>
      </c>
      <c r="K490" s="33">
        <v>454</v>
      </c>
      <c r="L490" s="33">
        <v>2355</v>
      </c>
      <c r="M490" s="33">
        <v>381.56</v>
      </c>
      <c r="N490" s="33" t="s">
        <v>27</v>
      </c>
      <c r="O490" s="33">
        <v>247</v>
      </c>
      <c r="P490" s="33">
        <v>143</v>
      </c>
      <c r="Q490" s="46">
        <f t="shared" si="23"/>
        <v>57.894736842105303</v>
      </c>
      <c r="R490" s="33" t="s">
        <v>28</v>
      </c>
      <c r="S490" s="47" t="str">
        <f t="shared" si="21"/>
        <v>2024-05</v>
      </c>
      <c r="T490" s="33">
        <v>0</v>
      </c>
    </row>
    <row r="491" spans="1:20" ht="25.5">
      <c r="A491" s="37" t="s">
        <v>1434</v>
      </c>
      <c r="B491" s="48">
        <v>44639</v>
      </c>
      <c r="C491" s="33" t="s">
        <v>47</v>
      </c>
      <c r="D491" s="37" t="s">
        <v>64</v>
      </c>
      <c r="E491" s="37" t="s">
        <v>65</v>
      </c>
      <c r="F491" s="37" t="s">
        <v>197</v>
      </c>
      <c r="G491" s="33" t="str">
        <f t="shared" si="22"/>
        <v>San Francisco → Atlanta</v>
      </c>
      <c r="H491" s="37" t="s">
        <v>198</v>
      </c>
      <c r="I491" s="37" t="s">
        <v>342</v>
      </c>
      <c r="J491" s="37" t="s">
        <v>997</v>
      </c>
      <c r="K491" s="37">
        <v>443</v>
      </c>
      <c r="L491" s="37">
        <v>627</v>
      </c>
      <c r="M491" s="37">
        <v>239.14</v>
      </c>
      <c r="N491" s="37" t="s">
        <v>27</v>
      </c>
      <c r="O491" s="37">
        <v>234</v>
      </c>
      <c r="P491" s="37">
        <v>121</v>
      </c>
      <c r="Q491" s="46">
        <f t="shared" si="23"/>
        <v>51.709401709401703</v>
      </c>
      <c r="R491" s="37" t="s">
        <v>28</v>
      </c>
      <c r="S491" s="49" t="str">
        <f t="shared" si="21"/>
        <v>2022-03</v>
      </c>
      <c r="T491" s="37">
        <v>0</v>
      </c>
    </row>
    <row r="492" spans="1:20">
      <c r="A492" s="33" t="s">
        <v>1436</v>
      </c>
      <c r="B492" s="45">
        <v>44722</v>
      </c>
      <c r="C492" s="33" t="s">
        <v>20</v>
      </c>
      <c r="D492" s="33" t="s">
        <v>23</v>
      </c>
      <c r="E492" s="33" t="s">
        <v>24</v>
      </c>
      <c r="F492" s="33" t="s">
        <v>116</v>
      </c>
      <c r="G492" s="33" t="str">
        <f t="shared" si="22"/>
        <v>Denver → Houston</v>
      </c>
      <c r="H492" s="33" t="s">
        <v>117</v>
      </c>
      <c r="I492" s="33" t="s">
        <v>499</v>
      </c>
      <c r="J492" s="33" t="s">
        <v>1437</v>
      </c>
      <c r="K492" s="33">
        <v>440</v>
      </c>
      <c r="L492" s="33">
        <v>2895</v>
      </c>
      <c r="M492" s="33">
        <v>683.9</v>
      </c>
      <c r="N492" s="33" t="s">
        <v>27</v>
      </c>
      <c r="O492" s="33">
        <v>179</v>
      </c>
      <c r="P492" s="33">
        <v>63</v>
      </c>
      <c r="Q492" s="46">
        <f t="shared" si="23"/>
        <v>35.195530726256997</v>
      </c>
      <c r="R492" s="33" t="s">
        <v>70</v>
      </c>
      <c r="S492" s="47" t="str">
        <f t="shared" si="21"/>
        <v>2022-06</v>
      </c>
      <c r="T492" s="33">
        <v>151</v>
      </c>
    </row>
    <row r="493" spans="1:20">
      <c r="A493" s="37" t="s">
        <v>1438</v>
      </c>
      <c r="B493" s="48">
        <v>44584</v>
      </c>
      <c r="C493" s="33" t="s">
        <v>31</v>
      </c>
      <c r="D493" s="37" t="s">
        <v>40</v>
      </c>
      <c r="E493" s="37" t="s">
        <v>41</v>
      </c>
      <c r="F493" s="37" t="s">
        <v>32</v>
      </c>
      <c r="G493" s="33" t="str">
        <f t="shared" si="22"/>
        <v>Charlotte → Orlando</v>
      </c>
      <c r="H493" s="37" t="s">
        <v>33</v>
      </c>
      <c r="I493" s="37" t="s">
        <v>334</v>
      </c>
      <c r="J493" s="37" t="s">
        <v>1440</v>
      </c>
      <c r="K493" s="37">
        <v>305</v>
      </c>
      <c r="L493" s="37">
        <v>1745</v>
      </c>
      <c r="M493" s="37">
        <v>1155.8499999999999</v>
      </c>
      <c r="N493" s="37" t="s">
        <v>44</v>
      </c>
      <c r="O493" s="37">
        <v>174</v>
      </c>
      <c r="P493" s="37">
        <v>71</v>
      </c>
      <c r="Q493" s="46">
        <f t="shared" si="23"/>
        <v>40.804597701149397</v>
      </c>
      <c r="R493" s="37" t="s">
        <v>28</v>
      </c>
      <c r="S493" s="49" t="str">
        <f t="shared" si="21"/>
        <v>2022-01</v>
      </c>
      <c r="T493" s="37">
        <v>0</v>
      </c>
    </row>
    <row r="494" spans="1:20" ht="25.5">
      <c r="A494" s="33" t="s">
        <v>1441</v>
      </c>
      <c r="B494" s="45">
        <v>45184</v>
      </c>
      <c r="C494" s="33" t="s">
        <v>20</v>
      </c>
      <c r="D494" s="33" t="s">
        <v>56</v>
      </c>
      <c r="E494" s="33" t="s">
        <v>57</v>
      </c>
      <c r="F494" s="33" t="s">
        <v>116</v>
      </c>
      <c r="G494" s="33" t="str">
        <f t="shared" si="22"/>
        <v>Los Angeles → Houston</v>
      </c>
      <c r="H494" s="33" t="s">
        <v>117</v>
      </c>
      <c r="I494" s="33" t="s">
        <v>259</v>
      </c>
      <c r="J494" s="33" t="s">
        <v>1360</v>
      </c>
      <c r="K494" s="33">
        <v>383</v>
      </c>
      <c r="L494" s="33">
        <v>511</v>
      </c>
      <c r="M494" s="33">
        <v>815.08</v>
      </c>
      <c r="N494" s="33" t="s">
        <v>44</v>
      </c>
      <c r="O494" s="33">
        <v>307</v>
      </c>
      <c r="P494" s="33">
        <v>63</v>
      </c>
      <c r="Q494" s="46">
        <f t="shared" si="23"/>
        <v>20.5211726384365</v>
      </c>
      <c r="R494" s="33" t="s">
        <v>28</v>
      </c>
      <c r="S494" s="47" t="str">
        <f t="shared" si="21"/>
        <v>2023-09</v>
      </c>
      <c r="T494" s="33">
        <v>0</v>
      </c>
    </row>
    <row r="495" spans="1:20">
      <c r="A495" s="37" t="s">
        <v>1442</v>
      </c>
      <c r="B495" s="48">
        <v>44730</v>
      </c>
      <c r="C495" s="33" t="s">
        <v>47</v>
      </c>
      <c r="D495" s="37" t="s">
        <v>116</v>
      </c>
      <c r="E495" s="37" t="s">
        <v>117</v>
      </c>
      <c r="F495" s="37" t="s">
        <v>54</v>
      </c>
      <c r="G495" s="33" t="str">
        <f t="shared" si="22"/>
        <v>Houston → Chicago</v>
      </c>
      <c r="H495" s="37" t="s">
        <v>55</v>
      </c>
      <c r="I495" s="37" t="s">
        <v>287</v>
      </c>
      <c r="J495" s="37" t="s">
        <v>519</v>
      </c>
      <c r="K495" s="37">
        <v>157</v>
      </c>
      <c r="L495" s="37">
        <v>2822</v>
      </c>
      <c r="M495" s="37">
        <v>394.69</v>
      </c>
      <c r="N495" s="37" t="s">
        <v>44</v>
      </c>
      <c r="O495" s="37">
        <v>103</v>
      </c>
      <c r="P495" s="37">
        <v>97</v>
      </c>
      <c r="Q495" s="46">
        <f t="shared" si="23"/>
        <v>94.174757281553397</v>
      </c>
      <c r="R495" s="37" t="s">
        <v>28</v>
      </c>
      <c r="S495" s="49" t="str">
        <f t="shared" si="21"/>
        <v>2022-06</v>
      </c>
      <c r="T495" s="37">
        <v>0</v>
      </c>
    </row>
    <row r="496" spans="1:20" ht="25.5">
      <c r="A496" s="33" t="s">
        <v>1444</v>
      </c>
      <c r="B496" s="45">
        <v>44919</v>
      </c>
      <c r="C496" s="33" t="s">
        <v>31</v>
      </c>
      <c r="D496" s="33" t="s">
        <v>40</v>
      </c>
      <c r="E496" s="33" t="s">
        <v>41</v>
      </c>
      <c r="F496" s="33" t="s">
        <v>64</v>
      </c>
      <c r="G496" s="33" t="str">
        <f t="shared" si="22"/>
        <v>Charlotte → San Francisco</v>
      </c>
      <c r="H496" s="33" t="s">
        <v>65</v>
      </c>
      <c r="I496" s="33" t="s">
        <v>806</v>
      </c>
      <c r="J496" s="33" t="s">
        <v>284</v>
      </c>
      <c r="K496" s="33">
        <v>448</v>
      </c>
      <c r="L496" s="33">
        <v>1267</v>
      </c>
      <c r="M496" s="33">
        <v>623.11</v>
      </c>
      <c r="N496" s="33" t="s">
        <v>27</v>
      </c>
      <c r="O496" s="33">
        <v>320</v>
      </c>
      <c r="P496" s="33">
        <v>66</v>
      </c>
      <c r="Q496" s="46">
        <f t="shared" si="23"/>
        <v>20.625</v>
      </c>
      <c r="R496" s="33" t="s">
        <v>28</v>
      </c>
      <c r="S496" s="47" t="str">
        <f t="shared" si="21"/>
        <v>2022-12</v>
      </c>
      <c r="T496" s="33">
        <v>0</v>
      </c>
    </row>
    <row r="497" spans="1:20">
      <c r="A497" s="37" t="s">
        <v>1446</v>
      </c>
      <c r="B497" s="48">
        <v>44734</v>
      </c>
      <c r="C497" s="33" t="s">
        <v>63</v>
      </c>
      <c r="D497" s="37" t="s">
        <v>48</v>
      </c>
      <c r="E497" s="37" t="s">
        <v>49</v>
      </c>
      <c r="F497" s="37" t="s">
        <v>101</v>
      </c>
      <c r="G497" s="33" t="str">
        <f t="shared" si="22"/>
        <v>San Diego → Dallas</v>
      </c>
      <c r="H497" s="37" t="s">
        <v>102</v>
      </c>
      <c r="I497" s="37" t="s">
        <v>389</v>
      </c>
      <c r="J497" s="37" t="s">
        <v>1448</v>
      </c>
      <c r="K497" s="37">
        <v>286</v>
      </c>
      <c r="L497" s="37">
        <v>1274</v>
      </c>
      <c r="M497" s="37">
        <v>527.08500000000004</v>
      </c>
      <c r="N497" s="37" t="s">
        <v>27</v>
      </c>
      <c r="O497" s="37">
        <v>263</v>
      </c>
      <c r="P497" s="37">
        <v>92</v>
      </c>
      <c r="Q497" s="46">
        <f t="shared" si="23"/>
        <v>34.980988593155899</v>
      </c>
      <c r="R497" s="37" t="s">
        <v>28</v>
      </c>
      <c r="S497" s="49" t="str">
        <f t="shared" si="21"/>
        <v>2022-06</v>
      </c>
      <c r="T497" s="37">
        <v>0</v>
      </c>
    </row>
    <row r="498" spans="1:20">
      <c r="A498" s="33" t="s">
        <v>1449</v>
      </c>
      <c r="B498" s="45">
        <v>45268</v>
      </c>
      <c r="C498" s="33" t="s">
        <v>73</v>
      </c>
      <c r="D498" s="33" t="s">
        <v>21</v>
      </c>
      <c r="E498" s="33" t="s">
        <v>22</v>
      </c>
      <c r="F498" s="33" t="s">
        <v>197</v>
      </c>
      <c r="G498" s="33" t="str">
        <f t="shared" si="22"/>
        <v>Boston → Atlanta</v>
      </c>
      <c r="H498" s="33" t="s">
        <v>198</v>
      </c>
      <c r="I498" s="33" t="s">
        <v>855</v>
      </c>
      <c r="J498" s="33" t="s">
        <v>1450</v>
      </c>
      <c r="K498" s="33">
        <v>327</v>
      </c>
      <c r="L498" s="33">
        <v>1933</v>
      </c>
      <c r="M498" s="33">
        <v>613.38</v>
      </c>
      <c r="N498" s="33" t="s">
        <v>44</v>
      </c>
      <c r="O498" s="33">
        <v>291</v>
      </c>
      <c r="P498" s="33">
        <v>242</v>
      </c>
      <c r="Q498" s="46">
        <f t="shared" si="23"/>
        <v>83.161512027491398</v>
      </c>
      <c r="R498" s="33" t="s">
        <v>70</v>
      </c>
      <c r="S498" s="47" t="str">
        <f t="shared" si="21"/>
        <v>2023-12</v>
      </c>
      <c r="T498" s="33">
        <v>74</v>
      </c>
    </row>
    <row r="499" spans="1:20">
      <c r="A499" s="37" t="s">
        <v>1451</v>
      </c>
      <c r="B499" s="48">
        <v>45339</v>
      </c>
      <c r="C499" s="33" t="s">
        <v>31</v>
      </c>
      <c r="D499" s="37" t="s">
        <v>79</v>
      </c>
      <c r="E499" s="37" t="s">
        <v>80</v>
      </c>
      <c r="F499" s="37" t="s">
        <v>21</v>
      </c>
      <c r="G499" s="33" t="str">
        <f t="shared" si="22"/>
        <v>Newark → Boston</v>
      </c>
      <c r="H499" s="37" t="s">
        <v>22</v>
      </c>
      <c r="I499" s="37" t="s">
        <v>86</v>
      </c>
      <c r="J499" s="37" t="s">
        <v>1452</v>
      </c>
      <c r="K499" s="37">
        <v>96</v>
      </c>
      <c r="L499" s="37">
        <v>1482</v>
      </c>
      <c r="M499" s="37">
        <v>1118.49</v>
      </c>
      <c r="N499" s="37" t="s">
        <v>44</v>
      </c>
      <c r="O499" s="37">
        <v>197</v>
      </c>
      <c r="P499" s="37">
        <v>130</v>
      </c>
      <c r="Q499" s="46">
        <f t="shared" si="23"/>
        <v>65.989847715736005</v>
      </c>
      <c r="R499" s="37" t="s">
        <v>149</v>
      </c>
      <c r="S499" s="49" t="str">
        <f t="shared" si="21"/>
        <v>2024-02</v>
      </c>
      <c r="T499" s="37">
        <v>0</v>
      </c>
    </row>
    <row r="500" spans="1:20" ht="25.5">
      <c r="A500" s="33" t="s">
        <v>1453</v>
      </c>
      <c r="B500" s="45">
        <v>44646</v>
      </c>
      <c r="C500" s="33" t="s">
        <v>73</v>
      </c>
      <c r="D500" s="33" t="s">
        <v>32</v>
      </c>
      <c r="E500" s="33" t="s">
        <v>33</v>
      </c>
      <c r="F500" s="33" t="s">
        <v>64</v>
      </c>
      <c r="G500" s="33" t="str">
        <f t="shared" si="22"/>
        <v>Orlando → San Francisco</v>
      </c>
      <c r="H500" s="33" t="s">
        <v>65</v>
      </c>
      <c r="I500" s="33" t="s">
        <v>152</v>
      </c>
      <c r="J500" s="33" t="s">
        <v>964</v>
      </c>
      <c r="K500" s="33">
        <v>261</v>
      </c>
      <c r="L500" s="33">
        <v>1407</v>
      </c>
      <c r="M500" s="33">
        <v>379.14</v>
      </c>
      <c r="N500" s="33" t="s">
        <v>60</v>
      </c>
      <c r="O500" s="33">
        <v>165</v>
      </c>
      <c r="P500" s="33">
        <v>133</v>
      </c>
      <c r="Q500" s="46">
        <f t="shared" si="23"/>
        <v>80.606060606060595</v>
      </c>
      <c r="R500" s="33" t="s">
        <v>28</v>
      </c>
      <c r="S500" s="47" t="str">
        <f t="shared" si="21"/>
        <v>2022-03</v>
      </c>
      <c r="T500" s="33">
        <v>0</v>
      </c>
    </row>
    <row r="501" spans="1:20">
      <c r="A501" s="37" t="s">
        <v>1454</v>
      </c>
      <c r="B501" s="48">
        <v>45506</v>
      </c>
      <c r="C501" s="33" t="s">
        <v>73</v>
      </c>
      <c r="D501" s="37" t="s">
        <v>54</v>
      </c>
      <c r="E501" s="37" t="s">
        <v>74</v>
      </c>
      <c r="F501" s="37" t="s">
        <v>183</v>
      </c>
      <c r="G501" s="33" t="str">
        <f t="shared" si="22"/>
        <v>Chicago → Seattle</v>
      </c>
      <c r="H501" s="37" t="s">
        <v>184</v>
      </c>
      <c r="I501" s="37" t="s">
        <v>90</v>
      </c>
      <c r="J501" s="37" t="s">
        <v>1455</v>
      </c>
      <c r="K501" s="37">
        <v>436</v>
      </c>
      <c r="L501" s="37">
        <v>1036</v>
      </c>
      <c r="M501" s="37">
        <v>430.86</v>
      </c>
      <c r="N501" s="37" t="s">
        <v>60</v>
      </c>
      <c r="O501" s="37">
        <v>272</v>
      </c>
      <c r="P501" s="37">
        <v>52</v>
      </c>
      <c r="Q501" s="46">
        <f t="shared" si="23"/>
        <v>19.117647058823501</v>
      </c>
      <c r="R501" s="37" t="s">
        <v>70</v>
      </c>
      <c r="S501" s="49" t="str">
        <f t="shared" si="21"/>
        <v>2024-08</v>
      </c>
      <c r="T501" s="37">
        <v>18</v>
      </c>
    </row>
    <row r="502" spans="1:20">
      <c r="A502" s="51"/>
      <c r="B502" s="52"/>
      <c r="C502" s="51"/>
      <c r="D502" s="51"/>
      <c r="E502" s="51"/>
      <c r="F502" s="51"/>
      <c r="G502" s="51"/>
      <c r="H502" s="51"/>
      <c r="I502" s="51"/>
      <c r="J502" s="51"/>
      <c r="K502" s="51"/>
      <c r="L502" s="51"/>
      <c r="M502" s="51"/>
      <c r="N502" s="51"/>
      <c r="O502" s="51"/>
      <c r="P502" s="51"/>
      <c r="Q502" s="51"/>
      <c r="R502" s="51"/>
      <c r="S502" s="51"/>
      <c r="T502" s="51"/>
    </row>
    <row r="503" spans="1:20">
      <c r="A503" s="53"/>
    </row>
    <row r="504" spans="1:20">
      <c r="B504"/>
    </row>
  </sheetData>
  <conditionalFormatting sqref="A1:XFD1">
    <cfRule type="duplicateValues" dxfId="132" priority="5"/>
  </conditionalFormatting>
  <conditionalFormatting sqref="A521">
    <cfRule type="duplicateValues" dxfId="131" priority="4"/>
  </conditionalFormatting>
  <pageMargins left="0.75" right="0.75" top="1" bottom="1" header="0.5" footer="0.5"/>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510"/>
  <sheetViews>
    <sheetView workbookViewId="0">
      <pane ySplit="2" topLeftCell="A6" activePane="bottomLeft" state="frozen"/>
      <selection pane="bottomLeft" activeCell="A2" sqref="A2:B22"/>
    </sheetView>
  </sheetViews>
  <sheetFormatPr defaultColWidth="9" defaultRowHeight="15"/>
  <cols>
    <col min="1" max="1" width="16" customWidth="1"/>
    <col min="2" max="2" width="30" customWidth="1"/>
    <col min="3" max="3" width="17" customWidth="1"/>
    <col min="4" max="4" width="11" customWidth="1"/>
    <col min="5" max="5" width="13" customWidth="1"/>
    <col min="6" max="6" width="19" customWidth="1"/>
  </cols>
  <sheetData>
    <row r="1" spans="1:6" ht="30" customHeight="1">
      <c r="A1" s="55" t="s">
        <v>1464</v>
      </c>
      <c r="B1" s="56"/>
      <c r="C1" s="56"/>
      <c r="D1" s="56"/>
      <c r="E1" s="56"/>
      <c r="F1" s="56"/>
    </row>
    <row r="2" spans="1:6" ht="21.95" customHeight="1">
      <c r="A2" s="42" t="s">
        <v>1465</v>
      </c>
      <c r="B2" s="42" t="s">
        <v>1466</v>
      </c>
      <c r="C2" s="42" t="s">
        <v>1467</v>
      </c>
      <c r="D2" s="42" t="s">
        <v>1468</v>
      </c>
      <c r="E2" s="42" t="s">
        <v>1469</v>
      </c>
      <c r="F2" s="42" t="s">
        <v>1470</v>
      </c>
    </row>
    <row r="3" spans="1:6">
      <c r="A3" s="33" t="s">
        <v>175</v>
      </c>
      <c r="B3" s="33" t="s">
        <v>1471</v>
      </c>
      <c r="C3" s="33" t="s">
        <v>174</v>
      </c>
      <c r="D3" s="33" t="s">
        <v>1472</v>
      </c>
      <c r="E3" s="33">
        <v>8</v>
      </c>
      <c r="F3" s="33">
        <v>62000000</v>
      </c>
    </row>
    <row r="4" spans="1:6">
      <c r="A4" s="31" t="s">
        <v>57</v>
      </c>
      <c r="B4" s="31" t="s">
        <v>1473</v>
      </c>
      <c r="C4" s="31" t="s">
        <v>56</v>
      </c>
      <c r="D4" s="31" t="s">
        <v>1472</v>
      </c>
      <c r="E4" s="31">
        <v>9</v>
      </c>
      <c r="F4" s="31">
        <v>88000000</v>
      </c>
    </row>
    <row r="5" spans="1:6">
      <c r="A5" s="33" t="s">
        <v>55</v>
      </c>
      <c r="B5" s="33" t="s">
        <v>1474</v>
      </c>
      <c r="C5" s="33" t="s">
        <v>54</v>
      </c>
      <c r="D5" s="33" t="s">
        <v>1472</v>
      </c>
      <c r="E5" s="33">
        <v>4</v>
      </c>
      <c r="F5" s="33">
        <v>54000000</v>
      </c>
    </row>
    <row r="6" spans="1:6">
      <c r="A6" s="31" t="s">
        <v>198</v>
      </c>
      <c r="B6" s="31" t="s">
        <v>1475</v>
      </c>
      <c r="C6" s="31" t="s">
        <v>197</v>
      </c>
      <c r="D6" s="31" t="s">
        <v>1472</v>
      </c>
      <c r="E6" s="31">
        <v>2</v>
      </c>
      <c r="F6" s="31">
        <v>107000000</v>
      </c>
    </row>
    <row r="7" spans="1:6">
      <c r="A7" s="33" t="s">
        <v>102</v>
      </c>
      <c r="B7" s="33" t="s">
        <v>1476</v>
      </c>
      <c r="C7" s="33" t="s">
        <v>101</v>
      </c>
      <c r="D7" s="33" t="s">
        <v>1472</v>
      </c>
      <c r="E7" s="33">
        <v>5</v>
      </c>
      <c r="F7" s="33">
        <v>73000000</v>
      </c>
    </row>
    <row r="8" spans="1:6">
      <c r="A8" s="31" t="s">
        <v>39</v>
      </c>
      <c r="B8" s="31" t="s">
        <v>1477</v>
      </c>
      <c r="C8" s="31" t="s">
        <v>38</v>
      </c>
      <c r="D8" s="31" t="s">
        <v>1472</v>
      </c>
      <c r="E8" s="31">
        <v>3</v>
      </c>
      <c r="F8" s="31">
        <v>45000000</v>
      </c>
    </row>
    <row r="9" spans="1:6">
      <c r="A9" s="33" t="s">
        <v>184</v>
      </c>
      <c r="B9" s="33" t="s">
        <v>1478</v>
      </c>
      <c r="C9" s="33" t="s">
        <v>183</v>
      </c>
      <c r="D9" s="33" t="s">
        <v>1472</v>
      </c>
      <c r="E9" s="33">
        <v>3</v>
      </c>
      <c r="F9" s="33">
        <v>51000000</v>
      </c>
    </row>
    <row r="10" spans="1:6">
      <c r="A10" s="31" t="s">
        <v>24</v>
      </c>
      <c r="B10" s="31" t="s">
        <v>1479</v>
      </c>
      <c r="C10" s="31" t="s">
        <v>23</v>
      </c>
      <c r="D10" s="31" t="s">
        <v>1472</v>
      </c>
      <c r="E10" s="31">
        <v>3</v>
      </c>
      <c r="F10" s="31">
        <v>69000000</v>
      </c>
    </row>
    <row r="11" spans="1:6">
      <c r="A11" s="33" t="s">
        <v>22</v>
      </c>
      <c r="B11" s="33" t="s">
        <v>1480</v>
      </c>
      <c r="C11" s="33" t="s">
        <v>21</v>
      </c>
      <c r="D11" s="33" t="s">
        <v>1472</v>
      </c>
      <c r="E11" s="33">
        <v>4</v>
      </c>
      <c r="F11" s="33">
        <v>40000000</v>
      </c>
    </row>
    <row r="12" spans="1:6">
      <c r="A12" s="31" t="s">
        <v>96</v>
      </c>
      <c r="B12" s="31" t="s">
        <v>1481</v>
      </c>
      <c r="C12" s="31" t="s">
        <v>95</v>
      </c>
      <c r="D12" s="31" t="s">
        <v>1472</v>
      </c>
      <c r="E12" s="31">
        <v>2</v>
      </c>
      <c r="F12" s="31">
        <v>51000000</v>
      </c>
    </row>
    <row r="13" spans="1:6">
      <c r="A13" s="33" t="s">
        <v>157</v>
      </c>
      <c r="B13" s="33" t="s">
        <v>1482</v>
      </c>
      <c r="C13" s="33" t="s">
        <v>156</v>
      </c>
      <c r="D13" s="33" t="s">
        <v>1472</v>
      </c>
      <c r="E13" s="33">
        <v>3</v>
      </c>
      <c r="F13" s="33">
        <v>46000000</v>
      </c>
    </row>
    <row r="14" spans="1:6">
      <c r="A14" s="31" t="s">
        <v>65</v>
      </c>
      <c r="B14" s="31" t="s">
        <v>1483</v>
      </c>
      <c r="C14" s="31" t="s">
        <v>64</v>
      </c>
      <c r="D14" s="31" t="s">
        <v>1472</v>
      </c>
      <c r="E14" s="31">
        <v>4</v>
      </c>
      <c r="F14" s="31">
        <v>57000000</v>
      </c>
    </row>
    <row r="15" spans="1:6">
      <c r="A15" s="33" t="s">
        <v>67</v>
      </c>
      <c r="B15" s="33" t="s">
        <v>1484</v>
      </c>
      <c r="C15" s="33" t="s">
        <v>66</v>
      </c>
      <c r="D15" s="33" t="s">
        <v>1472</v>
      </c>
      <c r="E15" s="33">
        <v>2</v>
      </c>
      <c r="F15" s="33">
        <v>38000000</v>
      </c>
    </row>
    <row r="16" spans="1:6">
      <c r="A16" s="31" t="s">
        <v>130</v>
      </c>
      <c r="B16" s="31" t="s">
        <v>1485</v>
      </c>
      <c r="C16" s="31" t="s">
        <v>129</v>
      </c>
      <c r="D16" s="31" t="s">
        <v>1472</v>
      </c>
      <c r="E16" s="31">
        <v>2</v>
      </c>
      <c r="F16" s="31">
        <v>35000000</v>
      </c>
    </row>
    <row r="17" spans="1:6">
      <c r="A17" s="33" t="s">
        <v>41</v>
      </c>
      <c r="B17" s="33" t="s">
        <v>1486</v>
      </c>
      <c r="C17" s="33" t="s">
        <v>40</v>
      </c>
      <c r="D17" s="33" t="s">
        <v>1472</v>
      </c>
      <c r="E17" s="33">
        <v>1</v>
      </c>
      <c r="F17" s="33">
        <v>57000000</v>
      </c>
    </row>
    <row r="18" spans="1:6">
      <c r="A18" s="31" t="s">
        <v>80</v>
      </c>
      <c r="B18" s="31" t="s">
        <v>1487</v>
      </c>
      <c r="C18" s="31" t="s">
        <v>79</v>
      </c>
      <c r="D18" s="31" t="s">
        <v>1472</v>
      </c>
      <c r="E18" s="31">
        <v>3</v>
      </c>
      <c r="F18" s="31">
        <v>46000000</v>
      </c>
    </row>
    <row r="19" spans="1:6">
      <c r="A19" s="33" t="s">
        <v>117</v>
      </c>
      <c r="B19" s="33" t="s">
        <v>1488</v>
      </c>
      <c r="C19" s="33" t="s">
        <v>116</v>
      </c>
      <c r="D19" s="33" t="s">
        <v>1472</v>
      </c>
      <c r="E19" s="33">
        <v>5</v>
      </c>
      <c r="F19" s="33">
        <v>53000000</v>
      </c>
    </row>
    <row r="20" spans="1:6">
      <c r="A20" s="31" t="s">
        <v>33</v>
      </c>
      <c r="B20" s="31" t="s">
        <v>1489</v>
      </c>
      <c r="C20" s="31" t="s">
        <v>32</v>
      </c>
      <c r="D20" s="31" t="s">
        <v>1472</v>
      </c>
      <c r="E20" s="31">
        <v>4</v>
      </c>
      <c r="F20" s="31">
        <v>50000000</v>
      </c>
    </row>
    <row r="21" spans="1:6">
      <c r="A21" s="33" t="s">
        <v>74</v>
      </c>
      <c r="B21" s="33" t="s">
        <v>1490</v>
      </c>
      <c r="C21" s="33" t="s">
        <v>54</v>
      </c>
      <c r="D21" s="33" t="s">
        <v>1472</v>
      </c>
      <c r="E21" s="33">
        <v>1</v>
      </c>
      <c r="F21" s="33">
        <v>25000000</v>
      </c>
    </row>
    <row r="22" spans="1:6">
      <c r="A22" s="31" t="s">
        <v>49</v>
      </c>
      <c r="B22" s="31" t="s">
        <v>1491</v>
      </c>
      <c r="C22" s="31" t="s">
        <v>48</v>
      </c>
      <c r="D22" s="31" t="s">
        <v>1472</v>
      </c>
      <c r="E22" s="31">
        <v>2</v>
      </c>
      <c r="F22" s="31">
        <v>25000000</v>
      </c>
    </row>
    <row r="510" spans="19:19">
      <c r="S510" s="54" t="s">
        <v>1492</v>
      </c>
    </row>
  </sheetData>
  <mergeCells count="1">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510"/>
  <sheetViews>
    <sheetView workbookViewId="0">
      <pane ySplit="1" topLeftCell="A2" activePane="bottomLeft" state="frozen"/>
      <selection pane="bottomLeft" activeCell="A8" sqref="A8"/>
    </sheetView>
  </sheetViews>
  <sheetFormatPr defaultColWidth="9" defaultRowHeight="15"/>
  <cols>
    <col min="1" max="1" width="14" customWidth="1"/>
    <col min="2" max="2" width="13" customWidth="1"/>
    <col min="3" max="3" width="16" customWidth="1"/>
    <col min="4" max="4" width="17" customWidth="1"/>
    <col min="5" max="5" width="21" customWidth="1"/>
    <col min="6" max="8" width="13" customWidth="1"/>
    <col min="9" max="9" width="18" customWidth="1"/>
    <col min="10" max="10" width="12.85546875"/>
  </cols>
  <sheetData>
    <row r="1" spans="1:13" ht="21.95" customHeight="1">
      <c r="A1" s="55" t="s">
        <v>1493</v>
      </c>
      <c r="B1" s="57"/>
      <c r="C1" s="57"/>
      <c r="D1" s="57"/>
      <c r="E1" s="57"/>
      <c r="F1" s="57"/>
      <c r="G1" s="57"/>
      <c r="H1" s="57"/>
      <c r="I1" s="57"/>
    </row>
    <row r="2" spans="1:13">
      <c r="A2" s="39" t="s">
        <v>1494</v>
      </c>
      <c r="B2" s="39" t="s">
        <v>1</v>
      </c>
      <c r="C2" s="39" t="s">
        <v>1465</v>
      </c>
      <c r="D2" s="39" t="s">
        <v>1495</v>
      </c>
      <c r="E2" s="39" t="s">
        <v>1496</v>
      </c>
      <c r="F2" s="39" t="s">
        <v>1497</v>
      </c>
      <c r="G2" s="39" t="s">
        <v>1498</v>
      </c>
      <c r="H2" s="39" t="s">
        <v>1499</v>
      </c>
      <c r="I2" s="39" t="s">
        <v>1500</v>
      </c>
      <c r="J2" s="40"/>
    </row>
    <row r="3" spans="1:13">
      <c r="A3" s="33" t="s">
        <v>1501</v>
      </c>
      <c r="B3" s="33" t="s">
        <v>18</v>
      </c>
      <c r="C3" s="33" t="s">
        <v>22</v>
      </c>
      <c r="D3" s="33">
        <v>87141.6</v>
      </c>
      <c r="E3" s="33">
        <v>1232.74</v>
      </c>
      <c r="F3" s="33">
        <v>8636.75</v>
      </c>
      <c r="G3" s="33">
        <v>7797.25</v>
      </c>
      <c r="H3" s="33">
        <v>71940.34</v>
      </c>
      <c r="I3" s="33" t="s">
        <v>1502</v>
      </c>
      <c r="J3" s="40"/>
    </row>
    <row r="4" spans="1:13">
      <c r="A4" s="38" t="s">
        <v>1503</v>
      </c>
      <c r="B4" s="38" t="s">
        <v>29</v>
      </c>
      <c r="C4" s="38" t="s">
        <v>24</v>
      </c>
      <c r="D4" s="38">
        <v>138464.57999999999</v>
      </c>
      <c r="E4" s="38">
        <v>5939.38</v>
      </c>
      <c r="F4" s="38">
        <v>13816.36</v>
      </c>
      <c r="G4" s="38">
        <v>2442.54</v>
      </c>
      <c r="H4" s="38">
        <v>128145.06</v>
      </c>
      <c r="I4" s="38" t="s">
        <v>1504</v>
      </c>
      <c r="J4" s="40"/>
    </row>
    <row r="5" spans="1:13">
      <c r="A5" s="33" t="s">
        <v>1505</v>
      </c>
      <c r="B5" s="33" t="s">
        <v>36</v>
      </c>
      <c r="C5" s="33" t="s">
        <v>39</v>
      </c>
      <c r="D5" s="33">
        <v>70276.88</v>
      </c>
      <c r="E5" s="33">
        <v>926.61</v>
      </c>
      <c r="F5" s="33">
        <v>25794.85</v>
      </c>
      <c r="G5" s="33">
        <v>13621.57</v>
      </c>
      <c r="H5" s="33">
        <v>31787.07</v>
      </c>
      <c r="I5" s="33" t="s">
        <v>1502</v>
      </c>
      <c r="J5" s="40"/>
    </row>
    <row r="6" spans="1:13">
      <c r="A6" s="38" t="s">
        <v>1506</v>
      </c>
      <c r="B6" s="38" t="s">
        <v>45</v>
      </c>
      <c r="C6" s="38" t="s">
        <v>49</v>
      </c>
      <c r="D6" s="38">
        <v>140386.79999999999</v>
      </c>
      <c r="E6" s="38">
        <v>7628.67</v>
      </c>
      <c r="F6" s="38">
        <v>27332.9</v>
      </c>
      <c r="G6" s="38">
        <v>11204.98</v>
      </c>
      <c r="H6" s="38">
        <v>109477.59</v>
      </c>
      <c r="I6" s="38" t="s">
        <v>1504</v>
      </c>
      <c r="J6" s="40"/>
    </row>
    <row r="7" spans="1:13">
      <c r="A7" s="33" t="s">
        <v>1507</v>
      </c>
      <c r="B7" s="33" t="s">
        <v>52</v>
      </c>
      <c r="C7" s="33" t="s">
        <v>55</v>
      </c>
      <c r="D7" s="33">
        <v>125593.16</v>
      </c>
      <c r="E7" s="33">
        <v>1147.9000000000001</v>
      </c>
      <c r="F7" s="33">
        <v>26164</v>
      </c>
      <c r="G7" s="33">
        <v>6887.46</v>
      </c>
      <c r="H7" s="33">
        <v>93689.600000000006</v>
      </c>
      <c r="I7" s="33" t="s">
        <v>1502</v>
      </c>
      <c r="J7" s="40"/>
    </row>
    <row r="8" spans="1:13">
      <c r="A8" s="38" t="s">
        <v>1508</v>
      </c>
      <c r="B8" s="38" t="s">
        <v>61</v>
      </c>
      <c r="C8" s="38" t="s">
        <v>65</v>
      </c>
      <c r="D8" s="38">
        <v>18876.46</v>
      </c>
      <c r="E8" s="38">
        <v>7220.01</v>
      </c>
      <c r="F8" s="38">
        <v>29347.88</v>
      </c>
      <c r="G8" s="38">
        <v>5293.36</v>
      </c>
      <c r="H8" s="38">
        <v>-8544.77</v>
      </c>
      <c r="I8" s="38" t="s">
        <v>1509</v>
      </c>
      <c r="J8" s="40"/>
    </row>
    <row r="9" spans="1:13">
      <c r="A9" s="33" t="s">
        <v>1510</v>
      </c>
      <c r="B9" s="33" t="s">
        <v>71</v>
      </c>
      <c r="C9" s="33" t="s">
        <v>22</v>
      </c>
      <c r="D9" s="33">
        <v>118049.56</v>
      </c>
      <c r="E9" s="33">
        <v>5453.58</v>
      </c>
      <c r="F9" s="33">
        <v>7650</v>
      </c>
      <c r="G9" s="33">
        <v>7894.77</v>
      </c>
      <c r="H9" s="33">
        <v>107958.37</v>
      </c>
      <c r="I9" s="33" t="s">
        <v>1511</v>
      </c>
      <c r="J9" s="40"/>
    </row>
    <row r="10" spans="1:13">
      <c r="A10" s="38" t="s">
        <v>1512</v>
      </c>
      <c r="B10" s="38" t="s">
        <v>77</v>
      </c>
      <c r="C10" s="38" t="s">
        <v>80</v>
      </c>
      <c r="D10" s="38">
        <v>44204.93</v>
      </c>
      <c r="E10" s="38">
        <v>6270.19</v>
      </c>
      <c r="F10" s="38">
        <v>29227.75</v>
      </c>
      <c r="G10" s="38">
        <v>10678.53</v>
      </c>
      <c r="H10" s="38">
        <v>10568.84</v>
      </c>
      <c r="I10" s="38" t="s">
        <v>1511</v>
      </c>
      <c r="J10" s="40"/>
    </row>
    <row r="11" spans="1:13">
      <c r="A11" s="33" t="s">
        <v>1513</v>
      </c>
      <c r="B11" s="33" t="s">
        <v>83</v>
      </c>
      <c r="C11" s="33" t="s">
        <v>65</v>
      </c>
      <c r="D11" s="33">
        <v>93999.6</v>
      </c>
      <c r="E11" s="33">
        <v>2430.02</v>
      </c>
      <c r="F11" s="33">
        <v>32325.599999999999</v>
      </c>
      <c r="G11" s="33">
        <v>5604.74</v>
      </c>
      <c r="H11" s="33">
        <v>58499.28</v>
      </c>
      <c r="I11" s="33" t="s">
        <v>1504</v>
      </c>
      <c r="J11" s="40"/>
    </row>
    <row r="12" spans="1:13">
      <c r="A12" s="38" t="s">
        <v>1514</v>
      </c>
      <c r="B12" s="38" t="s">
        <v>88</v>
      </c>
      <c r="C12" s="38" t="s">
        <v>67</v>
      </c>
      <c r="D12" s="38">
        <v>157439.04000000001</v>
      </c>
      <c r="E12" s="38">
        <v>3370.99</v>
      </c>
      <c r="F12" s="38">
        <v>16642.919999999998</v>
      </c>
      <c r="G12" s="38">
        <v>2780.76</v>
      </c>
      <c r="H12" s="38">
        <v>141386.35</v>
      </c>
      <c r="I12" s="38" t="s">
        <v>1511</v>
      </c>
      <c r="J12" s="40"/>
    </row>
    <row r="13" spans="1:13" ht="17.25">
      <c r="A13" s="33" t="s">
        <v>1515</v>
      </c>
      <c r="B13" s="33" t="s">
        <v>92</v>
      </c>
      <c r="C13" s="33" t="s">
        <v>96</v>
      </c>
      <c r="D13" s="33">
        <v>89975.27</v>
      </c>
      <c r="E13" s="33">
        <v>1834.47</v>
      </c>
      <c r="F13" s="33">
        <v>7428.95</v>
      </c>
      <c r="G13" s="33">
        <v>14732.49</v>
      </c>
      <c r="H13" s="33">
        <v>69648.3</v>
      </c>
      <c r="I13" s="33" t="s">
        <v>1502</v>
      </c>
      <c r="J13" s="40"/>
      <c r="M13" s="41"/>
    </row>
    <row r="14" spans="1:13">
      <c r="A14" s="38" t="s">
        <v>1516</v>
      </c>
      <c r="B14" s="38" t="s">
        <v>99</v>
      </c>
      <c r="C14" s="38" t="s">
        <v>102</v>
      </c>
      <c r="D14" s="38">
        <v>147401.4</v>
      </c>
      <c r="E14" s="38">
        <v>5077.26</v>
      </c>
      <c r="F14" s="38">
        <v>11245.48</v>
      </c>
      <c r="G14" s="38">
        <v>8396.74</v>
      </c>
      <c r="H14" s="38">
        <v>132836.44</v>
      </c>
      <c r="I14" s="38" t="s">
        <v>1502</v>
      </c>
      <c r="J14" s="40"/>
    </row>
    <row r="15" spans="1:13">
      <c r="A15" s="33" t="s">
        <v>1517</v>
      </c>
      <c r="B15" s="33" t="s">
        <v>105</v>
      </c>
      <c r="C15" s="33" t="s">
        <v>24</v>
      </c>
      <c r="D15" s="33">
        <v>81503.899999999994</v>
      </c>
      <c r="E15" s="33">
        <v>4554.74</v>
      </c>
      <c r="F15" s="33">
        <v>20093.88</v>
      </c>
      <c r="G15" s="33">
        <v>9981.56</v>
      </c>
      <c r="H15" s="33">
        <v>55983.199999999997</v>
      </c>
      <c r="I15" s="33" t="s">
        <v>1504</v>
      </c>
      <c r="J15" s="40"/>
    </row>
    <row r="16" spans="1:13">
      <c r="A16" s="38" t="s">
        <v>1518</v>
      </c>
      <c r="B16" s="38" t="s">
        <v>109</v>
      </c>
      <c r="C16" s="38" t="s">
        <v>22</v>
      </c>
      <c r="D16" s="38">
        <v>130551.9</v>
      </c>
      <c r="E16" s="38">
        <v>7344.57</v>
      </c>
      <c r="F16" s="38">
        <v>30039.01</v>
      </c>
      <c r="G16" s="38">
        <v>3342.73</v>
      </c>
      <c r="H16" s="38">
        <v>104514.73</v>
      </c>
      <c r="I16" s="38" t="s">
        <v>1504</v>
      </c>
      <c r="J16" s="40"/>
    </row>
    <row r="17" spans="1:10">
      <c r="A17" s="33" t="s">
        <v>1519</v>
      </c>
      <c r="B17" s="33" t="s">
        <v>113</v>
      </c>
      <c r="C17" s="33" t="s">
        <v>117</v>
      </c>
      <c r="D17" s="33">
        <v>49535.28</v>
      </c>
      <c r="E17" s="33">
        <v>1028.0899999999999</v>
      </c>
      <c r="F17" s="33">
        <v>30464.080000000002</v>
      </c>
      <c r="G17" s="33">
        <v>12104.08</v>
      </c>
      <c r="H17" s="33">
        <v>7995.21</v>
      </c>
      <c r="I17" s="33" t="s">
        <v>1504</v>
      </c>
      <c r="J17" s="40"/>
    </row>
    <row r="18" spans="1:10">
      <c r="A18" s="38" t="s">
        <v>1520</v>
      </c>
      <c r="B18" s="38" t="s">
        <v>120</v>
      </c>
      <c r="C18" s="38" t="s">
        <v>57</v>
      </c>
      <c r="D18" s="38">
        <v>114117.9</v>
      </c>
      <c r="E18" s="38">
        <v>7223.84</v>
      </c>
      <c r="F18" s="38">
        <v>10209.9</v>
      </c>
      <c r="G18" s="38">
        <v>10324.36</v>
      </c>
      <c r="H18" s="38">
        <v>100807.48</v>
      </c>
      <c r="I18" s="38" t="s">
        <v>1504</v>
      </c>
      <c r="J18" s="40"/>
    </row>
    <row r="19" spans="1:10">
      <c r="A19" s="33" t="s">
        <v>1521</v>
      </c>
      <c r="B19" s="33" t="s">
        <v>123</v>
      </c>
      <c r="C19" s="33" t="s">
        <v>24</v>
      </c>
      <c r="D19" s="33">
        <v>126799.3</v>
      </c>
      <c r="E19" s="33">
        <v>5484.54</v>
      </c>
      <c r="F19" s="33">
        <v>14325.28</v>
      </c>
      <c r="G19" s="33">
        <v>11100.72</v>
      </c>
      <c r="H19" s="33">
        <v>106857.84</v>
      </c>
      <c r="I19" s="33" t="s">
        <v>1509</v>
      </c>
      <c r="J19" s="40"/>
    </row>
    <row r="20" spans="1:10">
      <c r="A20" s="38" t="s">
        <v>1522</v>
      </c>
      <c r="B20" s="38" t="s">
        <v>127</v>
      </c>
      <c r="C20" s="38" t="s">
        <v>57</v>
      </c>
      <c r="D20" s="38">
        <v>25039.3</v>
      </c>
      <c r="E20" s="38">
        <v>4809.8</v>
      </c>
      <c r="F20" s="38">
        <v>23038.41</v>
      </c>
      <c r="G20" s="38">
        <v>14218.84</v>
      </c>
      <c r="H20" s="38">
        <v>-7408.15</v>
      </c>
      <c r="I20" s="38" t="s">
        <v>1509</v>
      </c>
      <c r="J20" s="40"/>
    </row>
    <row r="21" spans="1:10">
      <c r="A21" s="33" t="s">
        <v>1523</v>
      </c>
      <c r="B21" s="33" t="s">
        <v>133</v>
      </c>
      <c r="C21" s="33" t="s">
        <v>24</v>
      </c>
      <c r="D21" s="33">
        <v>116322.4</v>
      </c>
      <c r="E21" s="33">
        <v>4086.05</v>
      </c>
      <c r="F21" s="33">
        <v>19136.95</v>
      </c>
      <c r="G21" s="33">
        <v>11460.98</v>
      </c>
      <c r="H21" s="33">
        <v>89810.52</v>
      </c>
      <c r="I21" s="33" t="s">
        <v>1504</v>
      </c>
      <c r="J21" s="40"/>
    </row>
    <row r="22" spans="1:10">
      <c r="A22" s="38" t="s">
        <v>1524</v>
      </c>
      <c r="B22" s="38" t="s">
        <v>137</v>
      </c>
      <c r="C22" s="38" t="s">
        <v>80</v>
      </c>
      <c r="D22" s="38">
        <v>75667.5</v>
      </c>
      <c r="E22" s="38">
        <v>4550.97</v>
      </c>
      <c r="F22" s="38">
        <v>5115.76</v>
      </c>
      <c r="G22" s="38">
        <v>14404.02</v>
      </c>
      <c r="H22" s="38">
        <v>60698.69</v>
      </c>
      <c r="I22" s="38" t="s">
        <v>1509</v>
      </c>
      <c r="J22" s="40"/>
    </row>
    <row r="23" spans="1:10">
      <c r="A23" s="33" t="s">
        <v>1525</v>
      </c>
      <c r="B23" s="33" t="s">
        <v>141</v>
      </c>
      <c r="C23" s="33" t="s">
        <v>102</v>
      </c>
      <c r="D23" s="33">
        <v>117523.9</v>
      </c>
      <c r="E23" s="33">
        <v>1409.03</v>
      </c>
      <c r="F23" s="33">
        <v>23735.64</v>
      </c>
      <c r="G23" s="33">
        <v>14890.82</v>
      </c>
      <c r="H23" s="33">
        <v>80306.47</v>
      </c>
      <c r="I23" s="33" t="s">
        <v>1511</v>
      </c>
      <c r="J23" s="40"/>
    </row>
    <row r="24" spans="1:10">
      <c r="A24" s="38" t="s">
        <v>1526</v>
      </c>
      <c r="B24" s="38" t="s">
        <v>145</v>
      </c>
      <c r="C24" s="38" t="s">
        <v>57</v>
      </c>
      <c r="D24" s="38">
        <v>0</v>
      </c>
      <c r="E24" s="38">
        <v>0</v>
      </c>
      <c r="F24" s="38">
        <v>28864.25</v>
      </c>
      <c r="G24" s="38">
        <v>7207.99</v>
      </c>
      <c r="H24" s="38">
        <v>-36072.239999999998</v>
      </c>
      <c r="I24" s="38" t="s">
        <v>1504</v>
      </c>
      <c r="J24" s="40"/>
    </row>
    <row r="25" spans="1:10">
      <c r="A25" s="33" t="s">
        <v>1527</v>
      </c>
      <c r="B25" s="33" t="s">
        <v>150</v>
      </c>
      <c r="C25" s="33" t="s">
        <v>49</v>
      </c>
      <c r="D25" s="33">
        <v>68897.47</v>
      </c>
      <c r="E25" s="33">
        <v>3240.17</v>
      </c>
      <c r="F25" s="33">
        <v>34866.97</v>
      </c>
      <c r="G25" s="33">
        <v>6420.82</v>
      </c>
      <c r="H25" s="33">
        <v>30849.85</v>
      </c>
      <c r="I25" s="33" t="s">
        <v>1509</v>
      </c>
      <c r="J25" s="40"/>
    </row>
    <row r="26" spans="1:10">
      <c r="A26" s="38" t="s">
        <v>1528</v>
      </c>
      <c r="B26" s="38" t="s">
        <v>154</v>
      </c>
      <c r="C26" s="38" t="s">
        <v>157</v>
      </c>
      <c r="D26" s="38">
        <v>124345.52</v>
      </c>
      <c r="E26" s="38">
        <v>6203.4</v>
      </c>
      <c r="F26" s="38">
        <v>15148.55</v>
      </c>
      <c r="G26" s="38">
        <v>4640.57</v>
      </c>
      <c r="H26" s="38">
        <v>110759.8</v>
      </c>
      <c r="I26" s="38" t="s">
        <v>1504</v>
      </c>
      <c r="J26" s="40"/>
    </row>
    <row r="27" spans="1:10">
      <c r="A27" s="33" t="s">
        <v>1529</v>
      </c>
      <c r="B27" s="33" t="s">
        <v>160</v>
      </c>
      <c r="C27" s="33" t="s">
        <v>55</v>
      </c>
      <c r="D27" s="33">
        <v>52717.08</v>
      </c>
      <c r="E27" s="33">
        <v>7756.35</v>
      </c>
      <c r="F27" s="33">
        <v>28125.69</v>
      </c>
      <c r="G27" s="33">
        <v>5885.31</v>
      </c>
      <c r="H27" s="33">
        <v>26462.43</v>
      </c>
      <c r="I27" s="33" t="s">
        <v>1509</v>
      </c>
      <c r="J27" s="40"/>
    </row>
    <row r="28" spans="1:10">
      <c r="A28" s="38" t="s">
        <v>1530</v>
      </c>
      <c r="B28" s="38" t="s">
        <v>164</v>
      </c>
      <c r="C28" s="38" t="s">
        <v>102</v>
      </c>
      <c r="D28" s="38">
        <v>26172.3</v>
      </c>
      <c r="E28" s="38">
        <v>7223.46</v>
      </c>
      <c r="F28" s="38">
        <v>27071.599999999999</v>
      </c>
      <c r="G28" s="38">
        <v>6670.39</v>
      </c>
      <c r="H28" s="38">
        <v>-346.23</v>
      </c>
      <c r="I28" s="38" t="s">
        <v>1504</v>
      </c>
      <c r="J28" s="40"/>
    </row>
    <row r="29" spans="1:10">
      <c r="A29" s="33" t="s">
        <v>1531</v>
      </c>
      <c r="B29" s="33" t="s">
        <v>168</v>
      </c>
      <c r="C29" s="33" t="s">
        <v>22</v>
      </c>
      <c r="D29" s="33">
        <v>9824.49</v>
      </c>
      <c r="E29" s="33">
        <v>7139.11</v>
      </c>
      <c r="F29" s="33">
        <v>20329.43</v>
      </c>
      <c r="G29" s="33">
        <v>4463.04</v>
      </c>
      <c r="H29" s="33">
        <v>-7828.87</v>
      </c>
      <c r="I29" s="33" t="s">
        <v>1504</v>
      </c>
      <c r="J29" s="40"/>
    </row>
    <row r="30" spans="1:10">
      <c r="A30" s="38" t="s">
        <v>1532</v>
      </c>
      <c r="B30" s="38" t="s">
        <v>172</v>
      </c>
      <c r="C30" s="38" t="s">
        <v>33</v>
      </c>
      <c r="D30" s="38">
        <v>131992.46</v>
      </c>
      <c r="E30" s="38">
        <v>1948.2</v>
      </c>
      <c r="F30" s="38">
        <v>30190.87</v>
      </c>
      <c r="G30" s="38">
        <v>9708.2900000000009</v>
      </c>
      <c r="H30" s="38">
        <v>94041.5</v>
      </c>
      <c r="I30" s="38" t="s">
        <v>1509</v>
      </c>
      <c r="J30" s="40"/>
    </row>
    <row r="31" spans="1:10">
      <c r="A31" s="33" t="s">
        <v>1533</v>
      </c>
      <c r="B31" s="33" t="s">
        <v>177</v>
      </c>
      <c r="C31" s="33" t="s">
        <v>96</v>
      </c>
      <c r="D31" s="33">
        <v>159605.21</v>
      </c>
      <c r="E31" s="33">
        <v>3415.76</v>
      </c>
      <c r="F31" s="33">
        <v>32745.87</v>
      </c>
      <c r="G31" s="33">
        <v>10364.299999999999</v>
      </c>
      <c r="H31" s="33">
        <v>119910.8</v>
      </c>
      <c r="I31" s="33" t="s">
        <v>1509</v>
      </c>
      <c r="J31" s="40"/>
    </row>
    <row r="32" spans="1:10">
      <c r="A32" s="38" t="s">
        <v>1534</v>
      </c>
      <c r="B32" s="38" t="s">
        <v>181</v>
      </c>
      <c r="C32" s="38" t="s">
        <v>39</v>
      </c>
      <c r="D32" s="38">
        <v>169259.79</v>
      </c>
      <c r="E32" s="38">
        <v>4504.55</v>
      </c>
      <c r="F32" s="38">
        <v>34198.76</v>
      </c>
      <c r="G32" s="38">
        <v>7840.99</v>
      </c>
      <c r="H32" s="38">
        <v>131724.59</v>
      </c>
      <c r="I32" s="38" t="s">
        <v>1504</v>
      </c>
      <c r="J32" s="40"/>
    </row>
    <row r="33" spans="1:10">
      <c r="A33" s="33" t="s">
        <v>1535</v>
      </c>
      <c r="B33" s="33" t="s">
        <v>187</v>
      </c>
      <c r="C33" s="33" t="s">
        <v>57</v>
      </c>
      <c r="D33" s="33">
        <v>22355.93</v>
      </c>
      <c r="E33" s="33">
        <v>777.82</v>
      </c>
      <c r="F33" s="33">
        <v>6961.91</v>
      </c>
      <c r="G33" s="33">
        <v>12241.12</v>
      </c>
      <c r="H33" s="33">
        <v>3930.72</v>
      </c>
      <c r="I33" s="33" t="s">
        <v>1504</v>
      </c>
      <c r="J33" s="40"/>
    </row>
    <row r="34" spans="1:10">
      <c r="A34" s="38" t="s">
        <v>1536</v>
      </c>
      <c r="B34" s="38" t="s">
        <v>190</v>
      </c>
      <c r="C34" s="38" t="s">
        <v>55</v>
      </c>
      <c r="D34" s="38">
        <v>37423.870000000003</v>
      </c>
      <c r="E34" s="38">
        <v>3541.31</v>
      </c>
      <c r="F34" s="38">
        <v>12408.74</v>
      </c>
      <c r="G34" s="38">
        <v>10500.05</v>
      </c>
      <c r="H34" s="38">
        <v>18056.39</v>
      </c>
      <c r="I34" s="38" t="s">
        <v>1509</v>
      </c>
      <c r="J34" s="40"/>
    </row>
    <row r="35" spans="1:10">
      <c r="A35" s="33" t="s">
        <v>1537</v>
      </c>
      <c r="B35" s="33" t="s">
        <v>195</v>
      </c>
      <c r="C35" s="33" t="s">
        <v>198</v>
      </c>
      <c r="D35" s="33">
        <v>232920.98</v>
      </c>
      <c r="E35" s="33">
        <v>7550.67</v>
      </c>
      <c r="F35" s="33">
        <v>35457</v>
      </c>
      <c r="G35" s="33">
        <v>8975.2999999999993</v>
      </c>
      <c r="H35" s="33">
        <v>196039.35</v>
      </c>
      <c r="I35" s="33" t="s">
        <v>1502</v>
      </c>
      <c r="J35" s="40"/>
    </row>
    <row r="36" spans="1:10">
      <c r="A36" s="38" t="s">
        <v>1538</v>
      </c>
      <c r="B36" s="38" t="s">
        <v>200</v>
      </c>
      <c r="C36" s="38" t="s">
        <v>175</v>
      </c>
      <c r="D36" s="38">
        <v>34683.03</v>
      </c>
      <c r="E36" s="38">
        <v>7436.12</v>
      </c>
      <c r="F36" s="38">
        <v>6290.72</v>
      </c>
      <c r="G36" s="38">
        <v>3840.68</v>
      </c>
      <c r="H36" s="38">
        <v>31987.75</v>
      </c>
      <c r="I36" s="38" t="s">
        <v>1504</v>
      </c>
      <c r="J36" s="40"/>
    </row>
    <row r="37" spans="1:10">
      <c r="A37" s="33" t="s">
        <v>1539</v>
      </c>
      <c r="B37" s="33" t="s">
        <v>204</v>
      </c>
      <c r="C37" s="33" t="s">
        <v>117</v>
      </c>
      <c r="D37" s="33">
        <v>63704.38</v>
      </c>
      <c r="E37" s="33">
        <v>4034.15</v>
      </c>
      <c r="F37" s="33">
        <v>37130.67</v>
      </c>
      <c r="G37" s="33">
        <v>2595.42</v>
      </c>
      <c r="H37" s="33">
        <v>28012.44</v>
      </c>
      <c r="I37" s="33" t="s">
        <v>1502</v>
      </c>
      <c r="J37" s="40"/>
    </row>
    <row r="38" spans="1:10">
      <c r="A38" s="38" t="s">
        <v>1540</v>
      </c>
      <c r="B38" s="38" t="s">
        <v>208</v>
      </c>
      <c r="C38" s="38" t="s">
        <v>49</v>
      </c>
      <c r="D38" s="38">
        <v>83227.320000000007</v>
      </c>
      <c r="E38" s="38">
        <v>607.74</v>
      </c>
      <c r="F38" s="38">
        <v>27143.15</v>
      </c>
      <c r="G38" s="38">
        <v>13760.61</v>
      </c>
      <c r="H38" s="38">
        <v>42931.3</v>
      </c>
      <c r="I38" s="38" t="s">
        <v>1504</v>
      </c>
      <c r="J38" s="40"/>
    </row>
    <row r="39" spans="1:10">
      <c r="A39" s="33" t="s">
        <v>1541</v>
      </c>
      <c r="B39" s="33" t="s">
        <v>211</v>
      </c>
      <c r="C39" s="33" t="s">
        <v>41</v>
      </c>
      <c r="D39" s="33">
        <v>129843.32</v>
      </c>
      <c r="E39" s="33">
        <v>3921.38</v>
      </c>
      <c r="F39" s="33">
        <v>10974.13</v>
      </c>
      <c r="G39" s="33">
        <v>9683.5499999999993</v>
      </c>
      <c r="H39" s="33">
        <v>113107.02</v>
      </c>
      <c r="I39" s="33" t="s">
        <v>1504</v>
      </c>
      <c r="J39" s="40"/>
    </row>
    <row r="40" spans="1:10">
      <c r="A40" s="38" t="s">
        <v>1542</v>
      </c>
      <c r="B40" s="38" t="s">
        <v>214</v>
      </c>
      <c r="C40" s="38" t="s">
        <v>55</v>
      </c>
      <c r="D40" s="38">
        <v>26954.400000000001</v>
      </c>
      <c r="E40" s="38">
        <v>1356.35</v>
      </c>
      <c r="F40" s="38">
        <v>25824.21</v>
      </c>
      <c r="G40" s="38">
        <v>10003.17</v>
      </c>
      <c r="H40" s="38">
        <v>-7516.63</v>
      </c>
      <c r="I40" s="38" t="s">
        <v>1504</v>
      </c>
      <c r="J40" s="40"/>
    </row>
    <row r="41" spans="1:10">
      <c r="A41" s="33" t="s">
        <v>1543</v>
      </c>
      <c r="B41" s="33" t="s">
        <v>218</v>
      </c>
      <c r="C41" s="33" t="s">
        <v>130</v>
      </c>
      <c r="D41" s="33">
        <v>18016.259999999998</v>
      </c>
      <c r="E41" s="33">
        <v>6533.4</v>
      </c>
      <c r="F41" s="33">
        <v>19917.400000000001</v>
      </c>
      <c r="G41" s="33">
        <v>12549.77</v>
      </c>
      <c r="H41" s="33">
        <v>-7917.51</v>
      </c>
      <c r="I41" s="33" t="s">
        <v>1509</v>
      </c>
      <c r="J41" s="40"/>
    </row>
    <row r="42" spans="1:10">
      <c r="A42" s="38" t="s">
        <v>1544</v>
      </c>
      <c r="B42" s="38" t="s">
        <v>221</v>
      </c>
      <c r="C42" s="38" t="s">
        <v>39</v>
      </c>
      <c r="D42" s="38">
        <v>93035.88</v>
      </c>
      <c r="E42" s="38">
        <v>2931.76</v>
      </c>
      <c r="F42" s="38">
        <v>39154.86</v>
      </c>
      <c r="G42" s="38">
        <v>9487.57</v>
      </c>
      <c r="H42" s="38">
        <v>47325.21</v>
      </c>
      <c r="I42" s="38" t="s">
        <v>1502</v>
      </c>
      <c r="J42" s="40"/>
    </row>
    <row r="43" spans="1:10">
      <c r="A43" s="33" t="s">
        <v>1545</v>
      </c>
      <c r="B43" s="33" t="s">
        <v>224</v>
      </c>
      <c r="C43" s="33" t="s">
        <v>49</v>
      </c>
      <c r="D43" s="33">
        <v>111559.28</v>
      </c>
      <c r="E43" s="33">
        <v>2911.92</v>
      </c>
      <c r="F43" s="33">
        <v>38764.230000000003</v>
      </c>
      <c r="G43" s="33">
        <v>4772.01</v>
      </c>
      <c r="H43" s="33">
        <v>70934.960000000006</v>
      </c>
      <c r="I43" s="33" t="s">
        <v>1504</v>
      </c>
      <c r="J43" s="40"/>
    </row>
    <row r="44" spans="1:10">
      <c r="A44" s="38" t="s">
        <v>1546</v>
      </c>
      <c r="B44" s="38" t="s">
        <v>228</v>
      </c>
      <c r="C44" s="38" t="s">
        <v>22</v>
      </c>
      <c r="D44" s="38">
        <v>30562.05</v>
      </c>
      <c r="E44" s="38">
        <v>4948.1400000000003</v>
      </c>
      <c r="F44" s="38">
        <v>16742.63</v>
      </c>
      <c r="G44" s="38">
        <v>3569.69</v>
      </c>
      <c r="H44" s="38">
        <v>15197.87</v>
      </c>
      <c r="I44" s="38" t="s">
        <v>1502</v>
      </c>
      <c r="J44" s="40"/>
    </row>
    <row r="45" spans="1:10">
      <c r="A45" s="33" t="s">
        <v>1547</v>
      </c>
      <c r="B45" s="33" t="s">
        <v>232</v>
      </c>
      <c r="C45" s="33" t="s">
        <v>184</v>
      </c>
      <c r="D45" s="33">
        <v>61989.52</v>
      </c>
      <c r="E45" s="33">
        <v>6181.63</v>
      </c>
      <c r="F45" s="33">
        <v>10881.78</v>
      </c>
      <c r="G45" s="33">
        <v>6809.06</v>
      </c>
      <c r="H45" s="33">
        <v>50480.31</v>
      </c>
      <c r="I45" s="33" t="s">
        <v>1502</v>
      </c>
      <c r="J45" s="40"/>
    </row>
    <row r="46" spans="1:10">
      <c r="A46" s="38" t="s">
        <v>1548</v>
      </c>
      <c r="B46" s="38" t="s">
        <v>235</v>
      </c>
      <c r="C46" s="38" t="s">
        <v>80</v>
      </c>
      <c r="D46" s="38">
        <v>195777.54</v>
      </c>
      <c r="E46" s="38">
        <v>3789.96</v>
      </c>
      <c r="F46" s="38">
        <v>37398.639999999999</v>
      </c>
      <c r="G46" s="38">
        <v>2529.09</v>
      </c>
      <c r="H46" s="38">
        <v>159639.76999999999</v>
      </c>
      <c r="I46" s="38" t="s">
        <v>1504</v>
      </c>
      <c r="J46" s="40"/>
    </row>
    <row r="47" spans="1:10">
      <c r="A47" s="33" t="s">
        <v>1549</v>
      </c>
      <c r="B47" s="33" t="s">
        <v>238</v>
      </c>
      <c r="C47" s="33" t="s">
        <v>22</v>
      </c>
      <c r="D47" s="33">
        <v>76280.88</v>
      </c>
      <c r="E47" s="33">
        <v>6432.89</v>
      </c>
      <c r="F47" s="33">
        <v>27126.81</v>
      </c>
      <c r="G47" s="33">
        <v>6889.7</v>
      </c>
      <c r="H47" s="33">
        <v>48697.26</v>
      </c>
      <c r="I47" s="33" t="s">
        <v>1502</v>
      </c>
      <c r="J47" s="40"/>
    </row>
    <row r="48" spans="1:10">
      <c r="A48" s="38" t="s">
        <v>1550</v>
      </c>
      <c r="B48" s="38" t="s">
        <v>242</v>
      </c>
      <c r="C48" s="38" t="s">
        <v>67</v>
      </c>
      <c r="D48" s="38">
        <v>31362.799999999999</v>
      </c>
      <c r="E48" s="38">
        <v>617.23</v>
      </c>
      <c r="F48" s="38">
        <v>22043.86</v>
      </c>
      <c r="G48" s="38">
        <v>2082.54</v>
      </c>
      <c r="H48" s="38">
        <v>7853.63</v>
      </c>
      <c r="I48" s="38" t="s">
        <v>1502</v>
      </c>
      <c r="J48" s="40"/>
    </row>
    <row r="49" spans="1:10">
      <c r="A49" s="33" t="s">
        <v>1551</v>
      </c>
      <c r="B49" s="33" t="s">
        <v>246</v>
      </c>
      <c r="C49" s="33" t="s">
        <v>41</v>
      </c>
      <c r="D49" s="33">
        <v>19577.16</v>
      </c>
      <c r="E49" s="33">
        <v>7446.03</v>
      </c>
      <c r="F49" s="33">
        <v>29735.94</v>
      </c>
      <c r="G49" s="33">
        <v>9718.5</v>
      </c>
      <c r="H49" s="33">
        <v>-12431.25</v>
      </c>
      <c r="I49" s="33" t="s">
        <v>1511</v>
      </c>
      <c r="J49" s="40"/>
    </row>
    <row r="50" spans="1:10">
      <c r="A50" s="38" t="s">
        <v>1552</v>
      </c>
      <c r="B50" s="38" t="s">
        <v>250</v>
      </c>
      <c r="C50" s="38" t="s">
        <v>55</v>
      </c>
      <c r="D50" s="38">
        <v>85349</v>
      </c>
      <c r="E50" s="38">
        <v>3621.67</v>
      </c>
      <c r="F50" s="38">
        <v>33259.410000000003</v>
      </c>
      <c r="G50" s="38">
        <v>12043.32</v>
      </c>
      <c r="H50" s="38">
        <v>43667.94</v>
      </c>
      <c r="I50" s="38" t="s">
        <v>1502</v>
      </c>
      <c r="J50" s="40"/>
    </row>
    <row r="51" spans="1:10">
      <c r="A51" s="33" t="s">
        <v>1553</v>
      </c>
      <c r="B51" s="33" t="s">
        <v>254</v>
      </c>
      <c r="C51" s="33" t="s">
        <v>22</v>
      </c>
      <c r="D51" s="33">
        <v>42023.63</v>
      </c>
      <c r="E51" s="33">
        <v>2046.2</v>
      </c>
      <c r="F51" s="33">
        <v>27393.9</v>
      </c>
      <c r="G51" s="33">
        <v>8800.1299999999992</v>
      </c>
      <c r="H51" s="33">
        <v>7875.8</v>
      </c>
      <c r="I51" s="33" t="s">
        <v>1509</v>
      </c>
      <c r="J51" s="40"/>
    </row>
    <row r="52" spans="1:10">
      <c r="A52" s="38" t="s">
        <v>1554</v>
      </c>
      <c r="B52" s="38" t="s">
        <v>257</v>
      </c>
      <c r="C52" s="38" t="s">
        <v>184</v>
      </c>
      <c r="D52" s="38">
        <v>114588.63</v>
      </c>
      <c r="E52" s="38">
        <v>2294.4</v>
      </c>
      <c r="F52" s="38">
        <v>11109.21</v>
      </c>
      <c r="G52" s="38">
        <v>10991.76</v>
      </c>
      <c r="H52" s="38">
        <v>94782.06</v>
      </c>
      <c r="I52" s="38" t="s">
        <v>1502</v>
      </c>
      <c r="J52" s="40"/>
    </row>
    <row r="53" spans="1:10">
      <c r="A53" s="33" t="s">
        <v>1555</v>
      </c>
      <c r="B53" s="33" t="s">
        <v>261</v>
      </c>
      <c r="C53" s="33" t="s">
        <v>33</v>
      </c>
      <c r="D53" s="33">
        <v>213391.25</v>
      </c>
      <c r="E53" s="33">
        <v>5878.99</v>
      </c>
      <c r="F53" s="33">
        <v>26421.74</v>
      </c>
      <c r="G53" s="33">
        <v>3144.28</v>
      </c>
      <c r="H53" s="33">
        <v>189704.22</v>
      </c>
      <c r="I53" s="33" t="s">
        <v>1511</v>
      </c>
      <c r="J53" s="40"/>
    </row>
    <row r="54" spans="1:10">
      <c r="A54" s="38" t="s">
        <v>1556</v>
      </c>
      <c r="B54" s="38" t="s">
        <v>264</v>
      </c>
      <c r="C54" s="38" t="s">
        <v>41</v>
      </c>
      <c r="D54" s="38">
        <v>297300.47999999998</v>
      </c>
      <c r="E54" s="38">
        <v>3108.9</v>
      </c>
      <c r="F54" s="38">
        <v>5159.95</v>
      </c>
      <c r="G54" s="38">
        <v>5063.3100000000004</v>
      </c>
      <c r="H54" s="38">
        <v>290186.12</v>
      </c>
      <c r="I54" s="38" t="s">
        <v>1504</v>
      </c>
      <c r="J54" s="40"/>
    </row>
    <row r="55" spans="1:10">
      <c r="A55" s="33" t="s">
        <v>1557</v>
      </c>
      <c r="B55" s="33" t="s">
        <v>267</v>
      </c>
      <c r="C55" s="33" t="s">
        <v>74</v>
      </c>
      <c r="D55" s="33">
        <v>179328.24</v>
      </c>
      <c r="E55" s="33">
        <v>7899.53</v>
      </c>
      <c r="F55" s="33">
        <v>39187.699999999997</v>
      </c>
      <c r="G55" s="33">
        <v>10045.969999999999</v>
      </c>
      <c r="H55" s="33">
        <v>137994.1</v>
      </c>
      <c r="I55" s="33" t="s">
        <v>1502</v>
      </c>
      <c r="J55" s="40"/>
    </row>
    <row r="56" spans="1:10">
      <c r="A56" s="38" t="s">
        <v>1558</v>
      </c>
      <c r="B56" s="38" t="s">
        <v>271</v>
      </c>
      <c r="C56" s="38" t="s">
        <v>175</v>
      </c>
      <c r="D56" s="38">
        <v>57765.4</v>
      </c>
      <c r="E56" s="38">
        <v>3981.62</v>
      </c>
      <c r="F56" s="38">
        <v>26926.25</v>
      </c>
      <c r="G56" s="38">
        <v>4705.41</v>
      </c>
      <c r="H56" s="38">
        <v>30115.360000000001</v>
      </c>
      <c r="I56" s="38" t="s">
        <v>1504</v>
      </c>
      <c r="J56" s="40"/>
    </row>
    <row r="57" spans="1:10">
      <c r="A57" s="33" t="s">
        <v>1559</v>
      </c>
      <c r="B57" s="33" t="s">
        <v>273</v>
      </c>
      <c r="C57" s="33" t="s">
        <v>55</v>
      </c>
      <c r="D57" s="33">
        <v>199765.1</v>
      </c>
      <c r="E57" s="33">
        <v>1952.89</v>
      </c>
      <c r="F57" s="33">
        <v>32881.449999999997</v>
      </c>
      <c r="G57" s="33">
        <v>10908.17</v>
      </c>
      <c r="H57" s="33">
        <v>157928.37</v>
      </c>
      <c r="I57" s="33" t="s">
        <v>1509</v>
      </c>
      <c r="J57" s="40"/>
    </row>
    <row r="58" spans="1:10">
      <c r="A58" s="38" t="s">
        <v>1560</v>
      </c>
      <c r="B58" s="38" t="s">
        <v>277</v>
      </c>
      <c r="C58" s="38" t="s">
        <v>96</v>
      </c>
      <c r="D58" s="38">
        <v>68075.399999999994</v>
      </c>
      <c r="E58" s="38">
        <v>4231.3599999999997</v>
      </c>
      <c r="F58" s="38">
        <v>10591.59</v>
      </c>
      <c r="G58" s="38">
        <v>13994.75</v>
      </c>
      <c r="H58" s="38">
        <v>47720.42</v>
      </c>
      <c r="I58" s="38" t="s">
        <v>1504</v>
      </c>
      <c r="J58" s="40"/>
    </row>
    <row r="59" spans="1:10">
      <c r="A59" s="33" t="s">
        <v>1561</v>
      </c>
      <c r="B59" s="33" t="s">
        <v>281</v>
      </c>
      <c r="C59" s="33" t="s">
        <v>41</v>
      </c>
      <c r="D59" s="33">
        <v>0</v>
      </c>
      <c r="E59" s="33">
        <v>0</v>
      </c>
      <c r="F59" s="33">
        <v>27570.13</v>
      </c>
      <c r="G59" s="33">
        <v>5705.84</v>
      </c>
      <c r="H59" s="33">
        <v>-33275.97</v>
      </c>
      <c r="I59" s="33" t="s">
        <v>1509</v>
      </c>
      <c r="J59" s="40"/>
    </row>
    <row r="60" spans="1:10">
      <c r="A60" s="38" t="s">
        <v>1562</v>
      </c>
      <c r="B60" s="38" t="s">
        <v>285</v>
      </c>
      <c r="C60" s="38" t="s">
        <v>184</v>
      </c>
      <c r="D60" s="38">
        <v>36238.400000000001</v>
      </c>
      <c r="E60" s="38">
        <v>2385.36</v>
      </c>
      <c r="F60" s="38">
        <v>26588.68</v>
      </c>
      <c r="G60" s="38">
        <v>13571.03</v>
      </c>
      <c r="H60" s="38">
        <v>-1535.95</v>
      </c>
      <c r="I60" s="38" t="s">
        <v>1509</v>
      </c>
      <c r="J60" s="40"/>
    </row>
    <row r="61" spans="1:10">
      <c r="A61" s="33" t="s">
        <v>1563</v>
      </c>
      <c r="B61" s="33" t="s">
        <v>289</v>
      </c>
      <c r="C61" s="33" t="s">
        <v>22</v>
      </c>
      <c r="D61" s="33">
        <v>40514.910000000003</v>
      </c>
      <c r="E61" s="33">
        <v>824.88</v>
      </c>
      <c r="F61" s="33">
        <v>30914.59</v>
      </c>
      <c r="G61" s="33">
        <v>14023.2</v>
      </c>
      <c r="H61" s="33">
        <v>-3598</v>
      </c>
      <c r="I61" s="33" t="s">
        <v>1502</v>
      </c>
      <c r="J61" s="40"/>
    </row>
    <row r="62" spans="1:10">
      <c r="A62" s="38" t="s">
        <v>1564</v>
      </c>
      <c r="B62" s="38" t="s">
        <v>291</v>
      </c>
      <c r="C62" s="38" t="s">
        <v>41</v>
      </c>
      <c r="D62" s="38">
        <v>36361.5</v>
      </c>
      <c r="E62" s="38">
        <v>1685.34</v>
      </c>
      <c r="F62" s="38">
        <v>6017.28</v>
      </c>
      <c r="G62" s="38">
        <v>8693.75</v>
      </c>
      <c r="H62" s="38">
        <v>23335.81</v>
      </c>
      <c r="I62" s="38" t="s">
        <v>1504</v>
      </c>
      <c r="J62" s="40"/>
    </row>
    <row r="63" spans="1:10">
      <c r="A63" s="33" t="s">
        <v>1565</v>
      </c>
      <c r="B63" s="33" t="s">
        <v>294</v>
      </c>
      <c r="C63" s="33" t="s">
        <v>102</v>
      </c>
      <c r="D63" s="33">
        <v>142418.07999999999</v>
      </c>
      <c r="E63" s="33">
        <v>7213.09</v>
      </c>
      <c r="F63" s="33">
        <v>30249.11</v>
      </c>
      <c r="G63" s="33">
        <v>9705.19</v>
      </c>
      <c r="H63" s="33">
        <v>109676.87</v>
      </c>
      <c r="I63" s="33" t="s">
        <v>1511</v>
      </c>
      <c r="J63" s="40"/>
    </row>
    <row r="64" spans="1:10">
      <c r="A64" s="38" t="s">
        <v>1566</v>
      </c>
      <c r="B64" s="38" t="s">
        <v>298</v>
      </c>
      <c r="C64" s="38" t="s">
        <v>41</v>
      </c>
      <c r="D64" s="38">
        <v>0</v>
      </c>
      <c r="E64" s="38">
        <v>0</v>
      </c>
      <c r="F64" s="38"/>
      <c r="G64" s="38">
        <v>11712.13</v>
      </c>
      <c r="H64" s="38">
        <v>-31379.45</v>
      </c>
      <c r="I64" s="38" t="s">
        <v>1511</v>
      </c>
      <c r="J64" s="40"/>
    </row>
    <row r="65" spans="1:10">
      <c r="A65" s="33" t="s">
        <v>1567</v>
      </c>
      <c r="B65" s="33" t="s">
        <v>301</v>
      </c>
      <c r="C65" s="33" t="s">
        <v>22</v>
      </c>
      <c r="D65" s="33">
        <v>27071.55</v>
      </c>
      <c r="E65" s="33">
        <v>2225.4699999999998</v>
      </c>
      <c r="F65" s="33">
        <v>8854.65</v>
      </c>
      <c r="G65" s="33">
        <v>4961.17</v>
      </c>
      <c r="H65" s="33">
        <v>15481.2</v>
      </c>
      <c r="I65" s="33" t="s">
        <v>1502</v>
      </c>
      <c r="J65" s="40"/>
    </row>
    <row r="66" spans="1:10">
      <c r="A66" s="38" t="s">
        <v>1568</v>
      </c>
      <c r="B66" s="38" t="s">
        <v>305</v>
      </c>
      <c r="C66" s="38" t="s">
        <v>24</v>
      </c>
      <c r="D66" s="38">
        <v>29548.2</v>
      </c>
      <c r="E66" s="38">
        <v>6033.11</v>
      </c>
      <c r="F66" s="38">
        <v>35446.019999999997</v>
      </c>
      <c r="G66" s="38">
        <v>6881.92</v>
      </c>
      <c r="H66" s="38">
        <v>-6746.63</v>
      </c>
      <c r="I66" s="38" t="s">
        <v>1502</v>
      </c>
      <c r="J66" s="40"/>
    </row>
    <row r="67" spans="1:10">
      <c r="A67" s="33" t="s">
        <v>1569</v>
      </c>
      <c r="B67" s="33" t="s">
        <v>309</v>
      </c>
      <c r="C67" s="33" t="s">
        <v>198</v>
      </c>
      <c r="D67" s="33">
        <v>20477.439999999999</v>
      </c>
      <c r="E67" s="33">
        <v>1051.47</v>
      </c>
      <c r="F67" s="33">
        <v>25478.23</v>
      </c>
      <c r="G67" s="33">
        <v>2706.41</v>
      </c>
      <c r="H67" s="33">
        <v>-6655.73</v>
      </c>
      <c r="I67" s="33" t="s">
        <v>1509</v>
      </c>
      <c r="J67" s="40"/>
    </row>
    <row r="68" spans="1:10">
      <c r="A68" s="38" t="s">
        <v>1570</v>
      </c>
      <c r="B68" s="38" t="s">
        <v>312</v>
      </c>
      <c r="C68" s="38" t="s">
        <v>198</v>
      </c>
      <c r="D68" s="38">
        <v>199900.79999999999</v>
      </c>
      <c r="E68" s="38">
        <v>1587.06</v>
      </c>
      <c r="F68" s="38">
        <v>37476.050000000003</v>
      </c>
      <c r="G68" s="38">
        <v>7914.88</v>
      </c>
      <c r="H68" s="38">
        <v>156096.93</v>
      </c>
      <c r="I68" s="38" t="s">
        <v>1509</v>
      </c>
      <c r="J68" s="40"/>
    </row>
    <row r="69" spans="1:10">
      <c r="A69" s="33" t="s">
        <v>1571</v>
      </c>
      <c r="B69" s="33" t="s">
        <v>315</v>
      </c>
      <c r="C69" s="33" t="s">
        <v>157</v>
      </c>
      <c r="D69" s="33">
        <v>163742.76</v>
      </c>
      <c r="E69" s="33">
        <v>3301.14</v>
      </c>
      <c r="F69" s="33">
        <v>21020.91</v>
      </c>
      <c r="G69" s="33">
        <v>4524.01</v>
      </c>
      <c r="H69" s="33">
        <v>141498.98000000001</v>
      </c>
      <c r="I69" s="33" t="s">
        <v>1511</v>
      </c>
      <c r="J69" s="40"/>
    </row>
    <row r="70" spans="1:10">
      <c r="A70" s="38" t="s">
        <v>1572</v>
      </c>
      <c r="B70" s="38" t="s">
        <v>318</v>
      </c>
      <c r="C70" s="38" t="s">
        <v>80</v>
      </c>
      <c r="D70" s="38">
        <v>308717.64</v>
      </c>
      <c r="E70" s="38">
        <v>7816.67</v>
      </c>
      <c r="F70" s="38">
        <v>12077.38</v>
      </c>
      <c r="G70" s="38">
        <v>3653.75</v>
      </c>
      <c r="H70" s="38">
        <v>300803.18</v>
      </c>
      <c r="I70" s="38" t="s">
        <v>1504</v>
      </c>
      <c r="J70" s="40"/>
    </row>
    <row r="71" spans="1:10">
      <c r="A71" s="33" t="s">
        <v>1573</v>
      </c>
      <c r="B71" s="33" t="s">
        <v>321</v>
      </c>
      <c r="C71" s="33" t="s">
        <v>65</v>
      </c>
      <c r="D71" s="33">
        <v>183156.16</v>
      </c>
      <c r="E71" s="33">
        <v>2604.5300000000002</v>
      </c>
      <c r="F71" s="33">
        <v>8888.82</v>
      </c>
      <c r="G71" s="33">
        <v>8051.95</v>
      </c>
      <c r="H71" s="33">
        <v>168819.92</v>
      </c>
      <c r="I71" s="33" t="s">
        <v>1509</v>
      </c>
      <c r="J71" s="40"/>
    </row>
    <row r="72" spans="1:10">
      <c r="A72" s="38" t="s">
        <v>1574</v>
      </c>
      <c r="B72" s="38" t="s">
        <v>324</v>
      </c>
      <c r="C72" s="38" t="s">
        <v>41</v>
      </c>
      <c r="D72" s="38">
        <v>365148.93</v>
      </c>
      <c r="E72" s="38">
        <v>1784.01</v>
      </c>
      <c r="F72" s="38">
        <v>17025.16</v>
      </c>
      <c r="G72" s="38">
        <v>13523.32</v>
      </c>
      <c r="H72" s="38">
        <v>336384.46</v>
      </c>
      <c r="I72" s="38" t="s">
        <v>1502</v>
      </c>
      <c r="J72" s="40"/>
    </row>
    <row r="73" spans="1:10">
      <c r="A73" s="33" t="s">
        <v>1575</v>
      </c>
      <c r="B73" s="33" t="s">
        <v>327</v>
      </c>
      <c r="C73" s="33" t="s">
        <v>57</v>
      </c>
      <c r="D73" s="33">
        <v>65558.64</v>
      </c>
      <c r="E73" s="33">
        <v>6421.6</v>
      </c>
      <c r="F73" s="33">
        <v>27329.97</v>
      </c>
      <c r="G73" s="33">
        <v>9949.8700000000008</v>
      </c>
      <c r="H73" s="33">
        <v>34700.400000000001</v>
      </c>
      <c r="I73" s="33" t="s">
        <v>1502</v>
      </c>
      <c r="J73" s="40"/>
    </row>
    <row r="74" spans="1:10">
      <c r="A74" s="38" t="s">
        <v>1576</v>
      </c>
      <c r="B74" s="38" t="s">
        <v>329</v>
      </c>
      <c r="C74" s="38" t="s">
        <v>80</v>
      </c>
      <c r="D74" s="38">
        <v>65918.16</v>
      </c>
      <c r="E74" s="38">
        <v>4835.91</v>
      </c>
      <c r="F74" s="38">
        <v>24346.45</v>
      </c>
      <c r="G74" s="38">
        <v>4986.13</v>
      </c>
      <c r="H74" s="38">
        <v>41421.49</v>
      </c>
      <c r="I74" s="38" t="s">
        <v>1509</v>
      </c>
      <c r="J74" s="40"/>
    </row>
    <row r="75" spans="1:10">
      <c r="A75" s="33" t="s">
        <v>1577</v>
      </c>
      <c r="B75" s="33" t="s">
        <v>332</v>
      </c>
      <c r="C75" s="33" t="s">
        <v>198</v>
      </c>
      <c r="D75" s="33">
        <v>158696.85</v>
      </c>
      <c r="E75" s="33">
        <v>6927.3</v>
      </c>
      <c r="F75" s="33">
        <v>22122.47</v>
      </c>
      <c r="G75" s="33">
        <v>14943.64</v>
      </c>
      <c r="H75" s="33">
        <v>128558.04</v>
      </c>
      <c r="I75" s="33" t="s">
        <v>1509</v>
      </c>
      <c r="J75" s="40"/>
    </row>
    <row r="76" spans="1:10">
      <c r="A76" s="38" t="s">
        <v>1578</v>
      </c>
      <c r="B76" s="38" t="s">
        <v>336</v>
      </c>
      <c r="C76" s="38" t="s">
        <v>184</v>
      </c>
      <c r="D76" s="38">
        <v>169226.6</v>
      </c>
      <c r="E76" s="38">
        <v>6777.42</v>
      </c>
      <c r="F76" s="38">
        <v>14770.98</v>
      </c>
      <c r="G76" s="38">
        <v>11490.23</v>
      </c>
      <c r="H76" s="38">
        <v>149742.81</v>
      </c>
      <c r="I76" s="38" t="s">
        <v>1502</v>
      </c>
      <c r="J76" s="40"/>
    </row>
    <row r="77" spans="1:10">
      <c r="A77" s="33" t="s">
        <v>1579</v>
      </c>
      <c r="B77" s="33" t="s">
        <v>340</v>
      </c>
      <c r="C77" s="33" t="s">
        <v>96</v>
      </c>
      <c r="D77" s="33">
        <v>99748.66</v>
      </c>
      <c r="E77" s="33">
        <v>2358.7399999999998</v>
      </c>
      <c r="F77" s="33">
        <v>20198.71</v>
      </c>
      <c r="G77" s="33">
        <v>4891.29</v>
      </c>
      <c r="H77" s="33">
        <v>77017.399999999994</v>
      </c>
      <c r="I77" s="33" t="s">
        <v>1502</v>
      </c>
      <c r="J77" s="40"/>
    </row>
    <row r="78" spans="1:10">
      <c r="A78" s="38" t="s">
        <v>1580</v>
      </c>
      <c r="B78" s="38" t="s">
        <v>344</v>
      </c>
      <c r="C78" s="38" t="s">
        <v>24</v>
      </c>
      <c r="D78" s="38">
        <v>112144.52</v>
      </c>
      <c r="E78" s="38">
        <v>7353.16</v>
      </c>
      <c r="F78" s="38">
        <v>36438.81</v>
      </c>
      <c r="G78" s="38">
        <v>7431.03</v>
      </c>
      <c r="H78" s="38">
        <v>75627.839999999997</v>
      </c>
      <c r="I78" s="38" t="s">
        <v>1504</v>
      </c>
      <c r="J78" s="40"/>
    </row>
    <row r="79" spans="1:10">
      <c r="A79" s="33" t="s">
        <v>1581</v>
      </c>
      <c r="B79" s="33" t="s">
        <v>345</v>
      </c>
      <c r="C79" s="33" t="s">
        <v>57</v>
      </c>
      <c r="D79" s="33">
        <v>18401.28</v>
      </c>
      <c r="E79" s="33">
        <v>800.44</v>
      </c>
      <c r="F79" s="33">
        <v>21472.84</v>
      </c>
      <c r="G79" s="33">
        <v>11991.88</v>
      </c>
      <c r="H79" s="33">
        <v>-14263</v>
      </c>
      <c r="I79" s="33" t="s">
        <v>1504</v>
      </c>
      <c r="J79" s="40"/>
    </row>
    <row r="80" spans="1:10">
      <c r="A80" s="38" t="s">
        <v>1582</v>
      </c>
      <c r="B80" s="38" t="s">
        <v>348</v>
      </c>
      <c r="C80" s="38" t="s">
        <v>80</v>
      </c>
      <c r="D80" s="38">
        <v>0</v>
      </c>
      <c r="E80" s="38">
        <v>0</v>
      </c>
      <c r="F80" s="38">
        <v>19899.419999999998</v>
      </c>
      <c r="G80" s="38">
        <v>7126.16</v>
      </c>
      <c r="H80" s="38">
        <v>-27025.58</v>
      </c>
      <c r="I80" s="38" t="s">
        <v>1504</v>
      </c>
      <c r="J80" s="40"/>
    </row>
    <row r="81" spans="1:10">
      <c r="A81" s="33" t="s">
        <v>1583</v>
      </c>
      <c r="B81" s="33" t="s">
        <v>351</v>
      </c>
      <c r="C81" s="33" t="s">
        <v>49</v>
      </c>
      <c r="D81" s="33">
        <v>120002.6</v>
      </c>
      <c r="E81" s="33">
        <v>3893.31</v>
      </c>
      <c r="F81" s="33">
        <v>13417.9</v>
      </c>
      <c r="G81" s="33">
        <v>9260.33</v>
      </c>
      <c r="H81" s="33">
        <v>101217.68</v>
      </c>
      <c r="I81" s="33" t="s">
        <v>1504</v>
      </c>
      <c r="J81" s="40"/>
    </row>
    <row r="82" spans="1:10">
      <c r="A82" s="38" t="s">
        <v>1584</v>
      </c>
      <c r="B82" s="38" t="s">
        <v>353</v>
      </c>
      <c r="C82" s="38" t="s">
        <v>96</v>
      </c>
      <c r="D82" s="38">
        <v>38999.879999999997</v>
      </c>
      <c r="E82" s="38">
        <v>5698.7</v>
      </c>
      <c r="F82" s="38">
        <v>19231.63</v>
      </c>
      <c r="G82" s="38">
        <v>4834.08</v>
      </c>
      <c r="H82" s="38">
        <v>20632.87</v>
      </c>
      <c r="I82" s="38" t="s">
        <v>1511</v>
      </c>
      <c r="J82" s="40"/>
    </row>
    <row r="83" spans="1:10">
      <c r="A83" s="33" t="s">
        <v>1585</v>
      </c>
      <c r="B83" s="33" t="s">
        <v>356</v>
      </c>
      <c r="C83" s="33" t="s">
        <v>39</v>
      </c>
      <c r="D83" s="33">
        <v>50353.81</v>
      </c>
      <c r="E83" s="33">
        <v>2718.43</v>
      </c>
      <c r="F83" s="33">
        <v>27667.41</v>
      </c>
      <c r="G83" s="33">
        <v>3179.48</v>
      </c>
      <c r="H83" s="33">
        <v>22225.35</v>
      </c>
      <c r="I83" s="33" t="s">
        <v>1509</v>
      </c>
      <c r="J83" s="40"/>
    </row>
    <row r="84" spans="1:10">
      <c r="A84" s="38" t="s">
        <v>1586</v>
      </c>
      <c r="B84" s="38" t="s">
        <v>359</v>
      </c>
      <c r="C84" s="38" t="s">
        <v>22</v>
      </c>
      <c r="D84" s="38">
        <v>0</v>
      </c>
      <c r="E84" s="38">
        <v>0</v>
      </c>
      <c r="F84" s="38">
        <v>28416.25</v>
      </c>
      <c r="G84" s="38">
        <v>4103.4399999999996</v>
      </c>
      <c r="H84" s="38">
        <v>-32519.69</v>
      </c>
      <c r="I84" s="38" t="s">
        <v>1509</v>
      </c>
      <c r="J84" s="40"/>
    </row>
    <row r="85" spans="1:10">
      <c r="A85" s="33" t="s">
        <v>1587</v>
      </c>
      <c r="B85" s="33" t="s">
        <v>363</v>
      </c>
      <c r="C85" s="33" t="s">
        <v>22</v>
      </c>
      <c r="D85" s="33">
        <v>28122.45</v>
      </c>
      <c r="E85" s="33">
        <v>6934.42</v>
      </c>
      <c r="F85" s="33">
        <v>31155.03</v>
      </c>
      <c r="G85" s="33">
        <v>2317.38</v>
      </c>
      <c r="H85" s="33">
        <v>1584.46</v>
      </c>
      <c r="I85" s="33" t="s">
        <v>1509</v>
      </c>
      <c r="J85" s="40"/>
    </row>
    <row r="86" spans="1:10">
      <c r="A86" s="38" t="s">
        <v>1588</v>
      </c>
      <c r="B86" s="38" t="s">
        <v>366</v>
      </c>
      <c r="C86" s="38" t="s">
        <v>67</v>
      </c>
      <c r="D86" s="38">
        <v>257246.12</v>
      </c>
      <c r="E86" s="38">
        <v>3978.2</v>
      </c>
      <c r="F86" s="38">
        <v>9851.84</v>
      </c>
      <c r="G86" s="38">
        <v>11140.75</v>
      </c>
      <c r="H86" s="38">
        <v>240231.73</v>
      </c>
      <c r="I86" s="38" t="s">
        <v>1502</v>
      </c>
      <c r="J86" s="40"/>
    </row>
    <row r="87" spans="1:10">
      <c r="A87" s="33" t="s">
        <v>1589</v>
      </c>
      <c r="B87" s="33" t="s">
        <v>368</v>
      </c>
      <c r="C87" s="33" t="s">
        <v>184</v>
      </c>
      <c r="D87" s="33">
        <v>75334.89</v>
      </c>
      <c r="E87" s="33">
        <v>6423.94</v>
      </c>
      <c r="F87" s="33">
        <v>17964.72</v>
      </c>
      <c r="G87" s="33">
        <v>8035.85</v>
      </c>
      <c r="H87" s="33">
        <v>55758.26</v>
      </c>
      <c r="I87" s="33" t="s">
        <v>1504</v>
      </c>
      <c r="J87" s="40"/>
    </row>
    <row r="88" spans="1:10">
      <c r="A88" s="38" t="s">
        <v>1590</v>
      </c>
      <c r="B88" s="38" t="s">
        <v>371</v>
      </c>
      <c r="C88" s="38" t="s">
        <v>55</v>
      </c>
      <c r="D88" s="38">
        <v>54040.74</v>
      </c>
      <c r="E88" s="38">
        <v>6952.87</v>
      </c>
      <c r="F88" s="38">
        <v>7474.45</v>
      </c>
      <c r="G88" s="38">
        <v>13614.65</v>
      </c>
      <c r="H88" s="38">
        <v>39904.51</v>
      </c>
      <c r="I88" s="38" t="s">
        <v>1511</v>
      </c>
      <c r="J88" s="40"/>
    </row>
    <row r="89" spans="1:10">
      <c r="A89" s="33" t="s">
        <v>1591</v>
      </c>
      <c r="B89" s="33" t="s">
        <v>373</v>
      </c>
      <c r="C89" s="33" t="s">
        <v>22</v>
      </c>
      <c r="D89" s="33">
        <v>123953.08</v>
      </c>
      <c r="E89" s="33">
        <v>4481.8999999999996</v>
      </c>
      <c r="F89" s="33">
        <v>15380.65</v>
      </c>
      <c r="G89" s="33">
        <v>11787.54</v>
      </c>
      <c r="H89" s="33">
        <v>101266.79</v>
      </c>
      <c r="I89" s="33" t="s">
        <v>1502</v>
      </c>
      <c r="J89" s="40"/>
    </row>
    <row r="90" spans="1:10">
      <c r="A90" s="38" t="s">
        <v>1592</v>
      </c>
      <c r="B90" s="38" t="s">
        <v>376</v>
      </c>
      <c r="C90" s="38" t="s">
        <v>67</v>
      </c>
      <c r="D90" s="38">
        <v>103362.68</v>
      </c>
      <c r="E90" s="38">
        <v>6407.69</v>
      </c>
      <c r="F90" s="38">
        <v>7833.57</v>
      </c>
      <c r="G90" s="38">
        <v>13451.01</v>
      </c>
      <c r="H90" s="38">
        <v>88485.79</v>
      </c>
      <c r="I90" s="38" t="s">
        <v>1504</v>
      </c>
      <c r="J90" s="40"/>
    </row>
    <row r="91" spans="1:10">
      <c r="A91" s="33" t="s">
        <v>1593</v>
      </c>
      <c r="B91" s="33" t="s">
        <v>380</v>
      </c>
      <c r="C91" s="33" t="s">
        <v>24</v>
      </c>
      <c r="D91" s="33">
        <v>231141.19</v>
      </c>
      <c r="E91" s="33">
        <v>4360.5200000000004</v>
      </c>
      <c r="F91" s="33">
        <v>36850.14</v>
      </c>
      <c r="G91" s="33">
        <v>6731.88</v>
      </c>
      <c r="H91" s="33">
        <v>191919.69</v>
      </c>
      <c r="I91" s="33" t="s">
        <v>1504</v>
      </c>
      <c r="J91" s="40"/>
    </row>
    <row r="92" spans="1:10">
      <c r="A92" s="38" t="s">
        <v>1594</v>
      </c>
      <c r="B92" s="38" t="s">
        <v>384</v>
      </c>
      <c r="C92" s="38" t="s">
        <v>102</v>
      </c>
      <c r="D92" s="38">
        <v>18697.14</v>
      </c>
      <c r="E92" s="38">
        <v>1332.25</v>
      </c>
      <c r="F92" s="38">
        <v>17795.68</v>
      </c>
      <c r="G92" s="38">
        <v>10048.73</v>
      </c>
      <c r="H92" s="38">
        <v>-7815.02</v>
      </c>
      <c r="I92" s="38" t="s">
        <v>1511</v>
      </c>
      <c r="J92" s="40"/>
    </row>
    <row r="93" spans="1:10">
      <c r="A93" s="33" t="s">
        <v>1595</v>
      </c>
      <c r="B93" s="33" t="s">
        <v>386</v>
      </c>
      <c r="C93" s="33" t="s">
        <v>130</v>
      </c>
      <c r="D93" s="33">
        <v>0</v>
      </c>
      <c r="E93" s="33">
        <v>0</v>
      </c>
      <c r="F93" s="33">
        <v>17825.150000000001</v>
      </c>
      <c r="G93" s="33">
        <v>10426.24</v>
      </c>
      <c r="H93" s="33">
        <v>-28251.39</v>
      </c>
      <c r="I93" s="33" t="s">
        <v>1504</v>
      </c>
      <c r="J93" s="40"/>
    </row>
    <row r="94" spans="1:10">
      <c r="A94" s="38" t="s">
        <v>1596</v>
      </c>
      <c r="B94" s="38" t="s">
        <v>391</v>
      </c>
      <c r="C94" s="38" t="s">
        <v>65</v>
      </c>
      <c r="D94" s="38">
        <v>109695.18</v>
      </c>
      <c r="E94" s="38">
        <v>4705.6899999999996</v>
      </c>
      <c r="F94" s="38"/>
      <c r="G94" s="38">
        <v>3799.28</v>
      </c>
      <c r="H94" s="38">
        <v>78526.45</v>
      </c>
      <c r="I94" s="38" t="s">
        <v>1511</v>
      </c>
      <c r="J94" s="40"/>
    </row>
    <row r="95" spans="1:10">
      <c r="A95" s="33" t="s">
        <v>1597</v>
      </c>
      <c r="B95" s="33" t="s">
        <v>395</v>
      </c>
      <c r="C95" s="33" t="s">
        <v>57</v>
      </c>
      <c r="D95" s="33">
        <v>19605</v>
      </c>
      <c r="E95" s="33">
        <v>2289.75</v>
      </c>
      <c r="F95" s="33">
        <v>8974.52</v>
      </c>
      <c r="G95" s="33">
        <v>8220.42</v>
      </c>
      <c r="H95" s="33">
        <v>4699.8100000000004</v>
      </c>
      <c r="I95" s="33" t="s">
        <v>1502</v>
      </c>
      <c r="J95" s="40"/>
    </row>
    <row r="96" spans="1:10">
      <c r="A96" s="38" t="s">
        <v>1598</v>
      </c>
      <c r="B96" s="38" t="s">
        <v>398</v>
      </c>
      <c r="C96" s="38" t="s">
        <v>102</v>
      </c>
      <c r="D96" s="38">
        <v>19118.689999999999</v>
      </c>
      <c r="E96" s="38">
        <v>6148.8</v>
      </c>
      <c r="F96" s="38">
        <v>31631.01</v>
      </c>
      <c r="G96" s="38">
        <v>6166.03</v>
      </c>
      <c r="H96" s="38">
        <v>-12529.55</v>
      </c>
      <c r="I96" s="38" t="s">
        <v>1511</v>
      </c>
      <c r="J96" s="40"/>
    </row>
    <row r="97" spans="1:10">
      <c r="A97" s="33" t="s">
        <v>1599</v>
      </c>
      <c r="B97" s="33" t="s">
        <v>401</v>
      </c>
      <c r="C97" s="33" t="s">
        <v>74</v>
      </c>
      <c r="D97" s="33">
        <v>17535.63</v>
      </c>
      <c r="E97" s="33">
        <v>4276.74</v>
      </c>
      <c r="F97" s="33">
        <v>19802.52</v>
      </c>
      <c r="G97" s="33">
        <v>2707.98</v>
      </c>
      <c r="H97" s="33">
        <v>-698.13</v>
      </c>
      <c r="I97" s="33" t="s">
        <v>1511</v>
      </c>
      <c r="J97" s="40"/>
    </row>
    <row r="98" spans="1:10">
      <c r="A98" s="38" t="s">
        <v>1600</v>
      </c>
      <c r="B98" s="38" t="s">
        <v>404</v>
      </c>
      <c r="C98" s="38" t="s">
        <v>117</v>
      </c>
      <c r="D98" s="38">
        <v>284717.5</v>
      </c>
      <c r="E98" s="38">
        <v>3089.2</v>
      </c>
      <c r="F98" s="38">
        <v>22017.94</v>
      </c>
      <c r="G98" s="38">
        <v>8846.8700000000008</v>
      </c>
      <c r="H98" s="38">
        <v>256941.89</v>
      </c>
      <c r="I98" s="38" t="s">
        <v>1504</v>
      </c>
      <c r="J98" s="40"/>
    </row>
    <row r="99" spans="1:10">
      <c r="A99" s="33" t="s">
        <v>1601</v>
      </c>
      <c r="B99" s="33" t="s">
        <v>409</v>
      </c>
      <c r="C99" s="33" t="s">
        <v>175</v>
      </c>
      <c r="D99" s="33">
        <v>37746</v>
      </c>
      <c r="E99" s="33">
        <v>4026.23</v>
      </c>
      <c r="F99" s="33">
        <v>23616.66</v>
      </c>
      <c r="G99" s="33">
        <v>12729.93</v>
      </c>
      <c r="H99" s="33">
        <v>5425.64</v>
      </c>
      <c r="I99" s="33" t="s">
        <v>1511</v>
      </c>
      <c r="J99" s="40"/>
    </row>
    <row r="100" spans="1:10">
      <c r="A100" s="38" t="s">
        <v>1602</v>
      </c>
      <c r="B100" s="38" t="s">
        <v>412</v>
      </c>
      <c r="C100" s="38" t="s">
        <v>102</v>
      </c>
      <c r="D100" s="38">
        <v>137540.88</v>
      </c>
      <c r="E100" s="38">
        <v>3889.84</v>
      </c>
      <c r="F100" s="38">
        <v>17885.099999999999</v>
      </c>
      <c r="G100" s="38">
        <v>10752.98</v>
      </c>
      <c r="H100" s="38">
        <v>112792.64</v>
      </c>
      <c r="I100" s="38" t="s">
        <v>1504</v>
      </c>
      <c r="J100" s="40"/>
    </row>
    <row r="101" spans="1:10">
      <c r="A101" s="33" t="s">
        <v>1603</v>
      </c>
      <c r="B101" s="33" t="s">
        <v>415</v>
      </c>
      <c r="C101" s="33" t="s">
        <v>130</v>
      </c>
      <c r="D101" s="33">
        <v>47392.2</v>
      </c>
      <c r="E101" s="33">
        <v>1912.65</v>
      </c>
      <c r="F101" s="33">
        <v>35939.26</v>
      </c>
      <c r="G101" s="33">
        <v>3135.01</v>
      </c>
      <c r="H101" s="33">
        <v>10230.58</v>
      </c>
      <c r="I101" s="33" t="s">
        <v>1509</v>
      </c>
      <c r="J101" s="40"/>
    </row>
    <row r="102" spans="1:10">
      <c r="A102" s="38" t="s">
        <v>1604</v>
      </c>
      <c r="B102" s="38" t="s">
        <v>419</v>
      </c>
      <c r="C102" s="38" t="s">
        <v>102</v>
      </c>
      <c r="D102" s="38">
        <v>81736.5</v>
      </c>
      <c r="E102" s="38">
        <v>7234.59</v>
      </c>
      <c r="F102" s="38">
        <v>15093.04</v>
      </c>
      <c r="G102" s="38">
        <v>14436.15</v>
      </c>
      <c r="H102" s="38">
        <v>59441.9</v>
      </c>
      <c r="I102" s="38" t="s">
        <v>1504</v>
      </c>
      <c r="J102" s="40"/>
    </row>
    <row r="103" spans="1:10">
      <c r="A103" s="33" t="s">
        <v>1605</v>
      </c>
      <c r="B103" s="33" t="s">
        <v>422</v>
      </c>
      <c r="C103" s="33" t="s">
        <v>198</v>
      </c>
      <c r="D103" s="33">
        <v>163045.4</v>
      </c>
      <c r="E103" s="33">
        <v>1735.75</v>
      </c>
      <c r="F103" s="33">
        <v>8920.86</v>
      </c>
      <c r="G103" s="33">
        <v>3923.4</v>
      </c>
      <c r="H103" s="33">
        <v>151936.89000000001</v>
      </c>
      <c r="I103" s="33" t="s">
        <v>1502</v>
      </c>
      <c r="J103" s="40"/>
    </row>
    <row r="104" spans="1:10">
      <c r="A104" s="38" t="s">
        <v>1606</v>
      </c>
      <c r="B104" s="38" t="s">
        <v>425</v>
      </c>
      <c r="C104" s="38" t="s">
        <v>102</v>
      </c>
      <c r="D104" s="38">
        <v>52608.69</v>
      </c>
      <c r="E104" s="38">
        <v>7062.45</v>
      </c>
      <c r="F104" s="38">
        <v>23224.07</v>
      </c>
      <c r="G104" s="38">
        <v>10154.59</v>
      </c>
      <c r="H104" s="38">
        <v>26292.48</v>
      </c>
      <c r="I104" s="38" t="s">
        <v>1511</v>
      </c>
      <c r="J104" s="40"/>
    </row>
    <row r="105" spans="1:10">
      <c r="A105" s="33" t="s">
        <v>1607</v>
      </c>
      <c r="B105" s="33" t="s">
        <v>428</v>
      </c>
      <c r="C105" s="33" t="s">
        <v>175</v>
      </c>
      <c r="D105" s="33">
        <v>18931.12</v>
      </c>
      <c r="E105" s="33">
        <v>3624.02</v>
      </c>
      <c r="F105" s="33">
        <v>28884.12</v>
      </c>
      <c r="G105" s="33">
        <v>14112.38</v>
      </c>
      <c r="H105" s="33">
        <v>-20441.36</v>
      </c>
      <c r="I105" s="33" t="s">
        <v>1509</v>
      </c>
      <c r="J105" s="40"/>
    </row>
    <row r="106" spans="1:10">
      <c r="A106" s="38" t="s">
        <v>1608</v>
      </c>
      <c r="B106" s="38" t="s">
        <v>431</v>
      </c>
      <c r="C106" s="38" t="s">
        <v>55</v>
      </c>
      <c r="D106" s="38">
        <v>61419.4</v>
      </c>
      <c r="E106" s="38">
        <v>3100.25</v>
      </c>
      <c r="F106" s="38">
        <v>20535.099999999999</v>
      </c>
      <c r="G106" s="38">
        <v>10380.9</v>
      </c>
      <c r="H106" s="38">
        <v>33603.65</v>
      </c>
      <c r="I106" s="38" t="s">
        <v>1511</v>
      </c>
      <c r="J106" s="40"/>
    </row>
    <row r="107" spans="1:10">
      <c r="A107" s="33" t="s">
        <v>1609</v>
      </c>
      <c r="B107" s="33" t="s">
        <v>434</v>
      </c>
      <c r="C107" s="33" t="s">
        <v>102</v>
      </c>
      <c r="D107" s="33">
        <v>66948.240000000005</v>
      </c>
      <c r="E107" s="33">
        <v>1917.95</v>
      </c>
      <c r="F107" s="33">
        <v>5771.28</v>
      </c>
      <c r="G107" s="33">
        <v>12425.86</v>
      </c>
      <c r="H107" s="33">
        <v>50669.05</v>
      </c>
      <c r="I107" s="33" t="s">
        <v>1511</v>
      </c>
      <c r="J107" s="40"/>
    </row>
    <row r="108" spans="1:10">
      <c r="A108" s="38" t="s">
        <v>1610</v>
      </c>
      <c r="B108" s="38" t="s">
        <v>436</v>
      </c>
      <c r="C108" s="38" t="s">
        <v>184</v>
      </c>
      <c r="D108" s="38">
        <v>69119.759999999995</v>
      </c>
      <c r="E108" s="38">
        <v>3587.69</v>
      </c>
      <c r="F108" s="38">
        <v>16997.740000000002</v>
      </c>
      <c r="G108" s="38">
        <v>10398.67</v>
      </c>
      <c r="H108" s="38">
        <v>45311.040000000001</v>
      </c>
      <c r="I108" s="38" t="s">
        <v>1511</v>
      </c>
      <c r="J108" s="40"/>
    </row>
    <row r="109" spans="1:10">
      <c r="A109" s="33" t="s">
        <v>1611</v>
      </c>
      <c r="B109" s="33" t="s">
        <v>440</v>
      </c>
      <c r="C109" s="33" t="s">
        <v>24</v>
      </c>
      <c r="D109" s="33">
        <v>35495.15</v>
      </c>
      <c r="E109" s="33">
        <v>4146.1099999999997</v>
      </c>
      <c r="F109" s="33">
        <v>28304.94</v>
      </c>
      <c r="G109" s="33">
        <v>8892.16</v>
      </c>
      <c r="H109" s="33">
        <v>2444.16</v>
      </c>
      <c r="I109" s="33" t="s">
        <v>1509</v>
      </c>
      <c r="J109" s="40"/>
    </row>
    <row r="110" spans="1:10">
      <c r="A110" s="38" t="s">
        <v>1612</v>
      </c>
      <c r="B110" s="38" t="s">
        <v>443</v>
      </c>
      <c r="C110" s="38" t="s">
        <v>175</v>
      </c>
      <c r="D110" s="38">
        <v>57664.62</v>
      </c>
      <c r="E110" s="38">
        <v>3935.05</v>
      </c>
      <c r="F110" s="38">
        <v>24853.81</v>
      </c>
      <c r="G110" s="38">
        <v>13677.66</v>
      </c>
      <c r="H110" s="38">
        <v>23068.2</v>
      </c>
      <c r="I110" s="38" t="s">
        <v>1511</v>
      </c>
      <c r="J110" s="40"/>
    </row>
    <row r="111" spans="1:10">
      <c r="A111" s="33" t="s">
        <v>1613</v>
      </c>
      <c r="B111" s="33" t="s">
        <v>446</v>
      </c>
      <c r="C111" s="33" t="s">
        <v>67</v>
      </c>
      <c r="D111" s="33">
        <v>204929.76</v>
      </c>
      <c r="E111" s="33">
        <v>1788.03</v>
      </c>
      <c r="F111" s="33">
        <v>14100.26</v>
      </c>
      <c r="G111" s="33">
        <v>8295.16</v>
      </c>
      <c r="H111" s="33">
        <v>184322.37</v>
      </c>
      <c r="I111" s="33" t="s">
        <v>1511</v>
      </c>
      <c r="J111" s="40"/>
    </row>
    <row r="112" spans="1:10">
      <c r="A112" s="38" t="s">
        <v>1614</v>
      </c>
      <c r="B112" s="38" t="s">
        <v>449</v>
      </c>
      <c r="C112" s="38" t="s">
        <v>198</v>
      </c>
      <c r="D112" s="38">
        <v>139897.85</v>
      </c>
      <c r="E112" s="38">
        <v>6273.12</v>
      </c>
      <c r="F112" s="38">
        <v>6656.16</v>
      </c>
      <c r="G112" s="38">
        <v>6590.57</v>
      </c>
      <c r="H112" s="38">
        <v>132924.24</v>
      </c>
      <c r="I112" s="38" t="s">
        <v>1509</v>
      </c>
      <c r="J112" s="40"/>
    </row>
    <row r="113" spans="1:10">
      <c r="A113" s="33" t="s">
        <v>1615</v>
      </c>
      <c r="B113" s="33" t="s">
        <v>451</v>
      </c>
      <c r="C113" s="33" t="s">
        <v>130</v>
      </c>
      <c r="D113" s="33">
        <v>85122.9</v>
      </c>
      <c r="E113" s="33">
        <v>7671.6</v>
      </c>
      <c r="F113" s="33">
        <v>26652.06</v>
      </c>
      <c r="G113" s="33">
        <v>4090.27</v>
      </c>
      <c r="H113" s="33">
        <v>62052.17</v>
      </c>
      <c r="I113" s="33" t="s">
        <v>1511</v>
      </c>
      <c r="J113" s="40"/>
    </row>
    <row r="114" spans="1:10">
      <c r="A114" s="38" t="s">
        <v>1616</v>
      </c>
      <c r="B114" s="38" t="s">
        <v>455</v>
      </c>
      <c r="C114" s="38" t="s">
        <v>65</v>
      </c>
      <c r="D114" s="38">
        <v>30990.54</v>
      </c>
      <c r="E114" s="38">
        <v>1867.1</v>
      </c>
      <c r="F114" s="38">
        <v>11137.58</v>
      </c>
      <c r="G114" s="38">
        <v>11205.45</v>
      </c>
      <c r="H114" s="38">
        <v>10514.61</v>
      </c>
      <c r="I114" s="38" t="s">
        <v>1502</v>
      </c>
      <c r="J114" s="40"/>
    </row>
    <row r="115" spans="1:10">
      <c r="A115" s="33" t="s">
        <v>1617</v>
      </c>
      <c r="B115" s="33" t="s">
        <v>457</v>
      </c>
      <c r="C115" s="33" t="s">
        <v>80</v>
      </c>
      <c r="D115" s="33">
        <v>104019.5</v>
      </c>
      <c r="E115" s="33">
        <v>1709.41</v>
      </c>
      <c r="F115" s="33">
        <v>9092.11</v>
      </c>
      <c r="G115" s="33">
        <v>14919.05</v>
      </c>
      <c r="H115" s="33">
        <v>81717.75</v>
      </c>
      <c r="I115" s="33" t="s">
        <v>1502</v>
      </c>
      <c r="J115" s="40"/>
    </row>
    <row r="116" spans="1:10">
      <c r="A116" s="38" t="s">
        <v>1618</v>
      </c>
      <c r="B116" s="38" t="s">
        <v>460</v>
      </c>
      <c r="C116" s="38" t="s">
        <v>41</v>
      </c>
      <c r="D116" s="38">
        <v>9622.31</v>
      </c>
      <c r="E116" s="38">
        <v>3806.66</v>
      </c>
      <c r="F116" s="38">
        <v>17938.53</v>
      </c>
      <c r="G116" s="38">
        <v>4667.0200000000004</v>
      </c>
      <c r="H116" s="38">
        <v>-9176.58</v>
      </c>
      <c r="I116" s="38" t="s">
        <v>1504</v>
      </c>
      <c r="J116" s="40"/>
    </row>
    <row r="117" spans="1:10">
      <c r="A117" s="33" t="s">
        <v>1619</v>
      </c>
      <c r="B117" s="33" t="s">
        <v>463</v>
      </c>
      <c r="C117" s="33" t="s">
        <v>55</v>
      </c>
      <c r="D117" s="33">
        <v>81560.539999999994</v>
      </c>
      <c r="E117" s="33">
        <v>5491.65</v>
      </c>
      <c r="F117" s="33">
        <v>39230.79</v>
      </c>
      <c r="G117" s="33">
        <v>3923.27</v>
      </c>
      <c r="H117" s="33">
        <v>43898.13</v>
      </c>
      <c r="I117" s="33" t="s">
        <v>1509</v>
      </c>
      <c r="J117" s="40"/>
    </row>
    <row r="118" spans="1:10">
      <c r="A118" s="38" t="s">
        <v>1620</v>
      </c>
      <c r="B118" s="38" t="s">
        <v>467</v>
      </c>
      <c r="C118" s="38" t="s">
        <v>49</v>
      </c>
      <c r="D118" s="38">
        <v>13910.32</v>
      </c>
      <c r="E118" s="38">
        <v>4549</v>
      </c>
      <c r="F118" s="38">
        <v>10690.92</v>
      </c>
      <c r="G118" s="38">
        <v>5920.28</v>
      </c>
      <c r="H118" s="38">
        <v>1848.12</v>
      </c>
      <c r="I118" s="38" t="s">
        <v>1504</v>
      </c>
      <c r="J118" s="40"/>
    </row>
    <row r="119" spans="1:10">
      <c r="A119" s="33" t="s">
        <v>1621</v>
      </c>
      <c r="B119" s="33" t="s">
        <v>471</v>
      </c>
      <c r="C119" s="33" t="s">
        <v>24</v>
      </c>
      <c r="D119" s="33">
        <v>150700.24</v>
      </c>
      <c r="E119" s="33">
        <v>3534.22</v>
      </c>
      <c r="F119" s="33">
        <v>22479.59</v>
      </c>
      <c r="G119" s="33">
        <v>3889.99</v>
      </c>
      <c r="H119" s="33">
        <v>127864.88</v>
      </c>
      <c r="I119" s="33" t="s">
        <v>1509</v>
      </c>
      <c r="J119" s="40"/>
    </row>
    <row r="120" spans="1:10">
      <c r="A120" s="38" t="s">
        <v>1622</v>
      </c>
      <c r="B120" s="38" t="s">
        <v>474</v>
      </c>
      <c r="C120" s="38" t="s">
        <v>157</v>
      </c>
      <c r="D120" s="38">
        <v>112213.08</v>
      </c>
      <c r="E120" s="38">
        <v>7458.58</v>
      </c>
      <c r="F120" s="38">
        <v>10461.86</v>
      </c>
      <c r="G120" s="38">
        <v>14611.95</v>
      </c>
      <c r="H120" s="38">
        <v>94597.85</v>
      </c>
      <c r="I120" s="38" t="s">
        <v>1511</v>
      </c>
      <c r="J120" s="40"/>
    </row>
    <row r="121" spans="1:10">
      <c r="A121" s="33" t="s">
        <v>1623</v>
      </c>
      <c r="B121" s="33" t="s">
        <v>478</v>
      </c>
      <c r="C121" s="33" t="s">
        <v>96</v>
      </c>
      <c r="D121" s="33">
        <v>57716.2</v>
      </c>
      <c r="E121" s="33">
        <v>5354.33</v>
      </c>
      <c r="F121" s="33">
        <v>15344.49</v>
      </c>
      <c r="G121" s="33">
        <v>13647.71</v>
      </c>
      <c r="H121" s="33">
        <v>34078.33</v>
      </c>
      <c r="I121" s="33" t="s">
        <v>1502</v>
      </c>
      <c r="J121" s="40"/>
    </row>
    <row r="122" spans="1:10">
      <c r="A122" s="38" t="s">
        <v>1624</v>
      </c>
      <c r="B122" s="38" t="s">
        <v>481</v>
      </c>
      <c r="C122" s="38" t="s">
        <v>117</v>
      </c>
      <c r="D122" s="38">
        <v>341302.38</v>
      </c>
      <c r="E122" s="38">
        <v>6496.82</v>
      </c>
      <c r="F122" s="38">
        <v>30499.03</v>
      </c>
      <c r="G122" s="38">
        <v>13989.8</v>
      </c>
      <c r="H122" s="38">
        <v>303310.37</v>
      </c>
      <c r="I122" s="38" t="s">
        <v>1511</v>
      </c>
      <c r="J122" s="40"/>
    </row>
    <row r="123" spans="1:10">
      <c r="A123" s="33" t="s">
        <v>1625</v>
      </c>
      <c r="B123" s="33" t="s">
        <v>483</v>
      </c>
      <c r="C123" s="33" t="s">
        <v>55</v>
      </c>
      <c r="D123" s="33">
        <v>133756.56</v>
      </c>
      <c r="E123" s="33">
        <v>5668.6</v>
      </c>
      <c r="F123" s="33">
        <v>30607.42</v>
      </c>
      <c r="G123" s="33">
        <v>13702.27</v>
      </c>
      <c r="H123" s="33">
        <v>95115.47</v>
      </c>
      <c r="I123" s="33" t="s">
        <v>1502</v>
      </c>
      <c r="J123" s="40"/>
    </row>
    <row r="124" spans="1:10">
      <c r="A124" s="38" t="s">
        <v>1626</v>
      </c>
      <c r="B124" s="38" t="s">
        <v>486</v>
      </c>
      <c r="C124" s="38" t="s">
        <v>49</v>
      </c>
      <c r="D124" s="38">
        <v>51730.12</v>
      </c>
      <c r="E124" s="38">
        <v>5585.06</v>
      </c>
      <c r="F124" s="38">
        <v>9090.66</v>
      </c>
      <c r="G124" s="38">
        <v>2322.34</v>
      </c>
      <c r="H124" s="38">
        <v>45902.18</v>
      </c>
      <c r="I124" s="38" t="s">
        <v>1502</v>
      </c>
      <c r="J124" s="40"/>
    </row>
    <row r="125" spans="1:10">
      <c r="A125" s="33" t="s">
        <v>1627</v>
      </c>
      <c r="B125" s="33" t="s">
        <v>489</v>
      </c>
      <c r="C125" s="33" t="s">
        <v>33</v>
      </c>
      <c r="D125" s="33">
        <v>141069.6</v>
      </c>
      <c r="E125" s="33">
        <v>3844.8</v>
      </c>
      <c r="F125" s="33">
        <v>8236.84</v>
      </c>
      <c r="G125" s="33">
        <v>2715.44</v>
      </c>
      <c r="H125" s="33">
        <v>133962.12</v>
      </c>
      <c r="I125" s="33" t="s">
        <v>1502</v>
      </c>
      <c r="J125" s="40"/>
    </row>
    <row r="126" spans="1:10">
      <c r="A126" s="38" t="s">
        <v>1628</v>
      </c>
      <c r="B126" s="38" t="s">
        <v>492</v>
      </c>
      <c r="C126" s="38" t="s">
        <v>39</v>
      </c>
      <c r="D126" s="38">
        <v>60657.120000000003</v>
      </c>
      <c r="E126" s="38">
        <v>4875.74</v>
      </c>
      <c r="F126" s="38">
        <v>12775.03</v>
      </c>
      <c r="G126" s="38">
        <v>14163.65</v>
      </c>
      <c r="H126" s="38">
        <v>38594.18</v>
      </c>
      <c r="I126" s="38" t="s">
        <v>1511</v>
      </c>
      <c r="J126" s="40"/>
    </row>
    <row r="127" spans="1:10">
      <c r="A127" s="33" t="s">
        <v>1629</v>
      </c>
      <c r="B127" s="33" t="s">
        <v>496</v>
      </c>
      <c r="C127" s="33" t="s">
        <v>55</v>
      </c>
      <c r="D127" s="33">
        <v>164755.51</v>
      </c>
      <c r="E127" s="33">
        <v>1967.87</v>
      </c>
      <c r="F127" s="33">
        <v>7925.63</v>
      </c>
      <c r="G127" s="33">
        <v>13042.87</v>
      </c>
      <c r="H127" s="33">
        <v>145754.88</v>
      </c>
      <c r="I127" s="33" t="s">
        <v>1504</v>
      </c>
      <c r="J127" s="40"/>
    </row>
    <row r="128" spans="1:10">
      <c r="A128" s="38" t="s">
        <v>1630</v>
      </c>
      <c r="B128" s="38" t="s">
        <v>497</v>
      </c>
      <c r="C128" s="38" t="s">
        <v>57</v>
      </c>
      <c r="D128" s="38">
        <v>63275.11</v>
      </c>
      <c r="E128" s="38">
        <v>7818.8</v>
      </c>
      <c r="F128" s="38">
        <v>18804.830000000002</v>
      </c>
      <c r="G128" s="38">
        <v>8376.0499999999993</v>
      </c>
      <c r="H128" s="38">
        <v>43913.03</v>
      </c>
      <c r="I128" s="38" t="s">
        <v>1504</v>
      </c>
      <c r="J128" s="40"/>
    </row>
    <row r="129" spans="1:10">
      <c r="A129" s="33" t="s">
        <v>1631</v>
      </c>
      <c r="B129" s="33" t="s">
        <v>500</v>
      </c>
      <c r="C129" s="33" t="s">
        <v>102</v>
      </c>
      <c r="D129" s="33">
        <v>192489.3</v>
      </c>
      <c r="E129" s="33">
        <v>7313.35</v>
      </c>
      <c r="F129" s="33">
        <v>17637.27</v>
      </c>
      <c r="G129" s="33">
        <v>3923.3</v>
      </c>
      <c r="H129" s="33">
        <v>178242.08</v>
      </c>
      <c r="I129" s="33" t="s">
        <v>1509</v>
      </c>
      <c r="J129" s="40"/>
    </row>
    <row r="130" spans="1:10">
      <c r="A130" s="38" t="s">
        <v>1632</v>
      </c>
      <c r="B130" s="38" t="s">
        <v>502</v>
      </c>
      <c r="C130" s="38" t="s">
        <v>22</v>
      </c>
      <c r="D130" s="38">
        <v>22500.400000000001</v>
      </c>
      <c r="E130" s="38">
        <v>3272.22</v>
      </c>
      <c r="F130" s="38">
        <v>18049.09</v>
      </c>
      <c r="G130" s="38">
        <v>5700.45</v>
      </c>
      <c r="H130" s="38">
        <v>2023.08</v>
      </c>
      <c r="I130" s="38" t="s">
        <v>1511</v>
      </c>
      <c r="J130" s="40"/>
    </row>
    <row r="131" spans="1:10">
      <c r="A131" s="33" t="s">
        <v>1633</v>
      </c>
      <c r="B131" s="33" t="s">
        <v>505</v>
      </c>
      <c r="C131" s="33" t="s">
        <v>198</v>
      </c>
      <c r="D131" s="33">
        <v>62992.35</v>
      </c>
      <c r="E131" s="33">
        <v>2810.64</v>
      </c>
      <c r="F131" s="33">
        <v>20595.16</v>
      </c>
      <c r="G131" s="33">
        <v>9293.43</v>
      </c>
      <c r="H131" s="33">
        <v>35914.400000000001</v>
      </c>
      <c r="I131" s="33" t="s">
        <v>1502</v>
      </c>
      <c r="J131" s="40"/>
    </row>
    <row r="132" spans="1:10">
      <c r="A132" s="38" t="s">
        <v>1634</v>
      </c>
      <c r="B132" s="38" t="s">
        <v>508</v>
      </c>
      <c r="C132" s="38" t="s">
        <v>74</v>
      </c>
      <c r="D132" s="38">
        <v>27888.2</v>
      </c>
      <c r="E132" s="38">
        <v>5958.9</v>
      </c>
      <c r="F132" s="38">
        <v>20547.71</v>
      </c>
      <c r="G132" s="38">
        <v>14903.76</v>
      </c>
      <c r="H132" s="38">
        <v>-1604.37</v>
      </c>
      <c r="I132" s="38" t="s">
        <v>1509</v>
      </c>
      <c r="J132" s="40"/>
    </row>
    <row r="133" spans="1:10">
      <c r="A133" s="33" t="s">
        <v>1635</v>
      </c>
      <c r="B133" s="33" t="s">
        <v>511</v>
      </c>
      <c r="C133" s="33" t="s">
        <v>80</v>
      </c>
      <c r="D133" s="33">
        <v>61438.33</v>
      </c>
      <c r="E133" s="33">
        <v>2664.76</v>
      </c>
      <c r="F133" s="33">
        <v>33198.550000000003</v>
      </c>
      <c r="G133" s="33">
        <v>14614.69</v>
      </c>
      <c r="H133" s="33">
        <v>16289.85</v>
      </c>
      <c r="I133" s="33" t="s">
        <v>1509</v>
      </c>
      <c r="J133" s="40"/>
    </row>
    <row r="134" spans="1:10">
      <c r="A134" s="38" t="s">
        <v>1636</v>
      </c>
      <c r="B134" s="38" t="s">
        <v>514</v>
      </c>
      <c r="C134" s="38" t="s">
        <v>102</v>
      </c>
      <c r="D134" s="38">
        <v>173725.16</v>
      </c>
      <c r="E134" s="38">
        <v>5964.54</v>
      </c>
      <c r="F134" s="38">
        <v>19496.78</v>
      </c>
      <c r="G134" s="38">
        <v>12861.65</v>
      </c>
      <c r="H134" s="38">
        <v>147331.26999999999</v>
      </c>
      <c r="I134" s="38" t="s">
        <v>1504</v>
      </c>
      <c r="J134" s="40"/>
    </row>
    <row r="135" spans="1:10">
      <c r="A135" s="33" t="s">
        <v>1637</v>
      </c>
      <c r="B135" s="33" t="s">
        <v>517</v>
      </c>
      <c r="C135" s="33" t="s">
        <v>41</v>
      </c>
      <c r="D135" s="33">
        <v>222994.72</v>
      </c>
      <c r="E135" s="33">
        <v>1577.29</v>
      </c>
      <c r="F135" s="33">
        <v>15613.09</v>
      </c>
      <c r="G135" s="33">
        <v>14848.97</v>
      </c>
      <c r="H135" s="33">
        <v>194109.95</v>
      </c>
      <c r="I135" s="33" t="s">
        <v>1511</v>
      </c>
      <c r="J135" s="40"/>
    </row>
    <row r="136" spans="1:10">
      <c r="A136" s="38" t="s">
        <v>1638</v>
      </c>
      <c r="B136" s="38" t="s">
        <v>520</v>
      </c>
      <c r="C136" s="38" t="s">
        <v>57</v>
      </c>
      <c r="D136" s="38">
        <v>65053.440000000002</v>
      </c>
      <c r="E136" s="38">
        <v>995.87</v>
      </c>
      <c r="F136" s="38">
        <v>38603.339999999997</v>
      </c>
      <c r="G136" s="38">
        <v>11829.48</v>
      </c>
      <c r="H136" s="38">
        <v>15616.49</v>
      </c>
      <c r="I136" s="38" t="s">
        <v>1504</v>
      </c>
      <c r="J136" s="40"/>
    </row>
    <row r="137" spans="1:10">
      <c r="A137" s="33" t="s">
        <v>1639</v>
      </c>
      <c r="B137" s="33" t="s">
        <v>523</v>
      </c>
      <c r="C137" s="33" t="s">
        <v>67</v>
      </c>
      <c r="D137" s="33">
        <v>74697.36</v>
      </c>
      <c r="E137" s="33">
        <v>549.64</v>
      </c>
      <c r="F137" s="33">
        <v>27358.21</v>
      </c>
      <c r="G137" s="33">
        <v>5553.28</v>
      </c>
      <c r="H137" s="33">
        <v>42335.51</v>
      </c>
      <c r="I137" s="33" t="s">
        <v>1502</v>
      </c>
      <c r="J137" s="40"/>
    </row>
    <row r="138" spans="1:10">
      <c r="A138" s="38" t="s">
        <v>1640</v>
      </c>
      <c r="B138" s="38" t="s">
        <v>526</v>
      </c>
      <c r="C138" s="38" t="s">
        <v>130</v>
      </c>
      <c r="D138" s="38">
        <v>15101.52</v>
      </c>
      <c r="E138" s="38">
        <v>4668.6000000000004</v>
      </c>
      <c r="F138" s="38">
        <v>29858.65</v>
      </c>
      <c r="G138" s="38">
        <v>11818.17</v>
      </c>
      <c r="H138" s="38">
        <v>-21906.7</v>
      </c>
      <c r="I138" s="38" t="s">
        <v>1502</v>
      </c>
      <c r="J138" s="40"/>
    </row>
    <row r="139" spans="1:10">
      <c r="A139" s="33" t="s">
        <v>1641</v>
      </c>
      <c r="B139" s="33" t="s">
        <v>530</v>
      </c>
      <c r="C139" s="33" t="s">
        <v>41</v>
      </c>
      <c r="D139" s="33">
        <v>0</v>
      </c>
      <c r="E139" s="33">
        <v>0</v>
      </c>
      <c r="F139" s="33">
        <v>11974.01</v>
      </c>
      <c r="G139" s="33">
        <v>12819.69</v>
      </c>
      <c r="H139" s="33">
        <v>-24793.7</v>
      </c>
      <c r="I139" s="33" t="s">
        <v>1511</v>
      </c>
      <c r="J139" s="40"/>
    </row>
    <row r="140" spans="1:10">
      <c r="A140" s="38" t="s">
        <v>1642</v>
      </c>
      <c r="B140" s="38" t="s">
        <v>533</v>
      </c>
      <c r="C140" s="38" t="s">
        <v>67</v>
      </c>
      <c r="D140" s="38">
        <v>166942.62</v>
      </c>
      <c r="E140" s="38">
        <v>4654</v>
      </c>
      <c r="F140" s="38">
        <v>6478.15</v>
      </c>
      <c r="G140" s="38">
        <v>12741.23</v>
      </c>
      <c r="H140" s="38">
        <v>152377.24</v>
      </c>
      <c r="I140" s="38" t="s">
        <v>1511</v>
      </c>
      <c r="J140" s="40"/>
    </row>
    <row r="141" spans="1:10">
      <c r="A141" s="33" t="s">
        <v>1643</v>
      </c>
      <c r="B141" s="33" t="s">
        <v>535</v>
      </c>
      <c r="C141" s="33" t="s">
        <v>65</v>
      </c>
      <c r="D141" s="33">
        <v>137009.65</v>
      </c>
      <c r="E141" s="33">
        <v>4205.75</v>
      </c>
      <c r="F141" s="33">
        <v>30894.959999999999</v>
      </c>
      <c r="G141" s="33">
        <v>4918.76</v>
      </c>
      <c r="H141" s="33">
        <v>105401.68</v>
      </c>
      <c r="I141" s="33" t="s">
        <v>1504</v>
      </c>
      <c r="J141" s="40"/>
    </row>
    <row r="142" spans="1:10">
      <c r="A142" s="38" t="s">
        <v>1644</v>
      </c>
      <c r="B142" s="38" t="s">
        <v>538</v>
      </c>
      <c r="C142" s="38" t="s">
        <v>67</v>
      </c>
      <c r="D142" s="38">
        <v>19841.64</v>
      </c>
      <c r="E142" s="38">
        <v>1655.18</v>
      </c>
      <c r="F142" s="38">
        <v>15505.93</v>
      </c>
      <c r="G142" s="38">
        <v>10327.219999999999</v>
      </c>
      <c r="H142" s="38">
        <v>-4336.33</v>
      </c>
      <c r="I142" s="38" t="s">
        <v>1509</v>
      </c>
      <c r="J142" s="40"/>
    </row>
    <row r="143" spans="1:10">
      <c r="A143" s="33" t="s">
        <v>1645</v>
      </c>
      <c r="B143" s="33" t="s">
        <v>540</v>
      </c>
      <c r="C143" s="33" t="s">
        <v>22</v>
      </c>
      <c r="D143" s="33">
        <v>26465.4</v>
      </c>
      <c r="E143" s="33">
        <v>1431.33</v>
      </c>
      <c r="F143" s="33">
        <v>28306.97</v>
      </c>
      <c r="G143" s="33">
        <v>5739.96</v>
      </c>
      <c r="H143" s="33">
        <v>-6150.2</v>
      </c>
      <c r="I143" s="33" t="s">
        <v>1502</v>
      </c>
      <c r="J143" s="40"/>
    </row>
    <row r="144" spans="1:10">
      <c r="A144" s="38" t="s">
        <v>1646</v>
      </c>
      <c r="B144" s="38" t="s">
        <v>543</v>
      </c>
      <c r="C144" s="38" t="s">
        <v>157</v>
      </c>
      <c r="D144" s="38">
        <v>52677.3</v>
      </c>
      <c r="E144" s="38">
        <v>4189.1499999999996</v>
      </c>
      <c r="F144" s="38">
        <v>29074.51</v>
      </c>
      <c r="G144" s="38">
        <v>5181.75</v>
      </c>
      <c r="H144" s="38">
        <v>22610.19</v>
      </c>
      <c r="I144" s="38" t="s">
        <v>1504</v>
      </c>
      <c r="J144" s="40"/>
    </row>
    <row r="145" spans="1:10">
      <c r="A145" s="33" t="s">
        <v>1647</v>
      </c>
      <c r="B145" s="33" t="s">
        <v>547</v>
      </c>
      <c r="C145" s="33" t="s">
        <v>117</v>
      </c>
      <c r="D145" s="33">
        <v>184357.02</v>
      </c>
      <c r="E145" s="33">
        <v>6235.39</v>
      </c>
      <c r="F145" s="33">
        <v>22256.76</v>
      </c>
      <c r="G145" s="33">
        <v>14618.13</v>
      </c>
      <c r="H145" s="33">
        <v>153717.51999999999</v>
      </c>
      <c r="I145" s="33" t="s">
        <v>1511</v>
      </c>
      <c r="J145" s="40"/>
    </row>
    <row r="146" spans="1:10">
      <c r="A146" s="38" t="s">
        <v>1648</v>
      </c>
      <c r="B146" s="38" t="s">
        <v>550</v>
      </c>
      <c r="C146" s="38" t="s">
        <v>49</v>
      </c>
      <c r="D146" s="38">
        <v>58183.86</v>
      </c>
      <c r="E146" s="38">
        <v>4857.99</v>
      </c>
      <c r="F146" s="38">
        <v>24795.11</v>
      </c>
      <c r="G146" s="38">
        <v>13288.5</v>
      </c>
      <c r="H146" s="38">
        <v>24958.240000000002</v>
      </c>
      <c r="I146" s="38" t="s">
        <v>1509</v>
      </c>
      <c r="J146" s="40"/>
    </row>
    <row r="147" spans="1:10">
      <c r="A147" s="33" t="s">
        <v>1649</v>
      </c>
      <c r="B147" s="33" t="s">
        <v>553</v>
      </c>
      <c r="C147" s="33" t="s">
        <v>41</v>
      </c>
      <c r="D147" s="33">
        <v>66115.31</v>
      </c>
      <c r="E147" s="33">
        <v>7806.94</v>
      </c>
      <c r="F147" s="33">
        <v>33639.83</v>
      </c>
      <c r="G147" s="33">
        <v>6851.63</v>
      </c>
      <c r="H147" s="33">
        <v>33430.79</v>
      </c>
      <c r="I147" s="33" t="s">
        <v>1504</v>
      </c>
      <c r="J147" s="40"/>
    </row>
    <row r="148" spans="1:10">
      <c r="A148" s="38" t="s">
        <v>1650</v>
      </c>
      <c r="B148" s="38" t="s">
        <v>555</v>
      </c>
      <c r="C148" s="38" t="s">
        <v>117</v>
      </c>
      <c r="D148" s="38">
        <v>205097.62</v>
      </c>
      <c r="E148" s="38">
        <v>6839.6</v>
      </c>
      <c r="F148" s="38">
        <v>10699.65</v>
      </c>
      <c r="G148" s="38">
        <v>2760.64</v>
      </c>
      <c r="H148" s="38">
        <v>198476.93</v>
      </c>
      <c r="I148" s="38" t="s">
        <v>1511</v>
      </c>
      <c r="J148" s="40"/>
    </row>
    <row r="149" spans="1:10">
      <c r="A149" s="33" t="s">
        <v>1651</v>
      </c>
      <c r="B149" s="33" t="s">
        <v>558</v>
      </c>
      <c r="C149" s="33" t="s">
        <v>33</v>
      </c>
      <c r="D149" s="33">
        <v>0</v>
      </c>
      <c r="E149" s="33">
        <v>0</v>
      </c>
      <c r="F149" s="33">
        <v>21136.54</v>
      </c>
      <c r="G149" s="33">
        <v>11012.68</v>
      </c>
      <c r="H149" s="33">
        <v>-32149.22</v>
      </c>
      <c r="I149" s="33" t="s">
        <v>1511</v>
      </c>
      <c r="J149" s="40"/>
    </row>
    <row r="150" spans="1:10">
      <c r="A150" s="38" t="s">
        <v>1652</v>
      </c>
      <c r="B150" s="38" t="s">
        <v>561</v>
      </c>
      <c r="C150" s="38" t="s">
        <v>49</v>
      </c>
      <c r="D150" s="38">
        <v>25791.24</v>
      </c>
      <c r="E150" s="38">
        <v>1724.82</v>
      </c>
      <c r="F150" s="38">
        <v>14543.46</v>
      </c>
      <c r="G150" s="38">
        <v>7453.68</v>
      </c>
      <c r="H150" s="38">
        <v>5518.92</v>
      </c>
      <c r="I150" s="38" t="s">
        <v>1511</v>
      </c>
      <c r="J150" s="40"/>
    </row>
    <row r="151" spans="1:10">
      <c r="A151" s="33" t="s">
        <v>1653</v>
      </c>
      <c r="B151" s="33" t="s">
        <v>564</v>
      </c>
      <c r="C151" s="33" t="s">
        <v>49</v>
      </c>
      <c r="D151" s="33">
        <v>0</v>
      </c>
      <c r="E151" s="33">
        <v>865.36</v>
      </c>
      <c r="F151" s="33">
        <v>15208.24</v>
      </c>
      <c r="G151" s="33">
        <v>10306.299999999999</v>
      </c>
      <c r="H151" s="33">
        <v>53584.22</v>
      </c>
      <c r="I151" s="33" t="s">
        <v>1504</v>
      </c>
      <c r="J151" s="40"/>
    </row>
    <row r="152" spans="1:10">
      <c r="A152" s="38" t="s">
        <v>1654</v>
      </c>
      <c r="B152" s="38" t="s">
        <v>567</v>
      </c>
      <c r="C152" s="38" t="s">
        <v>41</v>
      </c>
      <c r="D152" s="38">
        <v>161764.98000000001</v>
      </c>
      <c r="E152" s="38">
        <v>4354</v>
      </c>
      <c r="F152" s="38">
        <v>31825.49</v>
      </c>
      <c r="G152" s="38">
        <v>4382.22</v>
      </c>
      <c r="H152" s="38">
        <v>129911.27</v>
      </c>
      <c r="I152" s="38" t="s">
        <v>1504</v>
      </c>
      <c r="J152" s="40"/>
    </row>
    <row r="153" spans="1:10">
      <c r="A153" s="33" t="s">
        <v>1655</v>
      </c>
      <c r="B153" s="33" t="s">
        <v>569</v>
      </c>
      <c r="C153" s="33" t="s">
        <v>65</v>
      </c>
      <c r="D153" s="33">
        <v>68076.850000000006</v>
      </c>
      <c r="E153" s="33">
        <v>4990.72</v>
      </c>
      <c r="F153" s="33">
        <v>10849.76</v>
      </c>
      <c r="G153" s="33">
        <v>6193.89</v>
      </c>
      <c r="H153" s="33">
        <v>56023.92</v>
      </c>
      <c r="I153" s="33" t="s">
        <v>1511</v>
      </c>
      <c r="J153" s="40"/>
    </row>
    <row r="154" spans="1:10">
      <c r="A154" s="38" t="s">
        <v>1656</v>
      </c>
      <c r="B154" s="38" t="s">
        <v>574</v>
      </c>
      <c r="C154" s="38" t="s">
        <v>67</v>
      </c>
      <c r="D154" s="38">
        <v>79889.399999999994</v>
      </c>
      <c r="E154" s="38">
        <v>6701.16</v>
      </c>
      <c r="F154" s="38">
        <v>28973.85</v>
      </c>
      <c r="G154" s="38">
        <v>5913.94</v>
      </c>
      <c r="H154" s="38">
        <v>51702.77</v>
      </c>
      <c r="I154" s="38" t="s">
        <v>1511</v>
      </c>
      <c r="J154" s="40"/>
    </row>
    <row r="155" spans="1:10">
      <c r="A155" s="33" t="s">
        <v>1657</v>
      </c>
      <c r="B155" s="33" t="s">
        <v>577</v>
      </c>
      <c r="C155" s="33" t="s">
        <v>80</v>
      </c>
      <c r="D155" s="33">
        <v>80116.399999999994</v>
      </c>
      <c r="E155" s="33">
        <v>1218.75</v>
      </c>
      <c r="F155" s="33">
        <v>25301.63</v>
      </c>
      <c r="G155" s="33">
        <v>12703.09</v>
      </c>
      <c r="H155" s="33">
        <v>43330.43</v>
      </c>
      <c r="I155" s="33" t="s">
        <v>1504</v>
      </c>
      <c r="J155" s="40"/>
    </row>
    <row r="156" spans="1:10">
      <c r="A156" s="38" t="s">
        <v>1658</v>
      </c>
      <c r="B156" s="38" t="s">
        <v>580</v>
      </c>
      <c r="C156" s="38" t="s">
        <v>80</v>
      </c>
      <c r="D156" s="38">
        <v>32891.43</v>
      </c>
      <c r="E156" s="38">
        <v>1527.12</v>
      </c>
      <c r="F156" s="38">
        <v>14849.62</v>
      </c>
      <c r="G156" s="38">
        <v>12124.5</v>
      </c>
      <c r="H156" s="38">
        <v>7444.43</v>
      </c>
      <c r="I156" s="38" t="s">
        <v>1509</v>
      </c>
      <c r="J156" s="40"/>
    </row>
    <row r="157" spans="1:10">
      <c r="A157" s="33" t="s">
        <v>1659</v>
      </c>
      <c r="B157" s="33" t="s">
        <v>582</v>
      </c>
      <c r="C157" s="33" t="s">
        <v>57</v>
      </c>
      <c r="D157" s="33">
        <v>66532.95</v>
      </c>
      <c r="E157" s="33">
        <v>3052.35</v>
      </c>
      <c r="F157" s="33">
        <v>36877.58</v>
      </c>
      <c r="G157" s="33">
        <v>3331.43</v>
      </c>
      <c r="H157" s="33">
        <v>29376.29</v>
      </c>
      <c r="I157" s="33" t="s">
        <v>1502</v>
      </c>
      <c r="J157" s="40"/>
    </row>
    <row r="158" spans="1:10">
      <c r="A158" s="38" t="s">
        <v>1660</v>
      </c>
      <c r="B158" s="38" t="s">
        <v>585</v>
      </c>
      <c r="C158" s="38" t="s">
        <v>198</v>
      </c>
      <c r="D158" s="38">
        <v>166600.79999999999</v>
      </c>
      <c r="E158" s="38">
        <v>4275.37</v>
      </c>
      <c r="F158" s="38">
        <v>34105.07</v>
      </c>
      <c r="G158" s="38">
        <v>12336.39</v>
      </c>
      <c r="H158" s="38">
        <v>124434.71</v>
      </c>
      <c r="I158" s="38" t="s">
        <v>1504</v>
      </c>
      <c r="J158" s="40"/>
    </row>
    <row r="159" spans="1:10">
      <c r="A159" s="33" t="s">
        <v>1661</v>
      </c>
      <c r="B159" s="33" t="s">
        <v>587</v>
      </c>
      <c r="C159" s="33" t="s">
        <v>57</v>
      </c>
      <c r="D159" s="33">
        <v>185242.79</v>
      </c>
      <c r="E159" s="33">
        <v>3630.1</v>
      </c>
      <c r="F159" s="33">
        <v>37061.089999999997</v>
      </c>
      <c r="G159" s="33">
        <v>3515.35</v>
      </c>
      <c r="H159" s="33">
        <v>148296.45000000001</v>
      </c>
      <c r="I159" s="33" t="s">
        <v>1502</v>
      </c>
      <c r="J159" s="40"/>
    </row>
    <row r="160" spans="1:10">
      <c r="A160" s="38" t="s">
        <v>1662</v>
      </c>
      <c r="B160" s="38" t="s">
        <v>589</v>
      </c>
      <c r="C160" s="38" t="s">
        <v>67</v>
      </c>
      <c r="D160" s="38">
        <v>85203.72</v>
      </c>
      <c r="E160" s="38">
        <v>7425.57</v>
      </c>
      <c r="F160" s="38">
        <v>21783.14</v>
      </c>
      <c r="G160" s="38">
        <v>6050.46</v>
      </c>
      <c r="H160" s="38">
        <v>64795.69</v>
      </c>
      <c r="I160" s="38" t="s">
        <v>1511</v>
      </c>
      <c r="J160" s="40"/>
    </row>
    <row r="161" spans="1:10">
      <c r="A161" s="33" t="s">
        <v>1663</v>
      </c>
      <c r="B161" s="33" t="s">
        <v>593</v>
      </c>
      <c r="C161" s="33" t="s">
        <v>157</v>
      </c>
      <c r="D161" s="33">
        <v>14608.72</v>
      </c>
      <c r="E161" s="33">
        <v>1542.6</v>
      </c>
      <c r="F161" s="33">
        <v>20467.830000000002</v>
      </c>
      <c r="G161" s="33">
        <v>14838.56</v>
      </c>
      <c r="H161" s="33">
        <v>-19155.07</v>
      </c>
      <c r="I161" s="33" t="s">
        <v>1511</v>
      </c>
      <c r="J161" s="40"/>
    </row>
    <row r="162" spans="1:10">
      <c r="A162" s="38" t="s">
        <v>1664</v>
      </c>
      <c r="B162" s="38" t="s">
        <v>596</v>
      </c>
      <c r="C162" s="38" t="s">
        <v>74</v>
      </c>
      <c r="D162" s="38">
        <v>8536.64</v>
      </c>
      <c r="E162" s="38">
        <v>1791.55</v>
      </c>
      <c r="F162" s="38">
        <v>15663.95</v>
      </c>
      <c r="G162" s="38">
        <v>11677.98</v>
      </c>
      <c r="H162" s="38">
        <v>-17013.740000000002</v>
      </c>
      <c r="I162" s="38" t="s">
        <v>1504</v>
      </c>
      <c r="J162" s="40"/>
    </row>
    <row r="163" spans="1:10">
      <c r="A163" s="33" t="s">
        <v>1665</v>
      </c>
      <c r="B163" s="33" t="s">
        <v>598</v>
      </c>
      <c r="C163" s="33" t="s">
        <v>102</v>
      </c>
      <c r="D163" s="33">
        <v>76785.570000000007</v>
      </c>
      <c r="E163" s="33">
        <v>2167.6799999999998</v>
      </c>
      <c r="F163" s="33">
        <v>34988.53</v>
      </c>
      <c r="G163" s="33">
        <v>3850.67</v>
      </c>
      <c r="H163" s="33">
        <v>40114.050000000003</v>
      </c>
      <c r="I163" s="33" t="s">
        <v>1502</v>
      </c>
      <c r="J163" s="40"/>
    </row>
    <row r="164" spans="1:10">
      <c r="A164" s="38" t="s">
        <v>1666</v>
      </c>
      <c r="B164" s="38" t="s">
        <v>601</v>
      </c>
      <c r="C164" s="38" t="s">
        <v>80</v>
      </c>
      <c r="D164" s="38">
        <v>154221.20000000001</v>
      </c>
      <c r="E164" s="38">
        <v>2805.71</v>
      </c>
      <c r="F164" s="38"/>
      <c r="G164" s="38">
        <v>14754.42</v>
      </c>
      <c r="H164" s="38">
        <v>129928.05</v>
      </c>
      <c r="I164" s="38" t="s">
        <v>1509</v>
      </c>
      <c r="J164" s="40"/>
    </row>
    <row r="165" spans="1:10">
      <c r="A165" s="33" t="s">
        <v>1667</v>
      </c>
      <c r="B165" s="33" t="s">
        <v>604</v>
      </c>
      <c r="C165" s="33" t="s">
        <v>184</v>
      </c>
      <c r="D165" s="33">
        <v>130233.36</v>
      </c>
      <c r="E165" s="33">
        <v>5681.14</v>
      </c>
      <c r="F165" s="33">
        <v>32441.040000000001</v>
      </c>
      <c r="G165" s="33">
        <v>3010.56</v>
      </c>
      <c r="H165" s="33">
        <v>100462.9</v>
      </c>
      <c r="I165" s="33" t="s">
        <v>1509</v>
      </c>
      <c r="J165" s="40"/>
    </row>
    <row r="166" spans="1:10">
      <c r="A166" s="38" t="s">
        <v>1668</v>
      </c>
      <c r="B166" s="38" t="s">
        <v>608</v>
      </c>
      <c r="C166" s="38" t="s">
        <v>33</v>
      </c>
      <c r="D166" s="38">
        <v>0</v>
      </c>
      <c r="E166" s="38">
        <v>0</v>
      </c>
      <c r="F166" s="38">
        <v>31506.69</v>
      </c>
      <c r="G166" s="38">
        <v>2552.7199999999998</v>
      </c>
      <c r="H166" s="38">
        <v>-34059.410000000003</v>
      </c>
      <c r="I166" s="38" t="s">
        <v>1504</v>
      </c>
      <c r="J166" s="40"/>
    </row>
    <row r="167" spans="1:10">
      <c r="A167" s="33" t="s">
        <v>1669</v>
      </c>
      <c r="B167" s="33" t="s">
        <v>611</v>
      </c>
      <c r="C167" s="33" t="s">
        <v>57</v>
      </c>
      <c r="D167" s="33">
        <v>84727.76</v>
      </c>
      <c r="E167" s="33">
        <v>745.95</v>
      </c>
      <c r="F167" s="33">
        <v>28092.61</v>
      </c>
      <c r="G167" s="33">
        <v>9711.2900000000009</v>
      </c>
      <c r="H167" s="33">
        <v>47669.81</v>
      </c>
      <c r="I167" s="33" t="s">
        <v>1509</v>
      </c>
      <c r="J167" s="40"/>
    </row>
    <row r="168" spans="1:10">
      <c r="A168" s="38" t="s">
        <v>1670</v>
      </c>
      <c r="B168" s="38" t="s">
        <v>614</v>
      </c>
      <c r="C168" s="38" t="s">
        <v>102</v>
      </c>
      <c r="D168" s="38">
        <v>108757.51</v>
      </c>
      <c r="E168" s="38">
        <v>1391.92</v>
      </c>
      <c r="F168" s="38">
        <v>13855.44</v>
      </c>
      <c r="G168" s="38">
        <v>2861.22</v>
      </c>
      <c r="H168" s="38">
        <v>93432.77</v>
      </c>
      <c r="I168" s="38" t="s">
        <v>1504</v>
      </c>
      <c r="J168" s="40"/>
    </row>
    <row r="169" spans="1:10">
      <c r="A169" s="33" t="s">
        <v>1671</v>
      </c>
      <c r="B169" s="33" t="s">
        <v>617</v>
      </c>
      <c r="C169" s="33" t="s">
        <v>157</v>
      </c>
      <c r="D169" s="33">
        <v>200969.46</v>
      </c>
      <c r="E169" s="33">
        <v>6159.13</v>
      </c>
      <c r="F169" s="33">
        <v>32382.98</v>
      </c>
      <c r="G169" s="33">
        <v>13961.27</v>
      </c>
      <c r="H169" s="33">
        <v>160784.34</v>
      </c>
      <c r="I169" s="33" t="s">
        <v>1502</v>
      </c>
      <c r="J169" s="40"/>
    </row>
    <row r="170" spans="1:10">
      <c r="A170" s="38" t="s">
        <v>1672</v>
      </c>
      <c r="B170" s="38" t="s">
        <v>619</v>
      </c>
      <c r="C170" s="38" t="s">
        <v>157</v>
      </c>
      <c r="D170" s="38">
        <v>169912.05</v>
      </c>
      <c r="E170" s="38">
        <v>4907.0200000000004</v>
      </c>
      <c r="F170" s="38">
        <v>12000.85</v>
      </c>
      <c r="G170" s="38">
        <v>10717.81</v>
      </c>
      <c r="H170" s="38">
        <v>152100.41</v>
      </c>
      <c r="I170" s="38" t="s">
        <v>1504</v>
      </c>
      <c r="J170" s="40"/>
    </row>
    <row r="171" spans="1:10">
      <c r="A171" s="33" t="s">
        <v>1673</v>
      </c>
      <c r="B171" s="33" t="s">
        <v>621</v>
      </c>
      <c r="C171" s="33" t="s">
        <v>39</v>
      </c>
      <c r="D171" s="33">
        <v>129557.9</v>
      </c>
      <c r="E171" s="33">
        <v>1180.8399999999999</v>
      </c>
      <c r="F171" s="33">
        <v>34605.15</v>
      </c>
      <c r="G171" s="33">
        <v>14243.98</v>
      </c>
      <c r="H171" s="33">
        <v>81889.61</v>
      </c>
      <c r="I171" s="33" t="s">
        <v>1511</v>
      </c>
      <c r="J171" s="40"/>
    </row>
    <row r="172" spans="1:10">
      <c r="A172" s="38" t="s">
        <v>1674</v>
      </c>
      <c r="B172" s="38" t="s">
        <v>624</v>
      </c>
      <c r="C172" s="38" t="s">
        <v>41</v>
      </c>
      <c r="D172" s="38">
        <v>64647.26</v>
      </c>
      <c r="E172" s="38">
        <v>3141.52</v>
      </c>
      <c r="F172" s="38">
        <v>34929.83</v>
      </c>
      <c r="G172" s="38">
        <v>12150.43</v>
      </c>
      <c r="H172" s="38">
        <v>20708.52</v>
      </c>
      <c r="I172" s="38" t="s">
        <v>1502</v>
      </c>
      <c r="J172" s="40"/>
    </row>
    <row r="173" spans="1:10">
      <c r="A173" s="33" t="s">
        <v>1675</v>
      </c>
      <c r="B173" s="33" t="s">
        <v>628</v>
      </c>
      <c r="C173" s="33" t="s">
        <v>39</v>
      </c>
      <c r="D173" s="33">
        <v>106922.24000000001</v>
      </c>
      <c r="E173" s="33">
        <v>4286.82</v>
      </c>
      <c r="F173" s="33">
        <v>7391.8</v>
      </c>
      <c r="G173" s="33">
        <v>12654.62</v>
      </c>
      <c r="H173" s="33">
        <v>91162.64</v>
      </c>
      <c r="I173" s="33" t="s">
        <v>1504</v>
      </c>
      <c r="J173" s="40"/>
    </row>
    <row r="174" spans="1:10">
      <c r="A174" s="38" t="s">
        <v>1676</v>
      </c>
      <c r="B174" s="38" t="s">
        <v>631</v>
      </c>
      <c r="C174" s="38" t="s">
        <v>55</v>
      </c>
      <c r="D174" s="38">
        <v>40573.5</v>
      </c>
      <c r="E174" s="38">
        <v>4466.29</v>
      </c>
      <c r="F174" s="38">
        <v>30053.41</v>
      </c>
      <c r="G174" s="38">
        <v>14535.43</v>
      </c>
      <c r="H174" s="38">
        <v>450.95</v>
      </c>
      <c r="I174" s="38" t="s">
        <v>1502</v>
      </c>
      <c r="J174" s="40"/>
    </row>
    <row r="175" spans="1:10">
      <c r="A175" s="33" t="s">
        <v>1677</v>
      </c>
      <c r="B175" s="33" t="s">
        <v>634</v>
      </c>
      <c r="C175" s="33" t="s">
        <v>157</v>
      </c>
      <c r="D175" s="33">
        <v>31375.5</v>
      </c>
      <c r="E175" s="33">
        <v>7262.45</v>
      </c>
      <c r="F175" s="33"/>
      <c r="G175" s="33">
        <v>14656.54</v>
      </c>
      <c r="H175" s="33">
        <v>181.98</v>
      </c>
      <c r="I175" s="33" t="s">
        <v>1504</v>
      </c>
      <c r="J175" s="40"/>
    </row>
    <row r="176" spans="1:10">
      <c r="A176" s="38" t="s">
        <v>1678</v>
      </c>
      <c r="B176" s="38" t="s">
        <v>637</v>
      </c>
      <c r="C176" s="38" t="s">
        <v>117</v>
      </c>
      <c r="D176" s="38">
        <v>32940.550000000003</v>
      </c>
      <c r="E176" s="38">
        <v>7431.74</v>
      </c>
      <c r="F176" s="38">
        <v>37216.699999999997</v>
      </c>
      <c r="G176" s="38">
        <v>13066.86</v>
      </c>
      <c r="H176" s="38">
        <v>-9911.27</v>
      </c>
      <c r="I176" s="38" t="s">
        <v>1509</v>
      </c>
      <c r="J176" s="40"/>
    </row>
    <row r="177" spans="1:10">
      <c r="A177" s="33" t="s">
        <v>1679</v>
      </c>
      <c r="B177" s="33" t="s">
        <v>640</v>
      </c>
      <c r="C177" s="33" t="s">
        <v>130</v>
      </c>
      <c r="D177" s="33">
        <v>76620.179999999993</v>
      </c>
      <c r="E177" s="33">
        <v>3248.47</v>
      </c>
      <c r="F177" s="33">
        <v>25628.32</v>
      </c>
      <c r="G177" s="33">
        <v>7715.66</v>
      </c>
      <c r="H177" s="33">
        <v>46524.67</v>
      </c>
      <c r="I177" s="33" t="s">
        <v>1504</v>
      </c>
      <c r="J177" s="40"/>
    </row>
    <row r="178" spans="1:10">
      <c r="A178" s="38" t="s">
        <v>1680</v>
      </c>
      <c r="B178" s="38" t="s">
        <v>643</v>
      </c>
      <c r="C178" s="38" t="s">
        <v>55</v>
      </c>
      <c r="D178" s="38">
        <v>21755.82</v>
      </c>
      <c r="E178" s="38">
        <v>1856.36</v>
      </c>
      <c r="F178" s="38">
        <v>17418.78</v>
      </c>
      <c r="G178" s="38">
        <v>6935</v>
      </c>
      <c r="H178" s="38">
        <v>-741.6</v>
      </c>
      <c r="I178" s="38" t="s">
        <v>1502</v>
      </c>
      <c r="J178" s="40"/>
    </row>
    <row r="179" spans="1:10">
      <c r="A179" s="33" t="s">
        <v>1681</v>
      </c>
      <c r="B179" s="33" t="s">
        <v>646</v>
      </c>
      <c r="C179" s="33" t="s">
        <v>198</v>
      </c>
      <c r="D179" s="33">
        <v>48052.02</v>
      </c>
      <c r="E179" s="33">
        <v>4356.88</v>
      </c>
      <c r="F179" s="33">
        <v>19265.23</v>
      </c>
      <c r="G179" s="33">
        <v>11898.32</v>
      </c>
      <c r="H179" s="33">
        <v>21245.35</v>
      </c>
      <c r="I179" s="33" t="s">
        <v>1511</v>
      </c>
      <c r="J179" s="40"/>
    </row>
    <row r="180" spans="1:10">
      <c r="A180" s="38" t="s">
        <v>1682</v>
      </c>
      <c r="B180" s="38" t="s">
        <v>650</v>
      </c>
      <c r="C180" s="38" t="s">
        <v>33</v>
      </c>
      <c r="D180" s="38">
        <v>54963.3</v>
      </c>
      <c r="E180" s="38">
        <v>1427.12</v>
      </c>
      <c r="F180" s="38">
        <v>8861.07</v>
      </c>
      <c r="G180" s="38">
        <v>3766.86</v>
      </c>
      <c r="H180" s="38">
        <v>43762.49</v>
      </c>
      <c r="I180" s="38" t="s">
        <v>1511</v>
      </c>
      <c r="J180" s="40"/>
    </row>
    <row r="181" spans="1:10">
      <c r="A181" s="33" t="s">
        <v>1683</v>
      </c>
      <c r="B181" s="33" t="s">
        <v>653</v>
      </c>
      <c r="C181" s="33" t="s">
        <v>65</v>
      </c>
      <c r="D181" s="33">
        <v>7741.18</v>
      </c>
      <c r="E181" s="33">
        <v>5785.48</v>
      </c>
      <c r="F181" s="33">
        <v>24499.62</v>
      </c>
      <c r="G181" s="33">
        <v>2527.91</v>
      </c>
      <c r="H181" s="33">
        <v>-13500.87</v>
      </c>
      <c r="I181" s="33" t="s">
        <v>1511</v>
      </c>
      <c r="J181" s="40"/>
    </row>
    <row r="182" spans="1:10">
      <c r="A182" s="38" t="s">
        <v>1684</v>
      </c>
      <c r="B182" s="38" t="s">
        <v>655</v>
      </c>
      <c r="C182" s="38" t="s">
        <v>67</v>
      </c>
      <c r="D182" s="38">
        <v>0</v>
      </c>
      <c r="E182" s="38">
        <v>0</v>
      </c>
      <c r="F182" s="38">
        <v>22279.95</v>
      </c>
      <c r="G182" s="38">
        <v>7002.15</v>
      </c>
      <c r="H182" s="38">
        <v>-29282.1</v>
      </c>
      <c r="I182" s="38" t="s">
        <v>1509</v>
      </c>
      <c r="J182" s="40"/>
    </row>
    <row r="183" spans="1:10">
      <c r="A183" s="33" t="s">
        <v>1685</v>
      </c>
      <c r="B183" s="33" t="s">
        <v>658</v>
      </c>
      <c r="C183" s="33" t="s">
        <v>24</v>
      </c>
      <c r="D183" s="33">
        <v>0</v>
      </c>
      <c r="E183" s="33">
        <v>5002.92</v>
      </c>
      <c r="F183" s="33">
        <v>15920.24</v>
      </c>
      <c r="G183" s="33">
        <v>14690.33</v>
      </c>
      <c r="H183" s="33">
        <v>67080.69</v>
      </c>
      <c r="I183" s="33" t="s">
        <v>1509</v>
      </c>
      <c r="J183" s="40"/>
    </row>
    <row r="184" spans="1:10">
      <c r="A184" s="38" t="s">
        <v>1686</v>
      </c>
      <c r="B184" s="38" t="s">
        <v>661</v>
      </c>
      <c r="C184" s="38" t="s">
        <v>22</v>
      </c>
      <c r="D184" s="38">
        <v>58421.96</v>
      </c>
      <c r="E184" s="38">
        <v>2194.0500000000002</v>
      </c>
      <c r="F184" s="38">
        <v>19254.88</v>
      </c>
      <c r="G184" s="38">
        <v>14804.51</v>
      </c>
      <c r="H184" s="38">
        <v>26556.62</v>
      </c>
      <c r="I184" s="38" t="s">
        <v>1509</v>
      </c>
      <c r="J184" s="40"/>
    </row>
    <row r="185" spans="1:10">
      <c r="A185" s="33" t="s">
        <v>1687</v>
      </c>
      <c r="B185" s="33" t="s">
        <v>665</v>
      </c>
      <c r="C185" s="33" t="s">
        <v>49</v>
      </c>
      <c r="D185" s="33">
        <v>92806.66</v>
      </c>
      <c r="E185" s="33">
        <v>1915.89</v>
      </c>
      <c r="F185" s="33">
        <v>7436.32</v>
      </c>
      <c r="G185" s="33">
        <v>12933.76</v>
      </c>
      <c r="H185" s="33">
        <v>74352.47</v>
      </c>
      <c r="I185" s="33" t="s">
        <v>1509</v>
      </c>
      <c r="J185" s="40"/>
    </row>
    <row r="186" spans="1:10">
      <c r="A186" s="38" t="s">
        <v>1688</v>
      </c>
      <c r="B186" s="38" t="s">
        <v>667</v>
      </c>
      <c r="C186" s="38" t="s">
        <v>24</v>
      </c>
      <c r="D186" s="38">
        <v>112509.46</v>
      </c>
      <c r="E186" s="38">
        <v>7543.12</v>
      </c>
      <c r="F186" s="38">
        <v>17860.45</v>
      </c>
      <c r="G186" s="38">
        <v>2166.2199999999998</v>
      </c>
      <c r="H186" s="38">
        <v>100025.91</v>
      </c>
      <c r="I186" s="38" t="s">
        <v>1509</v>
      </c>
      <c r="J186" s="40"/>
    </row>
    <row r="187" spans="1:10">
      <c r="A187" s="33" t="s">
        <v>1689</v>
      </c>
      <c r="B187" s="33" t="s">
        <v>669</v>
      </c>
      <c r="C187" s="33" t="s">
        <v>33</v>
      </c>
      <c r="D187" s="33">
        <v>0</v>
      </c>
      <c r="E187" s="33">
        <v>0</v>
      </c>
      <c r="F187" s="33">
        <v>28523.34</v>
      </c>
      <c r="G187" s="33">
        <v>7152.81</v>
      </c>
      <c r="H187" s="33">
        <v>-35676.15</v>
      </c>
      <c r="I187" s="33" t="s">
        <v>1504</v>
      </c>
      <c r="J187" s="40"/>
    </row>
    <row r="188" spans="1:10">
      <c r="A188" s="38" t="s">
        <v>1690</v>
      </c>
      <c r="B188" s="38" t="s">
        <v>673</v>
      </c>
      <c r="C188" s="38" t="s">
        <v>130</v>
      </c>
      <c r="D188" s="38">
        <v>146142.1</v>
      </c>
      <c r="E188" s="38">
        <v>1394.13</v>
      </c>
      <c r="F188" s="38">
        <v>18818.400000000001</v>
      </c>
      <c r="G188" s="38">
        <v>11035.48</v>
      </c>
      <c r="H188" s="38">
        <v>117682.35</v>
      </c>
      <c r="I188" s="38" t="s">
        <v>1504</v>
      </c>
      <c r="J188" s="40"/>
    </row>
    <row r="189" spans="1:10">
      <c r="A189" s="33" t="s">
        <v>1691</v>
      </c>
      <c r="B189" s="33" t="s">
        <v>676</v>
      </c>
      <c r="C189" s="33" t="s">
        <v>57</v>
      </c>
      <c r="D189" s="33">
        <v>17493.68</v>
      </c>
      <c r="E189" s="33">
        <v>6060.74</v>
      </c>
      <c r="F189" s="33">
        <v>36234.97</v>
      </c>
      <c r="G189" s="33">
        <v>4193.3999999999996</v>
      </c>
      <c r="H189" s="33">
        <v>-16873.95</v>
      </c>
      <c r="I189" s="33" t="s">
        <v>1511</v>
      </c>
      <c r="J189" s="40"/>
    </row>
    <row r="190" spans="1:10">
      <c r="A190" s="38" t="s">
        <v>1692</v>
      </c>
      <c r="B190" s="38" t="s">
        <v>678</v>
      </c>
      <c r="C190" s="38" t="s">
        <v>65</v>
      </c>
      <c r="D190" s="38">
        <v>30145.8</v>
      </c>
      <c r="E190" s="38">
        <v>7814.06</v>
      </c>
      <c r="F190" s="38">
        <v>16852.11</v>
      </c>
      <c r="G190" s="38">
        <v>9734.49</v>
      </c>
      <c r="H190" s="38">
        <v>11373.26</v>
      </c>
      <c r="I190" s="38" t="s">
        <v>1509</v>
      </c>
      <c r="J190" s="40"/>
    </row>
    <row r="191" spans="1:10">
      <c r="A191" s="33" t="s">
        <v>1693</v>
      </c>
      <c r="B191" s="33" t="s">
        <v>681</v>
      </c>
      <c r="C191" s="33" t="s">
        <v>184</v>
      </c>
      <c r="D191" s="33">
        <v>281279.78999999998</v>
      </c>
      <c r="E191" s="33">
        <v>1420.72</v>
      </c>
      <c r="F191" s="33">
        <v>34333.82</v>
      </c>
      <c r="G191" s="33">
        <v>11427.61</v>
      </c>
      <c r="H191" s="33">
        <v>236939.08</v>
      </c>
      <c r="I191" s="33" t="s">
        <v>1511</v>
      </c>
      <c r="J191" s="40"/>
    </row>
    <row r="192" spans="1:10">
      <c r="A192" s="38" t="s">
        <v>1694</v>
      </c>
      <c r="B192" s="38" t="s">
        <v>684</v>
      </c>
      <c r="C192" s="38" t="s">
        <v>67</v>
      </c>
      <c r="D192" s="38">
        <v>77081.600000000006</v>
      </c>
      <c r="E192" s="38">
        <v>6236.13</v>
      </c>
      <c r="F192" s="38">
        <v>31809.03</v>
      </c>
      <c r="G192" s="38">
        <v>9717.4500000000007</v>
      </c>
      <c r="H192" s="38">
        <v>41791.25</v>
      </c>
      <c r="I192" s="38" t="s">
        <v>1509</v>
      </c>
      <c r="J192" s="40"/>
    </row>
    <row r="193" spans="1:10">
      <c r="A193" s="33" t="s">
        <v>1695</v>
      </c>
      <c r="B193" s="33" t="s">
        <v>687</v>
      </c>
      <c r="C193" s="33" t="s">
        <v>41</v>
      </c>
      <c r="D193" s="33">
        <v>171127.75</v>
      </c>
      <c r="E193" s="33">
        <v>3170.73</v>
      </c>
      <c r="F193" s="33">
        <v>28333.7</v>
      </c>
      <c r="G193" s="33">
        <v>14351.8</v>
      </c>
      <c r="H193" s="33">
        <v>131612.98000000001</v>
      </c>
      <c r="I193" s="33" t="s">
        <v>1509</v>
      </c>
      <c r="J193" s="40"/>
    </row>
    <row r="194" spans="1:10">
      <c r="A194" s="38" t="s">
        <v>1696</v>
      </c>
      <c r="B194" s="38" t="s">
        <v>690</v>
      </c>
      <c r="C194" s="38" t="s">
        <v>175</v>
      </c>
      <c r="D194" s="38">
        <v>58447.35</v>
      </c>
      <c r="E194" s="38">
        <v>4335.6099999999997</v>
      </c>
      <c r="F194" s="38">
        <v>10158.09</v>
      </c>
      <c r="G194" s="38">
        <v>7910.25</v>
      </c>
      <c r="H194" s="38">
        <v>44714.62</v>
      </c>
      <c r="I194" s="38" t="s">
        <v>1504</v>
      </c>
      <c r="J194" s="40"/>
    </row>
    <row r="195" spans="1:10">
      <c r="A195" s="33" t="s">
        <v>1697</v>
      </c>
      <c r="B195" s="33" t="s">
        <v>692</v>
      </c>
      <c r="C195" s="33" t="s">
        <v>80</v>
      </c>
      <c r="D195" s="33">
        <v>47176.5</v>
      </c>
      <c r="E195" s="33">
        <v>2380.17</v>
      </c>
      <c r="F195" s="33">
        <v>22404.58</v>
      </c>
      <c r="G195" s="33">
        <v>10168.82</v>
      </c>
      <c r="H195" s="33">
        <v>16983.27</v>
      </c>
      <c r="I195" s="33" t="s">
        <v>1502</v>
      </c>
      <c r="J195" s="40"/>
    </row>
    <row r="196" spans="1:10">
      <c r="A196" s="38" t="s">
        <v>1698</v>
      </c>
      <c r="B196" s="38" t="s">
        <v>694</v>
      </c>
      <c r="C196" s="38" t="s">
        <v>55</v>
      </c>
      <c r="D196" s="38">
        <v>17299.71</v>
      </c>
      <c r="E196" s="38">
        <v>722.93</v>
      </c>
      <c r="F196" s="38">
        <v>30822.94</v>
      </c>
      <c r="G196" s="38">
        <v>12794.06</v>
      </c>
      <c r="H196" s="38">
        <v>-25594.36</v>
      </c>
      <c r="I196" s="38" t="s">
        <v>1509</v>
      </c>
      <c r="J196" s="40"/>
    </row>
    <row r="197" spans="1:10">
      <c r="A197" s="33" t="s">
        <v>1699</v>
      </c>
      <c r="B197" s="33" t="s">
        <v>697</v>
      </c>
      <c r="C197" s="33" t="s">
        <v>57</v>
      </c>
      <c r="D197" s="33">
        <v>34480.080000000002</v>
      </c>
      <c r="E197" s="33">
        <v>5585.81</v>
      </c>
      <c r="F197" s="33">
        <v>39022.54</v>
      </c>
      <c r="G197" s="33">
        <v>6974.23</v>
      </c>
      <c r="H197" s="33">
        <v>-5930.88</v>
      </c>
      <c r="I197" s="33" t="s">
        <v>1511</v>
      </c>
      <c r="J197" s="40"/>
    </row>
    <row r="198" spans="1:10">
      <c r="A198" s="38" t="s">
        <v>1700</v>
      </c>
      <c r="B198" s="38" t="s">
        <v>700</v>
      </c>
      <c r="C198" s="38" t="s">
        <v>175</v>
      </c>
      <c r="D198" s="38">
        <v>88656.8</v>
      </c>
      <c r="E198" s="38">
        <v>1645.52</v>
      </c>
      <c r="F198" s="38">
        <v>26768.84</v>
      </c>
      <c r="G198" s="38">
        <v>3252.34</v>
      </c>
      <c r="H198" s="38">
        <v>60281.14</v>
      </c>
      <c r="I198" s="38" t="s">
        <v>1504</v>
      </c>
      <c r="J198" s="40"/>
    </row>
    <row r="199" spans="1:10">
      <c r="A199" s="33" t="s">
        <v>1701</v>
      </c>
      <c r="B199" s="33" t="s">
        <v>703</v>
      </c>
      <c r="C199" s="33" t="s">
        <v>65</v>
      </c>
      <c r="D199" s="33">
        <v>63566.559999999998</v>
      </c>
      <c r="E199" s="33">
        <v>5458.1</v>
      </c>
      <c r="F199" s="33">
        <v>23198.21</v>
      </c>
      <c r="G199" s="33">
        <v>8398.44</v>
      </c>
      <c r="H199" s="33">
        <v>37428.01</v>
      </c>
      <c r="I199" s="33" t="s">
        <v>1509</v>
      </c>
      <c r="J199" s="40"/>
    </row>
    <row r="200" spans="1:10">
      <c r="A200" s="38" t="s">
        <v>1702</v>
      </c>
      <c r="B200" s="38" t="s">
        <v>707</v>
      </c>
      <c r="C200" s="38" t="s">
        <v>55</v>
      </c>
      <c r="D200" s="38">
        <v>13285.05</v>
      </c>
      <c r="E200" s="38">
        <v>2014.49</v>
      </c>
      <c r="F200" s="38">
        <v>28173.26</v>
      </c>
      <c r="G200" s="38">
        <v>8373.25</v>
      </c>
      <c r="H200" s="38">
        <v>-21246.97</v>
      </c>
      <c r="I200" s="38" t="s">
        <v>1511</v>
      </c>
      <c r="J200" s="40"/>
    </row>
    <row r="201" spans="1:10">
      <c r="A201" s="33" t="s">
        <v>1703</v>
      </c>
      <c r="B201" s="33" t="s">
        <v>710</v>
      </c>
      <c r="C201" s="33" t="s">
        <v>74</v>
      </c>
      <c r="D201" s="33">
        <v>319202.99</v>
      </c>
      <c r="E201" s="33">
        <v>4568.29</v>
      </c>
      <c r="F201" s="33">
        <v>33331.86</v>
      </c>
      <c r="G201" s="33">
        <v>9026.8799999999992</v>
      </c>
      <c r="H201" s="33">
        <v>281412.53999999998</v>
      </c>
      <c r="I201" s="33" t="s">
        <v>1504</v>
      </c>
      <c r="J201" s="40"/>
    </row>
    <row r="202" spans="1:10">
      <c r="A202" s="38" t="s">
        <v>1704</v>
      </c>
      <c r="B202" s="38" t="s">
        <v>714</v>
      </c>
      <c r="C202" s="38" t="s">
        <v>33</v>
      </c>
      <c r="D202" s="38">
        <v>8388.44</v>
      </c>
      <c r="E202" s="38">
        <v>7644.35</v>
      </c>
      <c r="F202" s="38">
        <v>6105.95</v>
      </c>
      <c r="G202" s="38">
        <v>7595.28</v>
      </c>
      <c r="H202" s="38">
        <v>2331.56</v>
      </c>
      <c r="I202" s="38" t="s">
        <v>1504</v>
      </c>
      <c r="J202" s="40"/>
    </row>
    <row r="203" spans="1:10">
      <c r="A203" s="33" t="s">
        <v>1705</v>
      </c>
      <c r="B203" s="33" t="s">
        <v>717</v>
      </c>
      <c r="C203" s="33" t="s">
        <v>39</v>
      </c>
      <c r="D203" s="33">
        <v>27092.400000000001</v>
      </c>
      <c r="E203" s="33">
        <v>3377.22</v>
      </c>
      <c r="F203" s="33">
        <v>16009.57</v>
      </c>
      <c r="G203" s="33">
        <v>6892.38</v>
      </c>
      <c r="H203" s="33">
        <v>7567.67</v>
      </c>
      <c r="I203" s="33" t="s">
        <v>1509</v>
      </c>
      <c r="J203" s="40"/>
    </row>
    <row r="204" spans="1:10">
      <c r="A204" s="38" t="s">
        <v>1706</v>
      </c>
      <c r="B204" s="38" t="s">
        <v>720</v>
      </c>
      <c r="C204" s="38" t="s">
        <v>198</v>
      </c>
      <c r="D204" s="38">
        <v>125191.57</v>
      </c>
      <c r="E204" s="38">
        <v>769.86</v>
      </c>
      <c r="F204" s="38">
        <v>11190.42</v>
      </c>
      <c r="G204" s="38">
        <v>10572.34</v>
      </c>
      <c r="H204" s="38">
        <v>104198.67</v>
      </c>
      <c r="I204" s="38" t="s">
        <v>1511</v>
      </c>
      <c r="J204" s="40"/>
    </row>
    <row r="205" spans="1:10">
      <c r="A205" s="33" t="s">
        <v>1707</v>
      </c>
      <c r="B205" s="33" t="s">
        <v>721</v>
      </c>
      <c r="C205" s="33" t="s">
        <v>80</v>
      </c>
      <c r="D205" s="33">
        <v>59729.46</v>
      </c>
      <c r="E205" s="33">
        <v>7135.25</v>
      </c>
      <c r="F205" s="33">
        <v>10745.05</v>
      </c>
      <c r="G205" s="33">
        <v>7598.85</v>
      </c>
      <c r="H205" s="33">
        <v>48520.81</v>
      </c>
      <c r="I205" s="33" t="s">
        <v>1511</v>
      </c>
      <c r="J205" s="40"/>
    </row>
    <row r="206" spans="1:10">
      <c r="A206" s="38" t="s">
        <v>1708</v>
      </c>
      <c r="B206" s="38" t="s">
        <v>724</v>
      </c>
      <c r="C206" s="38" t="s">
        <v>55</v>
      </c>
      <c r="D206" s="38">
        <v>0</v>
      </c>
      <c r="E206" s="38">
        <v>5867.92</v>
      </c>
      <c r="F206" s="38">
        <v>22060.92</v>
      </c>
      <c r="G206" s="38">
        <v>3421.97</v>
      </c>
      <c r="H206" s="38">
        <v>16281.21</v>
      </c>
      <c r="I206" s="38" t="s">
        <v>1509</v>
      </c>
      <c r="J206" s="40"/>
    </row>
    <row r="207" spans="1:10">
      <c r="A207" s="33" t="s">
        <v>1709</v>
      </c>
      <c r="B207" s="33" t="s">
        <v>727</v>
      </c>
      <c r="C207" s="33" t="s">
        <v>41</v>
      </c>
      <c r="D207" s="33">
        <v>55656.959999999999</v>
      </c>
      <c r="E207" s="33">
        <v>5450.59</v>
      </c>
      <c r="F207" s="33">
        <v>28988.1</v>
      </c>
      <c r="G207" s="33">
        <v>9438.73</v>
      </c>
      <c r="H207" s="33">
        <v>22680.720000000001</v>
      </c>
      <c r="I207" s="33" t="s">
        <v>1509</v>
      </c>
      <c r="J207" s="40"/>
    </row>
    <row r="208" spans="1:10">
      <c r="A208" s="38" t="s">
        <v>1710</v>
      </c>
      <c r="B208" s="38" t="s">
        <v>730</v>
      </c>
      <c r="C208" s="38" t="s">
        <v>55</v>
      </c>
      <c r="D208" s="38">
        <v>65182.76</v>
      </c>
      <c r="E208" s="38">
        <v>4716.92</v>
      </c>
      <c r="F208" s="38">
        <v>10470.879999999999</v>
      </c>
      <c r="G208" s="38">
        <v>2724.58</v>
      </c>
      <c r="H208" s="38">
        <v>56704.22</v>
      </c>
      <c r="I208" s="38" t="s">
        <v>1511</v>
      </c>
      <c r="J208" s="40"/>
    </row>
    <row r="209" spans="1:10">
      <c r="A209" s="33" t="s">
        <v>1711</v>
      </c>
      <c r="B209" s="33" t="s">
        <v>732</v>
      </c>
      <c r="C209" s="33" t="s">
        <v>74</v>
      </c>
      <c r="D209" s="33">
        <v>33163.53</v>
      </c>
      <c r="E209" s="33">
        <v>4210.18</v>
      </c>
      <c r="F209" s="33">
        <v>38980.480000000003</v>
      </c>
      <c r="G209" s="33">
        <v>10020.219999999999</v>
      </c>
      <c r="H209" s="33">
        <v>-11626.99</v>
      </c>
      <c r="I209" s="33" t="s">
        <v>1511</v>
      </c>
      <c r="J209" s="40"/>
    </row>
    <row r="210" spans="1:10">
      <c r="A210" s="38" t="s">
        <v>1712</v>
      </c>
      <c r="B210" s="38" t="s">
        <v>734</v>
      </c>
      <c r="C210" s="38" t="s">
        <v>130</v>
      </c>
      <c r="D210" s="38">
        <v>200205.28</v>
      </c>
      <c r="E210" s="38">
        <v>6248.53</v>
      </c>
      <c r="F210" s="38">
        <v>14955.31</v>
      </c>
      <c r="G210" s="38">
        <v>2798.51</v>
      </c>
      <c r="H210" s="38">
        <v>188699.99</v>
      </c>
      <c r="I210" s="38" t="s">
        <v>1504</v>
      </c>
      <c r="J210" s="40"/>
    </row>
    <row r="211" spans="1:10">
      <c r="A211" s="33" t="s">
        <v>1713</v>
      </c>
      <c r="B211" s="33" t="s">
        <v>737</v>
      </c>
      <c r="C211" s="33" t="s">
        <v>198</v>
      </c>
      <c r="D211" s="33">
        <v>222928.98</v>
      </c>
      <c r="E211" s="33">
        <v>1461.49</v>
      </c>
      <c r="F211" s="33">
        <v>17824.349999999999</v>
      </c>
      <c r="G211" s="33">
        <v>12524.19</v>
      </c>
      <c r="H211" s="33">
        <v>194041.93</v>
      </c>
      <c r="I211" s="33" t="s">
        <v>1504</v>
      </c>
      <c r="J211" s="40"/>
    </row>
    <row r="212" spans="1:10">
      <c r="A212" s="38" t="s">
        <v>1714</v>
      </c>
      <c r="B212" s="38" t="s">
        <v>740</v>
      </c>
      <c r="C212" s="38" t="s">
        <v>96</v>
      </c>
      <c r="D212" s="38">
        <v>59416.35</v>
      </c>
      <c r="E212" s="38">
        <v>6238.96</v>
      </c>
      <c r="F212" s="38">
        <v>26880.36</v>
      </c>
      <c r="G212" s="38">
        <v>6947.45</v>
      </c>
      <c r="H212" s="38">
        <v>31827.5</v>
      </c>
      <c r="I212" s="38" t="s">
        <v>1509</v>
      </c>
      <c r="J212" s="40"/>
    </row>
    <row r="213" spans="1:10">
      <c r="A213" s="33" t="s">
        <v>1715</v>
      </c>
      <c r="B213" s="33" t="s">
        <v>743</v>
      </c>
      <c r="C213" s="33" t="s">
        <v>157</v>
      </c>
      <c r="D213" s="33">
        <v>212420.88</v>
      </c>
      <c r="E213" s="33">
        <v>3088.57</v>
      </c>
      <c r="F213" s="33">
        <v>17507.810000000001</v>
      </c>
      <c r="G213" s="33">
        <v>6566.5</v>
      </c>
      <c r="H213" s="33">
        <v>191435.14</v>
      </c>
      <c r="I213" s="33" t="s">
        <v>1502</v>
      </c>
      <c r="J213" s="40"/>
    </row>
    <row r="214" spans="1:10">
      <c r="A214" s="38" t="s">
        <v>1716</v>
      </c>
      <c r="B214" s="38" t="s">
        <v>746</v>
      </c>
      <c r="C214" s="38" t="s">
        <v>184</v>
      </c>
      <c r="D214" s="38">
        <v>19342.16</v>
      </c>
      <c r="E214" s="38">
        <v>2357.1</v>
      </c>
      <c r="F214" s="38">
        <v>27682.9</v>
      </c>
      <c r="G214" s="38">
        <v>9702.91</v>
      </c>
      <c r="H214" s="38">
        <v>-15686.55</v>
      </c>
      <c r="I214" s="38" t="s">
        <v>1504</v>
      </c>
      <c r="J214" s="40"/>
    </row>
    <row r="215" spans="1:10">
      <c r="A215" s="33" t="s">
        <v>1717</v>
      </c>
      <c r="B215" s="33" t="s">
        <v>748</v>
      </c>
      <c r="C215" s="33" t="s">
        <v>41</v>
      </c>
      <c r="D215" s="33">
        <v>210606.48</v>
      </c>
      <c r="E215" s="33">
        <v>7017.05</v>
      </c>
      <c r="F215" s="33">
        <v>9006.5</v>
      </c>
      <c r="G215" s="33">
        <v>4207.13</v>
      </c>
      <c r="H215" s="33">
        <v>204409.9</v>
      </c>
      <c r="I215" s="33" t="s">
        <v>1511</v>
      </c>
      <c r="J215" s="40"/>
    </row>
    <row r="216" spans="1:10">
      <c r="A216" s="38" t="s">
        <v>1718</v>
      </c>
      <c r="B216" s="38" t="s">
        <v>751</v>
      </c>
      <c r="C216" s="38" t="s">
        <v>198</v>
      </c>
      <c r="D216" s="38">
        <v>170862.6</v>
      </c>
      <c r="E216" s="38">
        <v>780.33</v>
      </c>
      <c r="F216" s="38">
        <v>28021.87</v>
      </c>
      <c r="G216" s="38">
        <v>7492.15</v>
      </c>
      <c r="H216" s="38">
        <v>136128.91</v>
      </c>
      <c r="I216" s="38" t="s">
        <v>1509</v>
      </c>
      <c r="J216" s="40"/>
    </row>
    <row r="217" spans="1:10">
      <c r="A217" s="33" t="s">
        <v>1719</v>
      </c>
      <c r="B217" s="33" t="s">
        <v>754</v>
      </c>
      <c r="C217" s="33" t="s">
        <v>198</v>
      </c>
      <c r="D217" s="33">
        <v>207124.48000000001</v>
      </c>
      <c r="E217" s="33">
        <v>2499.64</v>
      </c>
      <c r="F217" s="33">
        <v>29358.55</v>
      </c>
      <c r="G217" s="33">
        <v>9643.86</v>
      </c>
      <c r="H217" s="33">
        <v>170621.71</v>
      </c>
      <c r="I217" s="33" t="s">
        <v>1511</v>
      </c>
      <c r="J217" s="40"/>
    </row>
    <row r="218" spans="1:10">
      <c r="A218" s="38" t="s">
        <v>1720</v>
      </c>
      <c r="B218" s="38" t="s">
        <v>757</v>
      </c>
      <c r="C218" s="38" t="s">
        <v>67</v>
      </c>
      <c r="D218" s="38">
        <v>44069.7</v>
      </c>
      <c r="E218" s="38">
        <v>3333.03</v>
      </c>
      <c r="F218" s="38">
        <v>18660.53</v>
      </c>
      <c r="G218" s="38">
        <v>9443</v>
      </c>
      <c r="H218" s="38">
        <v>19299.2</v>
      </c>
      <c r="I218" s="38" t="s">
        <v>1509</v>
      </c>
      <c r="J218" s="40"/>
    </row>
    <row r="219" spans="1:10">
      <c r="A219" s="33" t="s">
        <v>1721</v>
      </c>
      <c r="B219" s="33" t="s">
        <v>760</v>
      </c>
      <c r="C219" s="33" t="s">
        <v>96</v>
      </c>
      <c r="D219" s="33">
        <v>77566.5</v>
      </c>
      <c r="E219" s="33">
        <v>1250.43</v>
      </c>
      <c r="F219" s="33">
        <v>28628.9</v>
      </c>
      <c r="G219" s="33">
        <v>6367.58</v>
      </c>
      <c r="H219" s="33">
        <v>43820.45</v>
      </c>
      <c r="I219" s="33" t="s">
        <v>1511</v>
      </c>
      <c r="J219" s="40"/>
    </row>
    <row r="220" spans="1:10">
      <c r="A220" s="38" t="s">
        <v>1722</v>
      </c>
      <c r="B220" s="38" t="s">
        <v>762</v>
      </c>
      <c r="C220" s="38" t="s">
        <v>198</v>
      </c>
      <c r="D220" s="38">
        <v>130095.16</v>
      </c>
      <c r="E220" s="38">
        <v>1749.7</v>
      </c>
      <c r="F220" s="38">
        <v>15483.23</v>
      </c>
      <c r="G220" s="38">
        <v>14602.56</v>
      </c>
      <c r="H220" s="38">
        <v>101759.07</v>
      </c>
      <c r="I220" s="38" t="s">
        <v>1502</v>
      </c>
      <c r="J220" s="40"/>
    </row>
    <row r="221" spans="1:10">
      <c r="A221" s="33" t="s">
        <v>1723</v>
      </c>
      <c r="B221" s="33" t="s">
        <v>764</v>
      </c>
      <c r="C221" s="33" t="s">
        <v>33</v>
      </c>
      <c r="D221" s="33">
        <v>45854.400000000001</v>
      </c>
      <c r="E221" s="33">
        <v>4227.1400000000003</v>
      </c>
      <c r="F221" s="33">
        <v>34656.69</v>
      </c>
      <c r="G221" s="33">
        <v>12232.94</v>
      </c>
      <c r="H221" s="33">
        <v>3191.91</v>
      </c>
      <c r="I221" s="33" t="s">
        <v>1502</v>
      </c>
      <c r="J221" s="40"/>
    </row>
    <row r="222" spans="1:10">
      <c r="A222" s="38" t="s">
        <v>1724</v>
      </c>
      <c r="B222" s="38" t="s">
        <v>765</v>
      </c>
      <c r="C222" s="38" t="s">
        <v>74</v>
      </c>
      <c r="D222" s="38">
        <v>25459.360000000001</v>
      </c>
      <c r="E222" s="38">
        <v>2655.17</v>
      </c>
      <c r="F222" s="38">
        <v>6663.6</v>
      </c>
      <c r="G222" s="38">
        <v>14950.96</v>
      </c>
      <c r="H222" s="38">
        <v>6499.97</v>
      </c>
      <c r="I222" s="38" t="s">
        <v>1509</v>
      </c>
      <c r="J222" s="40"/>
    </row>
    <row r="223" spans="1:10">
      <c r="A223" s="33" t="s">
        <v>1725</v>
      </c>
      <c r="B223" s="33" t="s">
        <v>767</v>
      </c>
      <c r="C223" s="33" t="s">
        <v>157</v>
      </c>
      <c r="D223" s="33">
        <v>99984.960000000006</v>
      </c>
      <c r="E223" s="33">
        <v>6534.52</v>
      </c>
      <c r="F223" s="33">
        <v>26860.03</v>
      </c>
      <c r="G223" s="33">
        <v>14453.23</v>
      </c>
      <c r="H223" s="33">
        <v>65206.22</v>
      </c>
      <c r="I223" s="33" t="s">
        <v>1504</v>
      </c>
      <c r="J223" s="40"/>
    </row>
    <row r="224" spans="1:10">
      <c r="A224" s="38" t="s">
        <v>1726</v>
      </c>
      <c r="B224" s="38" t="s">
        <v>770</v>
      </c>
      <c r="C224" s="38" t="s">
        <v>65</v>
      </c>
      <c r="D224" s="38">
        <v>74297.64</v>
      </c>
      <c r="E224" s="38">
        <v>4938.9799999999996</v>
      </c>
      <c r="F224" s="38">
        <v>14567.77</v>
      </c>
      <c r="G224" s="38">
        <v>9363.57</v>
      </c>
      <c r="H224" s="38">
        <v>55305.279999999999</v>
      </c>
      <c r="I224" s="38" t="s">
        <v>1509</v>
      </c>
      <c r="J224" s="40"/>
    </row>
    <row r="225" spans="1:10">
      <c r="A225" s="33" t="s">
        <v>1727</v>
      </c>
      <c r="B225" s="33" t="s">
        <v>772</v>
      </c>
      <c r="C225" s="33" t="s">
        <v>198</v>
      </c>
      <c r="D225" s="33">
        <v>81167.64</v>
      </c>
      <c r="E225" s="33">
        <v>3703.29</v>
      </c>
      <c r="F225" s="33">
        <v>17156.080000000002</v>
      </c>
      <c r="G225" s="33">
        <v>2996.6</v>
      </c>
      <c r="H225" s="33">
        <v>64718.25</v>
      </c>
      <c r="I225" s="33" t="s">
        <v>1511</v>
      </c>
      <c r="J225" s="40"/>
    </row>
    <row r="226" spans="1:10">
      <c r="A226" s="38" t="s">
        <v>1728</v>
      </c>
      <c r="B226" s="38" t="s">
        <v>776</v>
      </c>
      <c r="C226" s="38" t="s">
        <v>33</v>
      </c>
      <c r="D226" s="38">
        <v>27236.79</v>
      </c>
      <c r="E226" s="38">
        <v>4284.8</v>
      </c>
      <c r="F226" s="38">
        <v>15496.82</v>
      </c>
      <c r="G226" s="38">
        <v>10624.94</v>
      </c>
      <c r="H226" s="38">
        <v>5399.83</v>
      </c>
      <c r="I226" s="38" t="s">
        <v>1511</v>
      </c>
      <c r="J226" s="40"/>
    </row>
    <row r="227" spans="1:10">
      <c r="A227" s="33" t="s">
        <v>1729</v>
      </c>
      <c r="B227" s="33" t="s">
        <v>779</v>
      </c>
      <c r="C227" s="33" t="s">
        <v>184</v>
      </c>
      <c r="D227" s="33">
        <v>50186.92</v>
      </c>
      <c r="E227" s="33">
        <v>2000.58</v>
      </c>
      <c r="F227" s="33">
        <v>19080.53</v>
      </c>
      <c r="G227" s="33">
        <v>10124.530000000001</v>
      </c>
      <c r="H227" s="33">
        <v>22982.44</v>
      </c>
      <c r="I227" s="33" t="s">
        <v>1509</v>
      </c>
      <c r="J227" s="40"/>
    </row>
    <row r="228" spans="1:10">
      <c r="A228" s="38" t="s">
        <v>1730</v>
      </c>
      <c r="B228" s="38" t="s">
        <v>781</v>
      </c>
      <c r="C228" s="38" t="s">
        <v>96</v>
      </c>
      <c r="D228" s="38">
        <v>64413.599999999999</v>
      </c>
      <c r="E228" s="38">
        <v>5536.7</v>
      </c>
      <c r="F228" s="38">
        <v>24164.69</v>
      </c>
      <c r="G228" s="38">
        <v>13451.66</v>
      </c>
      <c r="H228" s="38">
        <v>32333.95</v>
      </c>
      <c r="I228" s="38" t="s">
        <v>1502</v>
      </c>
      <c r="J228" s="40"/>
    </row>
    <row r="229" spans="1:10">
      <c r="A229" s="33" t="s">
        <v>1731</v>
      </c>
      <c r="B229" s="33" t="s">
        <v>783</v>
      </c>
      <c r="C229" s="33" t="s">
        <v>74</v>
      </c>
      <c r="D229" s="33">
        <v>0</v>
      </c>
      <c r="E229" s="33">
        <v>0</v>
      </c>
      <c r="F229" s="33">
        <v>25189.52</v>
      </c>
      <c r="G229" s="33">
        <v>4768.3900000000003</v>
      </c>
      <c r="H229" s="33">
        <v>-29957.91</v>
      </c>
      <c r="I229" s="33" t="s">
        <v>1509</v>
      </c>
      <c r="J229" s="40"/>
    </row>
    <row r="230" spans="1:10">
      <c r="A230" s="38" t="s">
        <v>1732</v>
      </c>
      <c r="B230" s="38" t="s">
        <v>785</v>
      </c>
      <c r="C230" s="38" t="s">
        <v>96</v>
      </c>
      <c r="D230" s="38">
        <v>146942.32</v>
      </c>
      <c r="E230" s="38">
        <v>2509.52</v>
      </c>
      <c r="F230" s="38">
        <v>27327.42</v>
      </c>
      <c r="G230" s="38">
        <v>12516.14</v>
      </c>
      <c r="H230" s="38">
        <v>109608.28</v>
      </c>
      <c r="I230" s="38" t="s">
        <v>1509</v>
      </c>
      <c r="J230" s="40"/>
    </row>
    <row r="231" spans="1:10">
      <c r="A231" s="33" t="s">
        <v>1733</v>
      </c>
      <c r="B231" s="33" t="s">
        <v>788</v>
      </c>
      <c r="C231" s="33" t="s">
        <v>39</v>
      </c>
      <c r="D231" s="33">
        <v>88434.17</v>
      </c>
      <c r="E231" s="33">
        <v>7509.77</v>
      </c>
      <c r="F231" s="33">
        <v>30431.53</v>
      </c>
      <c r="G231" s="33">
        <v>2778.46</v>
      </c>
      <c r="H231" s="33">
        <v>62733.95</v>
      </c>
      <c r="I231" s="33" t="s">
        <v>1502</v>
      </c>
      <c r="J231" s="40"/>
    </row>
    <row r="232" spans="1:10">
      <c r="A232" s="38" t="s">
        <v>1734</v>
      </c>
      <c r="B232" s="38" t="s">
        <v>791</v>
      </c>
      <c r="C232" s="38" t="s">
        <v>74</v>
      </c>
      <c r="D232" s="38">
        <v>126428.28</v>
      </c>
      <c r="E232" s="38">
        <v>3232.06</v>
      </c>
      <c r="F232" s="38">
        <v>10171.030000000001</v>
      </c>
      <c r="G232" s="38">
        <v>3956.14</v>
      </c>
      <c r="H232" s="38">
        <v>115533.17</v>
      </c>
      <c r="I232" s="38" t="s">
        <v>1511</v>
      </c>
      <c r="J232" s="40"/>
    </row>
    <row r="233" spans="1:10">
      <c r="A233" s="33" t="s">
        <v>1735</v>
      </c>
      <c r="B233" s="33" t="s">
        <v>793</v>
      </c>
      <c r="C233" s="33" t="s">
        <v>157</v>
      </c>
      <c r="D233" s="33">
        <v>113368.32000000001</v>
      </c>
      <c r="E233" s="33">
        <v>6830.91</v>
      </c>
      <c r="F233" s="33">
        <v>19359.11</v>
      </c>
      <c r="G233" s="33">
        <v>13182.42</v>
      </c>
      <c r="H233" s="33">
        <v>87657.7</v>
      </c>
      <c r="I233" s="33" t="s">
        <v>1504</v>
      </c>
      <c r="J233" s="40"/>
    </row>
    <row r="234" spans="1:10">
      <c r="A234" s="38" t="s">
        <v>1736</v>
      </c>
      <c r="B234" s="38" t="s">
        <v>795</v>
      </c>
      <c r="C234" s="38" t="s">
        <v>67</v>
      </c>
      <c r="D234" s="38">
        <v>29463</v>
      </c>
      <c r="E234" s="38">
        <v>5254.46</v>
      </c>
      <c r="F234" s="38">
        <v>34608.839999999997</v>
      </c>
      <c r="G234" s="38">
        <v>5470.15</v>
      </c>
      <c r="H234" s="38">
        <v>-5361.53</v>
      </c>
      <c r="I234" s="38" t="s">
        <v>1511</v>
      </c>
      <c r="J234" s="40"/>
    </row>
    <row r="235" spans="1:10">
      <c r="A235" s="33" t="s">
        <v>1737</v>
      </c>
      <c r="B235" s="33" t="s">
        <v>797</v>
      </c>
      <c r="C235" s="33" t="s">
        <v>55</v>
      </c>
      <c r="D235" s="33">
        <v>123645.6</v>
      </c>
      <c r="E235" s="33">
        <v>5345.32</v>
      </c>
      <c r="F235" s="33">
        <v>13975.63</v>
      </c>
      <c r="G235" s="33">
        <v>9816.02</v>
      </c>
      <c r="H235" s="33">
        <v>105199.27</v>
      </c>
      <c r="I235" s="33" t="s">
        <v>1509</v>
      </c>
      <c r="J235" s="40"/>
    </row>
    <row r="236" spans="1:10">
      <c r="A236" s="38" t="s">
        <v>1738</v>
      </c>
      <c r="B236" s="38" t="s">
        <v>800</v>
      </c>
      <c r="C236" s="38" t="s">
        <v>157</v>
      </c>
      <c r="D236" s="38">
        <v>16307.84</v>
      </c>
      <c r="E236" s="38">
        <v>2288.63</v>
      </c>
      <c r="F236" s="38">
        <v>10248.68</v>
      </c>
      <c r="G236" s="38">
        <v>2360.15</v>
      </c>
      <c r="H236" s="38">
        <v>5987.64</v>
      </c>
      <c r="I236" s="38" t="s">
        <v>1511</v>
      </c>
      <c r="J236" s="40"/>
    </row>
    <row r="237" spans="1:10">
      <c r="A237" s="33" t="s">
        <v>1739</v>
      </c>
      <c r="B237" s="33" t="s">
        <v>804</v>
      </c>
      <c r="C237" s="33" t="s">
        <v>102</v>
      </c>
      <c r="D237" s="33">
        <v>44499.48</v>
      </c>
      <c r="E237" s="33">
        <v>3981.2</v>
      </c>
      <c r="F237" s="33">
        <v>24593.88</v>
      </c>
      <c r="G237" s="33">
        <v>7669.73</v>
      </c>
      <c r="H237" s="33">
        <v>16217.07</v>
      </c>
      <c r="I237" s="33" t="s">
        <v>1504</v>
      </c>
      <c r="J237" s="40"/>
    </row>
    <row r="238" spans="1:10">
      <c r="A238" s="38" t="s">
        <v>1740</v>
      </c>
      <c r="B238" s="38" t="s">
        <v>808</v>
      </c>
      <c r="C238" s="38" t="s">
        <v>130</v>
      </c>
      <c r="D238" s="38">
        <v>65700.14</v>
      </c>
      <c r="E238" s="38">
        <v>2014.93</v>
      </c>
      <c r="F238" s="38">
        <v>14544.92</v>
      </c>
      <c r="G238" s="38">
        <v>2378.84</v>
      </c>
      <c r="H238" s="38">
        <v>50791.31</v>
      </c>
      <c r="I238" s="38" t="s">
        <v>1511</v>
      </c>
      <c r="J238" s="40"/>
    </row>
    <row r="239" spans="1:10">
      <c r="A239" s="33" t="s">
        <v>1741</v>
      </c>
      <c r="B239" s="33" t="s">
        <v>810</v>
      </c>
      <c r="C239" s="33" t="s">
        <v>175</v>
      </c>
      <c r="D239" s="33">
        <v>44281.440000000002</v>
      </c>
      <c r="E239" s="33">
        <v>5440.03</v>
      </c>
      <c r="F239" s="33">
        <v>11159.48</v>
      </c>
      <c r="G239" s="33">
        <v>13082.77</v>
      </c>
      <c r="H239" s="33">
        <v>25479.22</v>
      </c>
      <c r="I239" s="33" t="s">
        <v>1509</v>
      </c>
      <c r="J239" s="40"/>
    </row>
    <row r="240" spans="1:10">
      <c r="A240" s="38" t="s">
        <v>1742</v>
      </c>
      <c r="B240" s="38" t="s">
        <v>812</v>
      </c>
      <c r="C240" s="38" t="s">
        <v>65</v>
      </c>
      <c r="D240" s="38">
        <v>46317.06</v>
      </c>
      <c r="E240" s="38">
        <v>6366.75</v>
      </c>
      <c r="F240" s="38">
        <v>6936.45</v>
      </c>
      <c r="G240" s="38">
        <v>13654.57</v>
      </c>
      <c r="H240" s="38">
        <v>32092.79</v>
      </c>
      <c r="I240" s="38" t="s">
        <v>1511</v>
      </c>
      <c r="J240" s="40"/>
    </row>
    <row r="241" spans="1:10">
      <c r="A241" s="33" t="s">
        <v>1743</v>
      </c>
      <c r="B241" s="33" t="s">
        <v>813</v>
      </c>
      <c r="C241" s="33" t="s">
        <v>41</v>
      </c>
      <c r="D241" s="33">
        <v>180975.64</v>
      </c>
      <c r="E241" s="33">
        <v>5012</v>
      </c>
      <c r="F241" s="33">
        <v>35351.01</v>
      </c>
      <c r="G241" s="33">
        <v>13707.47</v>
      </c>
      <c r="H241" s="33">
        <v>136929.16</v>
      </c>
      <c r="I241" s="33" t="s">
        <v>1509</v>
      </c>
      <c r="J241" s="40"/>
    </row>
    <row r="242" spans="1:10">
      <c r="A242" s="38" t="s">
        <v>1744</v>
      </c>
      <c r="B242" s="38" t="s">
        <v>816</v>
      </c>
      <c r="C242" s="38" t="s">
        <v>198</v>
      </c>
      <c r="D242" s="38">
        <v>36740.400000000001</v>
      </c>
      <c r="E242" s="38">
        <v>7225.8</v>
      </c>
      <c r="F242" s="38">
        <v>28508.52</v>
      </c>
      <c r="G242" s="38">
        <v>13514.35</v>
      </c>
      <c r="H242" s="38">
        <v>1943.33</v>
      </c>
      <c r="I242" s="38" t="s">
        <v>1509</v>
      </c>
      <c r="J242" s="40"/>
    </row>
    <row r="243" spans="1:10">
      <c r="A243" s="33" t="s">
        <v>1745</v>
      </c>
      <c r="B243" s="33" t="s">
        <v>818</v>
      </c>
      <c r="C243" s="33" t="s">
        <v>175</v>
      </c>
      <c r="D243" s="33">
        <v>114671.79</v>
      </c>
      <c r="E243" s="33">
        <v>7573.72</v>
      </c>
      <c r="F243" s="33">
        <v>30348.21</v>
      </c>
      <c r="G243" s="33">
        <v>3827.28</v>
      </c>
      <c r="H243" s="33">
        <v>88070.02</v>
      </c>
      <c r="I243" s="33" t="s">
        <v>1504</v>
      </c>
      <c r="J243" s="40"/>
    </row>
    <row r="244" spans="1:10">
      <c r="A244" s="38" t="s">
        <v>1746</v>
      </c>
      <c r="B244" s="38" t="s">
        <v>821</v>
      </c>
      <c r="C244" s="38" t="s">
        <v>198</v>
      </c>
      <c r="D244" s="38">
        <v>117345.69</v>
      </c>
      <c r="E244" s="38">
        <v>4782.3</v>
      </c>
      <c r="F244" s="38">
        <v>22508.7</v>
      </c>
      <c r="G244" s="38">
        <v>3568.35</v>
      </c>
      <c r="H244" s="38">
        <v>96050.94</v>
      </c>
      <c r="I244" s="38" t="s">
        <v>1511</v>
      </c>
      <c r="J244" s="40"/>
    </row>
    <row r="245" spans="1:10">
      <c r="A245" s="33" t="s">
        <v>1747</v>
      </c>
      <c r="B245" s="33" t="s">
        <v>823</v>
      </c>
      <c r="C245" s="33" t="s">
        <v>33</v>
      </c>
      <c r="D245" s="33">
        <v>8560.2000000000007</v>
      </c>
      <c r="E245" s="33">
        <v>4223.38</v>
      </c>
      <c r="F245" s="33">
        <v>8158.71</v>
      </c>
      <c r="G245" s="33">
        <v>9797.68</v>
      </c>
      <c r="H245" s="33">
        <v>-5172.8100000000004</v>
      </c>
      <c r="I245" s="33" t="s">
        <v>1511</v>
      </c>
      <c r="J245" s="40"/>
    </row>
    <row r="246" spans="1:10">
      <c r="A246" s="38" t="s">
        <v>1748</v>
      </c>
      <c r="B246" s="38" t="s">
        <v>826</v>
      </c>
      <c r="C246" s="38" t="s">
        <v>117</v>
      </c>
      <c r="D246" s="38">
        <v>57880.75</v>
      </c>
      <c r="E246" s="38">
        <v>2969.64</v>
      </c>
      <c r="F246" s="38">
        <v>25451.42</v>
      </c>
      <c r="G246" s="38">
        <v>7069.36</v>
      </c>
      <c r="H246" s="38">
        <v>28329.61</v>
      </c>
      <c r="I246" s="38" t="s">
        <v>1502</v>
      </c>
      <c r="J246" s="40"/>
    </row>
    <row r="247" spans="1:10">
      <c r="A247" s="33" t="s">
        <v>1749</v>
      </c>
      <c r="B247" s="33" t="s">
        <v>829</v>
      </c>
      <c r="C247" s="33" t="s">
        <v>102</v>
      </c>
      <c r="D247" s="33">
        <v>200049.34</v>
      </c>
      <c r="E247" s="33">
        <v>7516.25</v>
      </c>
      <c r="F247" s="33">
        <v>12630.29</v>
      </c>
      <c r="G247" s="33">
        <v>3388.58</v>
      </c>
      <c r="H247" s="33">
        <v>191546.72</v>
      </c>
      <c r="I247" s="33" t="s">
        <v>1502</v>
      </c>
      <c r="J247" s="40"/>
    </row>
    <row r="248" spans="1:10">
      <c r="A248" s="38" t="s">
        <v>1750</v>
      </c>
      <c r="B248" s="38" t="s">
        <v>830</v>
      </c>
      <c r="C248" s="38" t="s">
        <v>57</v>
      </c>
      <c r="D248" s="38">
        <v>71982.38</v>
      </c>
      <c r="E248" s="38">
        <v>7774.43</v>
      </c>
      <c r="F248" s="38">
        <v>20381.64</v>
      </c>
      <c r="G248" s="38">
        <v>5305.98</v>
      </c>
      <c r="H248" s="38">
        <v>54069.19</v>
      </c>
      <c r="I248" s="38" t="s">
        <v>1504</v>
      </c>
      <c r="J248" s="40"/>
    </row>
    <row r="249" spans="1:10">
      <c r="A249" s="33" t="s">
        <v>1751</v>
      </c>
      <c r="B249" s="33" t="s">
        <v>833</v>
      </c>
      <c r="C249" s="33" t="s">
        <v>39</v>
      </c>
      <c r="D249" s="33">
        <v>61316.160000000003</v>
      </c>
      <c r="E249" s="33">
        <v>4177.6899999999996</v>
      </c>
      <c r="F249" s="33">
        <v>18114.669999999998</v>
      </c>
      <c r="G249" s="33">
        <v>14333.24</v>
      </c>
      <c r="H249" s="33">
        <v>33045.94</v>
      </c>
      <c r="I249" s="33" t="s">
        <v>1511</v>
      </c>
      <c r="J249" s="40"/>
    </row>
    <row r="250" spans="1:10">
      <c r="A250" s="38" t="s">
        <v>1752</v>
      </c>
      <c r="B250" s="38" t="s">
        <v>835</v>
      </c>
      <c r="C250" s="38" t="s">
        <v>130</v>
      </c>
      <c r="D250" s="38">
        <v>140911.20000000001</v>
      </c>
      <c r="E250" s="38">
        <v>4593.09</v>
      </c>
      <c r="F250" s="38">
        <v>21619.89</v>
      </c>
      <c r="G250" s="38">
        <v>5202.51</v>
      </c>
      <c r="H250" s="38">
        <v>118681.89</v>
      </c>
      <c r="I250" s="38" t="s">
        <v>1511</v>
      </c>
      <c r="J250" s="40"/>
    </row>
    <row r="251" spans="1:10">
      <c r="A251" s="33" t="s">
        <v>1753</v>
      </c>
      <c r="B251" s="33" t="s">
        <v>837</v>
      </c>
      <c r="C251" s="33" t="s">
        <v>65</v>
      </c>
      <c r="D251" s="33">
        <v>17462.12</v>
      </c>
      <c r="E251" s="33">
        <v>7095.75</v>
      </c>
      <c r="F251" s="33">
        <v>37794.03</v>
      </c>
      <c r="G251" s="33">
        <v>6718.97</v>
      </c>
      <c r="H251" s="33">
        <v>-19955.13</v>
      </c>
      <c r="I251" s="33" t="s">
        <v>1511</v>
      </c>
      <c r="J251" s="40"/>
    </row>
    <row r="252" spans="1:10">
      <c r="A252" s="38" t="s">
        <v>1754</v>
      </c>
      <c r="B252" s="38" t="s">
        <v>840</v>
      </c>
      <c r="C252" s="38" t="s">
        <v>80</v>
      </c>
      <c r="D252" s="38">
        <v>151728.57</v>
      </c>
      <c r="E252" s="38">
        <v>6660.24</v>
      </c>
      <c r="F252" s="38">
        <v>5737.6</v>
      </c>
      <c r="G252" s="38">
        <v>14568.47</v>
      </c>
      <c r="H252" s="38">
        <v>138082.74</v>
      </c>
      <c r="I252" s="38" t="s">
        <v>1504</v>
      </c>
      <c r="J252" s="40"/>
    </row>
    <row r="253" spans="1:10">
      <c r="A253" s="33" t="s">
        <v>1755</v>
      </c>
      <c r="B253" s="33" t="s">
        <v>843</v>
      </c>
      <c r="C253" s="33" t="s">
        <v>130</v>
      </c>
      <c r="D253" s="33">
        <v>16243.48</v>
      </c>
      <c r="E253" s="33">
        <v>6811.05</v>
      </c>
      <c r="F253" s="33">
        <v>28177.82</v>
      </c>
      <c r="G253" s="33">
        <v>14231.03</v>
      </c>
      <c r="H253" s="33">
        <v>-19354.32</v>
      </c>
      <c r="I253" s="33" t="s">
        <v>1502</v>
      </c>
      <c r="J253" s="40"/>
    </row>
    <row r="254" spans="1:10">
      <c r="A254" s="38" t="s">
        <v>1756</v>
      </c>
      <c r="B254" s="38" t="s">
        <v>845</v>
      </c>
      <c r="C254" s="38" t="s">
        <v>67</v>
      </c>
      <c r="D254" s="38">
        <v>12902.75</v>
      </c>
      <c r="E254" s="38">
        <v>2397.37</v>
      </c>
      <c r="F254" s="38">
        <v>18464.16</v>
      </c>
      <c r="G254" s="38">
        <v>10306.34</v>
      </c>
      <c r="H254" s="38">
        <v>-13470.38</v>
      </c>
      <c r="I254" s="38" t="s">
        <v>1511</v>
      </c>
      <c r="J254" s="40"/>
    </row>
    <row r="255" spans="1:10">
      <c r="A255" s="33" t="s">
        <v>1757</v>
      </c>
      <c r="B255" s="33" t="s">
        <v>847</v>
      </c>
      <c r="C255" s="33" t="s">
        <v>41</v>
      </c>
      <c r="D255" s="33">
        <v>0</v>
      </c>
      <c r="E255" s="33">
        <v>0</v>
      </c>
      <c r="F255" s="33">
        <v>36610.5</v>
      </c>
      <c r="G255" s="33">
        <v>10908.23</v>
      </c>
      <c r="H255" s="33">
        <v>-47518.73</v>
      </c>
      <c r="I255" s="33" t="s">
        <v>1502</v>
      </c>
      <c r="J255" s="40"/>
    </row>
    <row r="256" spans="1:10">
      <c r="A256" s="38" t="s">
        <v>1758</v>
      </c>
      <c r="B256" s="38" t="s">
        <v>850</v>
      </c>
      <c r="C256" s="38" t="s">
        <v>33</v>
      </c>
      <c r="D256" s="38">
        <v>192510</v>
      </c>
      <c r="E256" s="38">
        <v>6932.35</v>
      </c>
      <c r="F256" s="38">
        <v>18596.490000000002</v>
      </c>
      <c r="G256" s="38">
        <v>13827.26</v>
      </c>
      <c r="H256" s="38">
        <v>167018.6</v>
      </c>
      <c r="I256" s="38" t="s">
        <v>1509</v>
      </c>
      <c r="J256" s="40"/>
    </row>
    <row r="257" spans="1:10">
      <c r="A257" s="33" t="s">
        <v>1759</v>
      </c>
      <c r="B257" s="33" t="s">
        <v>853</v>
      </c>
      <c r="C257" s="33" t="s">
        <v>130</v>
      </c>
      <c r="D257" s="33">
        <v>58204.04</v>
      </c>
      <c r="E257" s="33">
        <v>7456.31</v>
      </c>
      <c r="F257" s="33">
        <v>37127.43</v>
      </c>
      <c r="G257" s="33">
        <v>5911.55</v>
      </c>
      <c r="H257" s="33">
        <v>22621.37</v>
      </c>
      <c r="I257" s="33" t="s">
        <v>1502</v>
      </c>
      <c r="J257" s="40"/>
    </row>
    <row r="258" spans="1:10">
      <c r="A258" s="38" t="s">
        <v>1760</v>
      </c>
      <c r="B258" s="38" t="s">
        <v>857</v>
      </c>
      <c r="C258" s="38" t="s">
        <v>55</v>
      </c>
      <c r="D258" s="38">
        <v>17200.05</v>
      </c>
      <c r="E258" s="38">
        <v>2730.67</v>
      </c>
      <c r="F258" s="38">
        <v>35079.589999999997</v>
      </c>
      <c r="G258" s="38">
        <v>4082.95</v>
      </c>
      <c r="H258" s="38">
        <v>-19231.82</v>
      </c>
      <c r="I258" s="38" t="s">
        <v>1509</v>
      </c>
      <c r="J258" s="40"/>
    </row>
    <row r="259" spans="1:10">
      <c r="A259" s="33" t="s">
        <v>1761</v>
      </c>
      <c r="B259" s="33" t="s">
        <v>860</v>
      </c>
      <c r="C259" s="33" t="s">
        <v>22</v>
      </c>
      <c r="D259" s="33">
        <v>58842.27</v>
      </c>
      <c r="E259" s="33">
        <v>5235.1499999999996</v>
      </c>
      <c r="F259" s="33">
        <v>35781.35</v>
      </c>
      <c r="G259" s="33">
        <v>11967.63</v>
      </c>
      <c r="H259" s="33">
        <v>16328.44</v>
      </c>
      <c r="I259" s="33" t="s">
        <v>1509</v>
      </c>
      <c r="J259" s="40"/>
    </row>
    <row r="260" spans="1:10">
      <c r="A260" s="38" t="s">
        <v>1762</v>
      </c>
      <c r="B260" s="38" t="s">
        <v>863</v>
      </c>
      <c r="C260" s="38" t="s">
        <v>198</v>
      </c>
      <c r="D260" s="38">
        <v>33575.879999999997</v>
      </c>
      <c r="E260" s="38">
        <v>6419.88</v>
      </c>
      <c r="F260" s="38">
        <v>14591.28</v>
      </c>
      <c r="G260" s="38">
        <v>3041.23</v>
      </c>
      <c r="H260" s="38">
        <v>22363.25</v>
      </c>
      <c r="I260" s="38" t="s">
        <v>1509</v>
      </c>
      <c r="J260" s="40"/>
    </row>
    <row r="261" spans="1:10">
      <c r="A261" s="33" t="s">
        <v>1763</v>
      </c>
      <c r="B261" s="33" t="s">
        <v>866</v>
      </c>
      <c r="C261" s="33" t="s">
        <v>198</v>
      </c>
      <c r="D261" s="33">
        <v>7635.37</v>
      </c>
      <c r="E261" s="33">
        <v>4033.18</v>
      </c>
      <c r="F261" s="33">
        <v>19453.650000000001</v>
      </c>
      <c r="G261" s="33">
        <v>12935.13</v>
      </c>
      <c r="H261" s="33">
        <v>-20720.23</v>
      </c>
      <c r="I261" s="33" t="s">
        <v>1509</v>
      </c>
      <c r="J261" s="40"/>
    </row>
    <row r="262" spans="1:10">
      <c r="A262" s="38" t="s">
        <v>1764</v>
      </c>
      <c r="B262" s="38" t="s">
        <v>868</v>
      </c>
      <c r="C262" s="38" t="s">
        <v>96</v>
      </c>
      <c r="D262" s="38">
        <v>43565.54</v>
      </c>
      <c r="E262" s="38">
        <v>7075.71</v>
      </c>
      <c r="F262" s="38">
        <v>33708.449999999997</v>
      </c>
      <c r="G262" s="38">
        <v>12717.21</v>
      </c>
      <c r="H262" s="38">
        <v>4215.59</v>
      </c>
      <c r="I262" s="38" t="s">
        <v>1511</v>
      </c>
      <c r="J262" s="40"/>
    </row>
    <row r="263" spans="1:10">
      <c r="A263" s="33" t="s">
        <v>1765</v>
      </c>
      <c r="B263" s="33" t="s">
        <v>871</v>
      </c>
      <c r="C263" s="33" t="s">
        <v>175</v>
      </c>
      <c r="D263" s="33">
        <v>46212.63</v>
      </c>
      <c r="E263" s="33">
        <v>4297.51</v>
      </c>
      <c r="F263" s="33">
        <v>17314.97</v>
      </c>
      <c r="G263" s="33">
        <v>9827.51</v>
      </c>
      <c r="H263" s="33">
        <v>23367.66</v>
      </c>
      <c r="I263" s="33" t="s">
        <v>1511</v>
      </c>
      <c r="J263" s="40"/>
    </row>
    <row r="264" spans="1:10">
      <c r="A264" s="38" t="s">
        <v>1766</v>
      </c>
      <c r="B264" s="38" t="s">
        <v>874</v>
      </c>
      <c r="C264" s="38" t="s">
        <v>175</v>
      </c>
      <c r="D264" s="38">
        <v>0</v>
      </c>
      <c r="E264" s="38">
        <v>0</v>
      </c>
      <c r="F264" s="38">
        <v>20864.16</v>
      </c>
      <c r="G264" s="38">
        <v>2355.56</v>
      </c>
      <c r="H264" s="38">
        <v>-23219.72</v>
      </c>
      <c r="I264" s="38" t="s">
        <v>1504</v>
      </c>
      <c r="J264" s="40"/>
    </row>
    <row r="265" spans="1:10">
      <c r="A265" s="33" t="s">
        <v>1767</v>
      </c>
      <c r="B265" s="33" t="s">
        <v>877</v>
      </c>
      <c r="C265" s="33" t="s">
        <v>74</v>
      </c>
      <c r="D265" s="33">
        <v>48322.7</v>
      </c>
      <c r="E265" s="33">
        <v>5310.3</v>
      </c>
      <c r="F265" s="33">
        <v>11430.89</v>
      </c>
      <c r="G265" s="33">
        <v>7764.26</v>
      </c>
      <c r="H265" s="33">
        <v>34437.85</v>
      </c>
      <c r="I265" s="33" t="s">
        <v>1502</v>
      </c>
      <c r="J265" s="40"/>
    </row>
    <row r="266" spans="1:10">
      <c r="A266" s="38" t="s">
        <v>1768</v>
      </c>
      <c r="B266" s="38" t="s">
        <v>879</v>
      </c>
      <c r="C266" s="38" t="s">
        <v>22</v>
      </c>
      <c r="D266" s="38">
        <v>87124.13</v>
      </c>
      <c r="E266" s="38">
        <v>523.07000000000005</v>
      </c>
      <c r="F266" s="38">
        <v>12002.64</v>
      </c>
      <c r="G266" s="38">
        <v>5972.12</v>
      </c>
      <c r="H266" s="38">
        <v>69672.44</v>
      </c>
      <c r="I266" s="38" t="s">
        <v>1504</v>
      </c>
      <c r="J266" s="40"/>
    </row>
    <row r="267" spans="1:10">
      <c r="A267" s="33" t="s">
        <v>1769</v>
      </c>
      <c r="B267" s="33" t="s">
        <v>882</v>
      </c>
      <c r="C267" s="33" t="s">
        <v>55</v>
      </c>
      <c r="D267" s="33">
        <v>0</v>
      </c>
      <c r="E267" s="33">
        <v>0</v>
      </c>
      <c r="F267" s="33">
        <v>8878.99</v>
      </c>
      <c r="G267" s="33">
        <v>5244.85</v>
      </c>
      <c r="H267" s="33">
        <v>-14123.84</v>
      </c>
      <c r="I267" s="33" t="s">
        <v>1502</v>
      </c>
      <c r="J267" s="40"/>
    </row>
    <row r="268" spans="1:10">
      <c r="A268" s="38" t="s">
        <v>1770</v>
      </c>
      <c r="B268" s="38" t="s">
        <v>885</v>
      </c>
      <c r="C268" s="38" t="s">
        <v>65</v>
      </c>
      <c r="D268" s="38">
        <v>46915.64</v>
      </c>
      <c r="E268" s="38">
        <v>6852.2</v>
      </c>
      <c r="F268" s="38">
        <v>29001.37</v>
      </c>
      <c r="G268" s="38">
        <v>12304.35</v>
      </c>
      <c r="H268" s="38">
        <v>12462.12</v>
      </c>
      <c r="I268" s="38" t="s">
        <v>1511</v>
      </c>
      <c r="J268" s="40"/>
    </row>
    <row r="269" spans="1:10">
      <c r="A269" s="33" t="s">
        <v>1771</v>
      </c>
      <c r="B269" s="33" t="s">
        <v>888</v>
      </c>
      <c r="C269" s="33" t="s">
        <v>22</v>
      </c>
      <c r="D269" s="33">
        <v>156895.24</v>
      </c>
      <c r="E269" s="33">
        <v>3886.17</v>
      </c>
      <c r="F269" s="33">
        <v>35572.699999999997</v>
      </c>
      <c r="G269" s="33">
        <v>3735.63</v>
      </c>
      <c r="H269" s="33">
        <v>121473.08</v>
      </c>
      <c r="I269" s="33" t="s">
        <v>1502</v>
      </c>
      <c r="J269" s="40"/>
    </row>
    <row r="270" spans="1:10">
      <c r="A270" s="38" t="s">
        <v>1772</v>
      </c>
      <c r="B270" s="38" t="s">
        <v>891</v>
      </c>
      <c r="C270" s="38" t="s">
        <v>24</v>
      </c>
      <c r="D270" s="38">
        <v>80371.02</v>
      </c>
      <c r="E270" s="38">
        <v>5656</v>
      </c>
      <c r="F270" s="38">
        <v>33936.9</v>
      </c>
      <c r="G270" s="38">
        <v>12393.87</v>
      </c>
      <c r="H270" s="38">
        <v>39696.25</v>
      </c>
      <c r="I270" s="38" t="s">
        <v>1502</v>
      </c>
      <c r="J270" s="40"/>
    </row>
    <row r="271" spans="1:10">
      <c r="A271" s="33" t="s">
        <v>1773</v>
      </c>
      <c r="B271" s="33" t="s">
        <v>893</v>
      </c>
      <c r="C271" s="33" t="s">
        <v>74</v>
      </c>
      <c r="D271" s="33">
        <v>15560.04</v>
      </c>
      <c r="E271" s="33">
        <v>1132.99</v>
      </c>
      <c r="F271" s="33">
        <v>17865.98</v>
      </c>
      <c r="G271" s="33">
        <v>7115.42</v>
      </c>
      <c r="H271" s="33">
        <v>-8288.3700000000008</v>
      </c>
      <c r="I271" s="33" t="s">
        <v>1509</v>
      </c>
      <c r="J271" s="40"/>
    </row>
    <row r="272" spans="1:10">
      <c r="A272" s="38" t="s">
        <v>1774</v>
      </c>
      <c r="B272" s="38" t="s">
        <v>895</v>
      </c>
      <c r="C272" s="38" t="s">
        <v>175</v>
      </c>
      <c r="D272" s="38">
        <v>45914.44</v>
      </c>
      <c r="E272" s="38">
        <v>7585.68</v>
      </c>
      <c r="F272" s="38">
        <v>35951.949999999997</v>
      </c>
      <c r="G272" s="38">
        <v>4918.33</v>
      </c>
      <c r="H272" s="38">
        <v>12629.84</v>
      </c>
      <c r="I272" s="38" t="s">
        <v>1504</v>
      </c>
      <c r="J272" s="40"/>
    </row>
    <row r="273" spans="1:10">
      <c r="A273" s="33" t="s">
        <v>1775</v>
      </c>
      <c r="B273" s="33" t="s">
        <v>896</v>
      </c>
      <c r="C273" s="33" t="s">
        <v>117</v>
      </c>
      <c r="D273" s="33">
        <v>97196.88</v>
      </c>
      <c r="E273" s="33">
        <v>7423.34</v>
      </c>
      <c r="F273" s="33">
        <v>27648.73</v>
      </c>
      <c r="G273" s="33">
        <v>10146.16</v>
      </c>
      <c r="H273" s="33">
        <v>66825.33</v>
      </c>
      <c r="I273" s="33" t="s">
        <v>1504</v>
      </c>
      <c r="J273" s="40"/>
    </row>
    <row r="274" spans="1:10">
      <c r="A274" s="38" t="s">
        <v>1776</v>
      </c>
      <c r="B274" s="38" t="s">
        <v>897</v>
      </c>
      <c r="C274" s="38" t="s">
        <v>80</v>
      </c>
      <c r="D274" s="38">
        <v>124023.75</v>
      </c>
      <c r="E274" s="38">
        <v>7805.96</v>
      </c>
      <c r="F274" s="38">
        <v>11939.32</v>
      </c>
      <c r="G274" s="38">
        <v>11116.4</v>
      </c>
      <c r="H274" s="38">
        <v>108773.99</v>
      </c>
      <c r="I274" s="38" t="s">
        <v>1502</v>
      </c>
      <c r="J274" s="40"/>
    </row>
    <row r="275" spans="1:10">
      <c r="A275" s="33" t="s">
        <v>1777</v>
      </c>
      <c r="B275" s="33" t="s">
        <v>900</v>
      </c>
      <c r="C275" s="33" t="s">
        <v>74</v>
      </c>
      <c r="D275" s="33">
        <v>242105.60000000001</v>
      </c>
      <c r="E275" s="33">
        <v>873.37</v>
      </c>
      <c r="F275" s="33">
        <v>26630.14</v>
      </c>
      <c r="G275" s="33">
        <v>9805.11</v>
      </c>
      <c r="H275" s="33">
        <v>206543.72</v>
      </c>
      <c r="I275" s="33" t="s">
        <v>1502</v>
      </c>
      <c r="J275" s="40"/>
    </row>
    <row r="276" spans="1:10">
      <c r="A276" s="38" t="s">
        <v>1778</v>
      </c>
      <c r="B276" s="38" t="s">
        <v>903</v>
      </c>
      <c r="C276" s="38" t="s">
        <v>65</v>
      </c>
      <c r="D276" s="38">
        <v>46633.599999999999</v>
      </c>
      <c r="E276" s="38">
        <v>1167.96</v>
      </c>
      <c r="F276" s="38">
        <v>17877.21</v>
      </c>
      <c r="G276" s="38">
        <v>14314.17</v>
      </c>
      <c r="H276" s="38">
        <v>15610.18</v>
      </c>
      <c r="I276" s="38" t="s">
        <v>1504</v>
      </c>
      <c r="J276" s="40"/>
    </row>
    <row r="277" spans="1:10">
      <c r="A277" s="33" t="s">
        <v>1779</v>
      </c>
      <c r="B277" s="33" t="s">
        <v>906</v>
      </c>
      <c r="C277" s="33" t="s">
        <v>65</v>
      </c>
      <c r="D277" s="33">
        <v>77059.350000000006</v>
      </c>
      <c r="E277" s="33">
        <v>605.86</v>
      </c>
      <c r="F277" s="33">
        <v>23404.32</v>
      </c>
      <c r="G277" s="33">
        <v>12053.67</v>
      </c>
      <c r="H277" s="33">
        <v>42207.22</v>
      </c>
      <c r="I277" s="33" t="s">
        <v>1509</v>
      </c>
      <c r="J277" s="40"/>
    </row>
    <row r="278" spans="1:10">
      <c r="A278" s="38" t="s">
        <v>1780</v>
      </c>
      <c r="B278" s="38" t="s">
        <v>908</v>
      </c>
      <c r="C278" s="38" t="s">
        <v>33</v>
      </c>
      <c r="D278" s="38">
        <v>99427.61</v>
      </c>
      <c r="E278" s="38">
        <v>6704.43</v>
      </c>
      <c r="F278" s="38">
        <v>22295.22</v>
      </c>
      <c r="G278" s="38">
        <v>4918.29</v>
      </c>
      <c r="H278" s="38">
        <v>78918.53</v>
      </c>
      <c r="I278" s="38" t="s">
        <v>1502</v>
      </c>
      <c r="J278" s="40"/>
    </row>
    <row r="279" spans="1:10">
      <c r="A279" s="33" t="s">
        <v>1781</v>
      </c>
      <c r="B279" s="33" t="s">
        <v>911</v>
      </c>
      <c r="C279" s="33" t="s">
        <v>175</v>
      </c>
      <c r="D279" s="33">
        <v>15960.68</v>
      </c>
      <c r="E279" s="33">
        <v>1929.08</v>
      </c>
      <c r="F279" s="33">
        <v>35167.79</v>
      </c>
      <c r="G279" s="33">
        <v>12167.59</v>
      </c>
      <c r="H279" s="33">
        <v>-29445.62</v>
      </c>
      <c r="I279" s="33" t="s">
        <v>1511</v>
      </c>
      <c r="J279" s="40"/>
    </row>
    <row r="280" spans="1:10">
      <c r="A280" s="38" t="s">
        <v>1782</v>
      </c>
      <c r="B280" s="38" t="s">
        <v>913</v>
      </c>
      <c r="C280" s="38" t="s">
        <v>49</v>
      </c>
      <c r="D280" s="38">
        <v>14828.8</v>
      </c>
      <c r="E280" s="38">
        <v>6098.32</v>
      </c>
      <c r="F280" s="38">
        <v>18372.57</v>
      </c>
      <c r="G280" s="38">
        <v>7607.01</v>
      </c>
      <c r="H280" s="38">
        <v>-5052.46</v>
      </c>
      <c r="I280" s="38" t="s">
        <v>1502</v>
      </c>
      <c r="J280" s="40"/>
    </row>
    <row r="281" spans="1:10">
      <c r="A281" s="33" t="s">
        <v>1783</v>
      </c>
      <c r="B281" s="33" t="s">
        <v>916</v>
      </c>
      <c r="C281" s="33" t="s">
        <v>130</v>
      </c>
      <c r="D281" s="33">
        <v>30981.75</v>
      </c>
      <c r="E281" s="33">
        <v>5000.62</v>
      </c>
      <c r="F281" s="33">
        <v>39832.26</v>
      </c>
      <c r="G281" s="33">
        <v>5678.57</v>
      </c>
      <c r="H281" s="33">
        <v>-9528.4599999999991</v>
      </c>
      <c r="I281" s="33" t="s">
        <v>1502</v>
      </c>
      <c r="J281" s="40"/>
    </row>
    <row r="282" spans="1:10">
      <c r="A282" s="38" t="s">
        <v>1784</v>
      </c>
      <c r="B282" s="38" t="s">
        <v>919</v>
      </c>
      <c r="C282" s="38" t="s">
        <v>57</v>
      </c>
      <c r="D282" s="38">
        <v>172474.72</v>
      </c>
      <c r="E282" s="38">
        <v>3637.48</v>
      </c>
      <c r="F282" s="38"/>
      <c r="G282" s="38">
        <v>3897.26</v>
      </c>
      <c r="H282" s="38">
        <v>152916.6</v>
      </c>
      <c r="I282" s="38" t="s">
        <v>1511</v>
      </c>
      <c r="J282" s="40"/>
    </row>
    <row r="283" spans="1:10">
      <c r="A283" s="33" t="s">
        <v>1785</v>
      </c>
      <c r="B283" s="33" t="s">
        <v>921</v>
      </c>
      <c r="C283" s="33" t="s">
        <v>39</v>
      </c>
      <c r="D283" s="33">
        <v>210034.14</v>
      </c>
      <c r="E283" s="33">
        <v>7820.96</v>
      </c>
      <c r="F283" s="33">
        <v>13242</v>
      </c>
      <c r="G283" s="33">
        <v>7862.7</v>
      </c>
      <c r="H283" s="33">
        <v>196750.4</v>
      </c>
      <c r="I283" s="33" t="s">
        <v>1502</v>
      </c>
      <c r="J283" s="40"/>
    </row>
    <row r="284" spans="1:10">
      <c r="A284" s="38" t="s">
        <v>1786</v>
      </c>
      <c r="B284" s="38" t="s">
        <v>923</v>
      </c>
      <c r="C284" s="38" t="s">
        <v>65</v>
      </c>
      <c r="D284" s="38">
        <v>29241.42</v>
      </c>
      <c r="E284" s="38">
        <v>3272.28</v>
      </c>
      <c r="F284" s="38">
        <v>28949.35</v>
      </c>
      <c r="G284" s="38">
        <v>7956.13</v>
      </c>
      <c r="H284" s="38">
        <v>-4391.78</v>
      </c>
      <c r="I284" s="38" t="s">
        <v>1504</v>
      </c>
      <c r="J284" s="40"/>
    </row>
    <row r="285" spans="1:10">
      <c r="A285" s="33" t="s">
        <v>1787</v>
      </c>
      <c r="B285" s="33" t="s">
        <v>926</v>
      </c>
      <c r="C285" s="33" t="s">
        <v>198</v>
      </c>
      <c r="D285" s="33">
        <v>140062.79999999999</v>
      </c>
      <c r="E285" s="33">
        <v>4016.61</v>
      </c>
      <c r="F285" s="33">
        <v>35500.519999999997</v>
      </c>
      <c r="G285" s="33">
        <v>14667.19</v>
      </c>
      <c r="H285" s="33">
        <v>93911.7</v>
      </c>
      <c r="I285" s="33" t="s">
        <v>1509</v>
      </c>
      <c r="J285" s="40"/>
    </row>
    <row r="286" spans="1:10">
      <c r="A286" s="38" t="s">
        <v>1788</v>
      </c>
      <c r="B286" s="38" t="s">
        <v>929</v>
      </c>
      <c r="C286" s="38" t="s">
        <v>33</v>
      </c>
      <c r="D286" s="38">
        <v>13811.26</v>
      </c>
      <c r="E286" s="38">
        <v>5651.39</v>
      </c>
      <c r="F286" s="38">
        <v>29966.76</v>
      </c>
      <c r="G286" s="38">
        <v>11209.89</v>
      </c>
      <c r="H286" s="38">
        <v>-21714</v>
      </c>
      <c r="I286" s="38" t="s">
        <v>1511</v>
      </c>
      <c r="J286" s="40"/>
    </row>
    <row r="287" spans="1:10">
      <c r="A287" s="33" t="s">
        <v>1789</v>
      </c>
      <c r="B287" s="33" t="s">
        <v>932</v>
      </c>
      <c r="C287" s="33" t="s">
        <v>198</v>
      </c>
      <c r="D287" s="33">
        <v>23239.65</v>
      </c>
      <c r="E287" s="33">
        <v>1047.92</v>
      </c>
      <c r="F287" s="33">
        <v>24495</v>
      </c>
      <c r="G287" s="33">
        <v>2677.46</v>
      </c>
      <c r="H287" s="33">
        <v>-2884.89</v>
      </c>
      <c r="I287" s="33" t="s">
        <v>1502</v>
      </c>
      <c r="J287" s="40"/>
    </row>
    <row r="288" spans="1:10">
      <c r="A288" s="38" t="s">
        <v>1790</v>
      </c>
      <c r="B288" s="38" t="s">
        <v>935</v>
      </c>
      <c r="C288" s="38" t="s">
        <v>157</v>
      </c>
      <c r="D288" s="38">
        <v>116616.1</v>
      </c>
      <c r="E288" s="38">
        <v>4031.99</v>
      </c>
      <c r="F288" s="38">
        <v>17400.560000000001</v>
      </c>
      <c r="G288" s="38">
        <v>9882.8700000000008</v>
      </c>
      <c r="H288" s="38">
        <v>93364.66</v>
      </c>
      <c r="I288" s="38" t="s">
        <v>1504</v>
      </c>
      <c r="J288" s="40"/>
    </row>
    <row r="289" spans="1:10">
      <c r="A289" s="33" t="s">
        <v>1791</v>
      </c>
      <c r="B289" s="33" t="s">
        <v>938</v>
      </c>
      <c r="C289" s="33" t="s">
        <v>198</v>
      </c>
      <c r="D289" s="33">
        <v>76190.399999999994</v>
      </c>
      <c r="E289" s="33">
        <v>540.21</v>
      </c>
      <c r="F289" s="33">
        <v>22658.97</v>
      </c>
      <c r="G289" s="33">
        <v>6952.19</v>
      </c>
      <c r="H289" s="33">
        <v>47119.45</v>
      </c>
      <c r="I289" s="33" t="s">
        <v>1509</v>
      </c>
      <c r="J289" s="40"/>
    </row>
    <row r="290" spans="1:10">
      <c r="A290" s="38" t="s">
        <v>1792</v>
      </c>
      <c r="B290" s="38" t="s">
        <v>941</v>
      </c>
      <c r="C290" s="38" t="s">
        <v>33</v>
      </c>
      <c r="D290" s="38">
        <v>36807.15</v>
      </c>
      <c r="E290" s="38">
        <v>5534.47</v>
      </c>
      <c r="F290" s="38">
        <v>9628.34</v>
      </c>
      <c r="G290" s="38">
        <v>13598.94</v>
      </c>
      <c r="H290" s="38">
        <v>19114.34</v>
      </c>
      <c r="I290" s="38" t="s">
        <v>1504</v>
      </c>
      <c r="J290" s="40"/>
    </row>
    <row r="291" spans="1:10">
      <c r="A291" s="33" t="s">
        <v>1793</v>
      </c>
      <c r="B291" s="33" t="s">
        <v>943</v>
      </c>
      <c r="C291" s="33" t="s">
        <v>49</v>
      </c>
      <c r="D291" s="33">
        <v>25284.27</v>
      </c>
      <c r="E291" s="33">
        <v>4853.6499999999996</v>
      </c>
      <c r="F291" s="33">
        <v>14110.21</v>
      </c>
      <c r="G291" s="33">
        <v>8548.7099999999991</v>
      </c>
      <c r="H291" s="33">
        <v>7479</v>
      </c>
      <c r="I291" s="33" t="s">
        <v>1511</v>
      </c>
      <c r="J291" s="40"/>
    </row>
    <row r="292" spans="1:10">
      <c r="A292" s="38" t="s">
        <v>1794</v>
      </c>
      <c r="B292" s="38" t="s">
        <v>946</v>
      </c>
      <c r="C292" s="38" t="s">
        <v>96</v>
      </c>
      <c r="D292" s="38">
        <v>54983.28</v>
      </c>
      <c r="E292" s="38">
        <v>7084.23</v>
      </c>
      <c r="F292" s="38">
        <v>9617.18</v>
      </c>
      <c r="G292" s="38">
        <v>6125.13</v>
      </c>
      <c r="H292" s="38">
        <v>46325.2</v>
      </c>
      <c r="I292" s="38" t="s">
        <v>1509</v>
      </c>
      <c r="J292" s="40"/>
    </row>
    <row r="293" spans="1:10">
      <c r="A293" s="33" t="s">
        <v>1795</v>
      </c>
      <c r="B293" s="33" t="s">
        <v>948</v>
      </c>
      <c r="C293" s="33" t="s">
        <v>184</v>
      </c>
      <c r="D293" s="33">
        <v>72589.14</v>
      </c>
      <c r="E293" s="33">
        <v>1563.47</v>
      </c>
      <c r="F293" s="33">
        <v>9089.4699999999993</v>
      </c>
      <c r="G293" s="33">
        <v>2574.11</v>
      </c>
      <c r="H293" s="33">
        <v>62489.03</v>
      </c>
      <c r="I293" s="33" t="s">
        <v>1502</v>
      </c>
      <c r="J293" s="40"/>
    </row>
    <row r="294" spans="1:10">
      <c r="A294" s="38" t="s">
        <v>1796</v>
      </c>
      <c r="B294" s="38" t="s">
        <v>951</v>
      </c>
      <c r="C294" s="38" t="s">
        <v>96</v>
      </c>
      <c r="D294" s="38">
        <v>17087.84</v>
      </c>
      <c r="E294" s="38">
        <v>4244.08</v>
      </c>
      <c r="F294" s="38">
        <v>39068</v>
      </c>
      <c r="G294" s="38">
        <v>5653.01</v>
      </c>
      <c r="H294" s="38">
        <v>-23389.09</v>
      </c>
      <c r="I294" s="38" t="s">
        <v>1511</v>
      </c>
      <c r="J294" s="40"/>
    </row>
    <row r="295" spans="1:10">
      <c r="A295" s="33" t="s">
        <v>1797</v>
      </c>
      <c r="B295" s="33" t="s">
        <v>954</v>
      </c>
      <c r="C295" s="33" t="s">
        <v>57</v>
      </c>
      <c r="D295" s="33">
        <v>81188.73</v>
      </c>
      <c r="E295" s="33">
        <v>7446.78</v>
      </c>
      <c r="F295" s="33">
        <v>14902.39</v>
      </c>
      <c r="G295" s="33">
        <v>13400.17</v>
      </c>
      <c r="H295" s="33">
        <v>60332.95</v>
      </c>
      <c r="I295" s="33" t="s">
        <v>1511</v>
      </c>
      <c r="J295" s="40"/>
    </row>
    <row r="296" spans="1:10">
      <c r="A296" s="38" t="s">
        <v>1798</v>
      </c>
      <c r="B296" s="38" t="s">
        <v>957</v>
      </c>
      <c r="C296" s="38" t="s">
        <v>49</v>
      </c>
      <c r="D296" s="38">
        <v>85854.86</v>
      </c>
      <c r="E296" s="38">
        <v>4377.3</v>
      </c>
      <c r="F296" s="38">
        <v>20252.14</v>
      </c>
      <c r="G296" s="38">
        <v>4144.79</v>
      </c>
      <c r="H296" s="38">
        <v>65835.23</v>
      </c>
      <c r="I296" s="38" t="s">
        <v>1509</v>
      </c>
      <c r="J296" s="40"/>
    </row>
    <row r="297" spans="1:10">
      <c r="A297" s="33" t="s">
        <v>1799</v>
      </c>
      <c r="B297" s="33" t="s">
        <v>958</v>
      </c>
      <c r="C297" s="33" t="s">
        <v>67</v>
      </c>
      <c r="D297" s="33">
        <v>44173.29</v>
      </c>
      <c r="E297" s="33">
        <v>6227.57</v>
      </c>
      <c r="F297" s="33">
        <v>10294.27</v>
      </c>
      <c r="G297" s="33">
        <v>13089.44</v>
      </c>
      <c r="H297" s="33">
        <v>27017.15</v>
      </c>
      <c r="I297" s="33" t="s">
        <v>1509</v>
      </c>
      <c r="J297" s="40"/>
    </row>
    <row r="298" spans="1:10">
      <c r="A298" s="38" t="s">
        <v>1800</v>
      </c>
      <c r="B298" s="38" t="s">
        <v>961</v>
      </c>
      <c r="C298" s="38" t="s">
        <v>80</v>
      </c>
      <c r="D298" s="38">
        <v>68107.72</v>
      </c>
      <c r="E298" s="38">
        <v>899.17</v>
      </c>
      <c r="F298" s="38">
        <v>10201.73</v>
      </c>
      <c r="G298" s="38">
        <v>4988.1899999999996</v>
      </c>
      <c r="H298" s="38">
        <v>53816.97</v>
      </c>
      <c r="I298" s="38" t="s">
        <v>1504</v>
      </c>
      <c r="J298" s="40"/>
    </row>
    <row r="299" spans="1:10">
      <c r="A299" s="33" t="s">
        <v>1801</v>
      </c>
      <c r="B299" s="33" t="s">
        <v>963</v>
      </c>
      <c r="C299" s="33" t="s">
        <v>67</v>
      </c>
      <c r="D299" s="33">
        <v>105855.2</v>
      </c>
      <c r="E299" s="33">
        <v>4026.86</v>
      </c>
      <c r="F299" s="33">
        <v>10724.42</v>
      </c>
      <c r="G299" s="33">
        <v>8072.73</v>
      </c>
      <c r="H299" s="33">
        <v>91084.91</v>
      </c>
      <c r="I299" s="33" t="s">
        <v>1504</v>
      </c>
      <c r="J299" s="40"/>
    </row>
    <row r="300" spans="1:10">
      <c r="A300" s="38" t="s">
        <v>1802</v>
      </c>
      <c r="B300" s="38" t="s">
        <v>965</v>
      </c>
      <c r="C300" s="38" t="s">
        <v>33</v>
      </c>
      <c r="D300" s="38">
        <v>60733.120000000003</v>
      </c>
      <c r="E300" s="38">
        <v>7964.01</v>
      </c>
      <c r="F300" s="38">
        <v>37452.22</v>
      </c>
      <c r="G300" s="38">
        <v>2530.29</v>
      </c>
      <c r="H300" s="38">
        <v>28714.62</v>
      </c>
      <c r="I300" s="38" t="s">
        <v>1511</v>
      </c>
      <c r="J300" s="40"/>
    </row>
    <row r="301" spans="1:10">
      <c r="A301" s="33" t="s">
        <v>1803</v>
      </c>
      <c r="B301" s="33" t="s">
        <v>968</v>
      </c>
      <c r="C301" s="33" t="s">
        <v>102</v>
      </c>
      <c r="D301" s="33">
        <v>43448.87</v>
      </c>
      <c r="E301" s="33">
        <v>7916.14</v>
      </c>
      <c r="F301" s="33">
        <v>24629.91</v>
      </c>
      <c r="G301" s="33">
        <v>7950.88</v>
      </c>
      <c r="H301" s="33">
        <v>18784.22</v>
      </c>
      <c r="I301" s="33" t="s">
        <v>1504</v>
      </c>
      <c r="J301" s="40"/>
    </row>
    <row r="302" spans="1:10">
      <c r="A302" s="38" t="s">
        <v>1804</v>
      </c>
      <c r="B302" s="38" t="s">
        <v>971</v>
      </c>
      <c r="C302" s="38" t="s">
        <v>67</v>
      </c>
      <c r="D302" s="38">
        <v>230594.08</v>
      </c>
      <c r="E302" s="38">
        <v>6843.79</v>
      </c>
      <c r="F302" s="38">
        <v>35340.78</v>
      </c>
      <c r="G302" s="38">
        <v>3607.51</v>
      </c>
      <c r="H302" s="38">
        <v>198489.58</v>
      </c>
      <c r="I302" s="38" t="s">
        <v>1504</v>
      </c>
    </row>
    <row r="303" spans="1:10">
      <c r="A303" s="33" t="s">
        <v>1805</v>
      </c>
      <c r="B303" s="33" t="s">
        <v>974</v>
      </c>
      <c r="C303" s="33" t="s">
        <v>65</v>
      </c>
      <c r="D303" s="33">
        <v>23195.34</v>
      </c>
      <c r="E303" s="33">
        <v>2028</v>
      </c>
      <c r="F303" s="33">
        <v>14944.08</v>
      </c>
      <c r="G303" s="33">
        <v>12854.4</v>
      </c>
      <c r="H303" s="33">
        <v>-2575.14</v>
      </c>
      <c r="I303" s="33" t="s">
        <v>1511</v>
      </c>
    </row>
    <row r="304" spans="1:10">
      <c r="A304" s="38" t="s">
        <v>1806</v>
      </c>
      <c r="B304" s="38" t="s">
        <v>976</v>
      </c>
      <c r="C304" s="38" t="s">
        <v>55</v>
      </c>
      <c r="D304" s="38">
        <v>63907.88</v>
      </c>
      <c r="E304" s="38">
        <v>4724.3599999999997</v>
      </c>
      <c r="F304" s="38">
        <v>28209.82</v>
      </c>
      <c r="G304" s="38">
        <v>4761.1499999999996</v>
      </c>
      <c r="H304" s="38">
        <v>35661.269999999997</v>
      </c>
      <c r="I304" s="38" t="s">
        <v>1504</v>
      </c>
    </row>
    <row r="305" spans="1:9">
      <c r="A305" s="33" t="s">
        <v>1807</v>
      </c>
      <c r="B305" s="33" t="s">
        <v>979</v>
      </c>
      <c r="C305" s="33" t="s">
        <v>80</v>
      </c>
      <c r="D305" s="33">
        <v>118498.05</v>
      </c>
      <c r="E305" s="33">
        <v>4445.12</v>
      </c>
      <c r="F305" s="33">
        <v>24977.57</v>
      </c>
      <c r="G305" s="33">
        <v>7413.45</v>
      </c>
      <c r="H305" s="33">
        <v>90552.15</v>
      </c>
      <c r="I305" s="33" t="s">
        <v>1504</v>
      </c>
    </row>
    <row r="306" spans="1:9">
      <c r="A306" s="38" t="s">
        <v>1808</v>
      </c>
      <c r="B306" s="38" t="s">
        <v>982</v>
      </c>
      <c r="C306" s="38" t="s">
        <v>102</v>
      </c>
      <c r="D306" s="38">
        <v>14424.6</v>
      </c>
      <c r="E306" s="38">
        <v>2346.1799999999998</v>
      </c>
      <c r="F306" s="38">
        <v>22433.88</v>
      </c>
      <c r="G306" s="38">
        <v>3225.97</v>
      </c>
      <c r="H306" s="38">
        <v>-8889.07</v>
      </c>
      <c r="I306" s="38" t="s">
        <v>1511</v>
      </c>
    </row>
    <row r="307" spans="1:9">
      <c r="A307" s="33" t="s">
        <v>1809</v>
      </c>
      <c r="B307" s="33" t="s">
        <v>983</v>
      </c>
      <c r="C307" s="33" t="s">
        <v>57</v>
      </c>
      <c r="D307" s="33">
        <v>52230.96</v>
      </c>
      <c r="E307" s="33">
        <v>694.72</v>
      </c>
      <c r="F307" s="33">
        <v>28845.93</v>
      </c>
      <c r="G307" s="33">
        <v>10848.31</v>
      </c>
      <c r="H307" s="33">
        <v>13231.44</v>
      </c>
      <c r="I307" s="33" t="s">
        <v>1509</v>
      </c>
    </row>
    <row r="308" spans="1:9">
      <c r="A308" s="38" t="s">
        <v>1810</v>
      </c>
      <c r="B308" s="38" t="s">
        <v>985</v>
      </c>
      <c r="C308" s="38" t="s">
        <v>67</v>
      </c>
      <c r="D308" s="38">
        <v>35925.519999999997</v>
      </c>
      <c r="E308" s="38">
        <v>3301.69</v>
      </c>
      <c r="F308" s="38">
        <v>37520.199999999997</v>
      </c>
      <c r="G308" s="38">
        <v>3378.91</v>
      </c>
      <c r="H308" s="38">
        <v>-1671.9</v>
      </c>
      <c r="I308" s="38" t="s">
        <v>1511</v>
      </c>
    </row>
    <row r="309" spans="1:9">
      <c r="A309" s="33" t="s">
        <v>1811</v>
      </c>
      <c r="B309" s="33" t="s">
        <v>987</v>
      </c>
      <c r="C309" s="33" t="s">
        <v>175</v>
      </c>
      <c r="D309" s="33">
        <v>24963.84</v>
      </c>
      <c r="E309" s="33">
        <v>1653.32</v>
      </c>
      <c r="F309" s="33">
        <v>7837.21</v>
      </c>
      <c r="G309" s="33">
        <v>12799.09</v>
      </c>
      <c r="H309" s="33">
        <v>5980.86</v>
      </c>
      <c r="I309" s="33" t="s">
        <v>1509</v>
      </c>
    </row>
    <row r="310" spans="1:9">
      <c r="A310" s="38" t="s">
        <v>1812</v>
      </c>
      <c r="B310" s="38" t="s">
        <v>990</v>
      </c>
      <c r="C310" s="38" t="s">
        <v>96</v>
      </c>
      <c r="D310" s="38">
        <v>45458.28</v>
      </c>
      <c r="E310" s="38">
        <v>3905.42</v>
      </c>
      <c r="F310" s="38">
        <v>38432.050000000003</v>
      </c>
      <c r="G310" s="38">
        <v>9724.66</v>
      </c>
      <c r="H310" s="38">
        <v>1206.99</v>
      </c>
      <c r="I310" s="38" t="s">
        <v>1504</v>
      </c>
    </row>
    <row r="311" spans="1:9">
      <c r="A311" s="33" t="s">
        <v>1813</v>
      </c>
      <c r="B311" s="33" t="s">
        <v>993</v>
      </c>
      <c r="C311" s="33" t="s">
        <v>24</v>
      </c>
      <c r="D311" s="33">
        <v>71084.160000000003</v>
      </c>
      <c r="E311" s="33">
        <v>2970.7</v>
      </c>
      <c r="F311" s="33">
        <v>6534.64</v>
      </c>
      <c r="G311" s="33">
        <v>10090.74</v>
      </c>
      <c r="H311" s="33">
        <v>57429.48</v>
      </c>
      <c r="I311" s="33" t="s">
        <v>1509</v>
      </c>
    </row>
    <row r="312" spans="1:9">
      <c r="A312" s="38" t="s">
        <v>1814</v>
      </c>
      <c r="B312" s="38" t="s">
        <v>996</v>
      </c>
      <c r="C312" s="38" t="s">
        <v>33</v>
      </c>
      <c r="D312" s="38">
        <v>76328</v>
      </c>
      <c r="E312" s="38">
        <v>2936.87</v>
      </c>
      <c r="F312" s="38">
        <v>30604.080000000002</v>
      </c>
      <c r="G312" s="38">
        <v>11546.15</v>
      </c>
      <c r="H312" s="38">
        <v>37114.639999999999</v>
      </c>
      <c r="I312" s="38" t="s">
        <v>1502</v>
      </c>
    </row>
    <row r="313" spans="1:9">
      <c r="A313" s="33" t="s">
        <v>1815</v>
      </c>
      <c r="B313" s="33" t="s">
        <v>998</v>
      </c>
      <c r="C313" s="33" t="s">
        <v>198</v>
      </c>
      <c r="D313" s="33">
        <v>16127.8</v>
      </c>
      <c r="E313" s="33">
        <v>2085.25</v>
      </c>
      <c r="F313" s="33">
        <v>6703.88</v>
      </c>
      <c r="G313" s="33">
        <v>10367.370000000001</v>
      </c>
      <c r="H313" s="33">
        <v>1141.8</v>
      </c>
      <c r="I313" s="33" t="s">
        <v>1511</v>
      </c>
    </row>
    <row r="314" spans="1:9">
      <c r="A314" s="38" t="s">
        <v>1816</v>
      </c>
      <c r="B314" s="38" t="s">
        <v>1001</v>
      </c>
      <c r="C314" s="38" t="s">
        <v>49</v>
      </c>
      <c r="D314" s="38">
        <v>16313.22</v>
      </c>
      <c r="E314" s="38">
        <v>6486.1</v>
      </c>
      <c r="F314" s="38">
        <v>31033</v>
      </c>
      <c r="G314" s="38">
        <v>9113.0300000000007</v>
      </c>
      <c r="H314" s="38">
        <v>-17346.71</v>
      </c>
      <c r="I314" s="38" t="s">
        <v>1509</v>
      </c>
    </row>
    <row r="315" spans="1:9">
      <c r="A315" s="33" t="s">
        <v>1817</v>
      </c>
      <c r="B315" s="33" t="s">
        <v>1002</v>
      </c>
      <c r="C315" s="33" t="s">
        <v>117</v>
      </c>
      <c r="D315" s="33">
        <v>19364.28</v>
      </c>
      <c r="E315" s="33">
        <v>1194.1300000000001</v>
      </c>
      <c r="F315" s="33">
        <v>13930.74</v>
      </c>
      <c r="G315" s="33">
        <v>5121.04</v>
      </c>
      <c r="H315" s="33">
        <v>1506.63</v>
      </c>
      <c r="I315" s="33" t="s">
        <v>1509</v>
      </c>
    </row>
    <row r="316" spans="1:9">
      <c r="A316" s="38" t="s">
        <v>1818</v>
      </c>
      <c r="B316" s="38" t="s">
        <v>1005</v>
      </c>
      <c r="C316" s="38" t="s">
        <v>175</v>
      </c>
      <c r="D316" s="38">
        <v>79612.800000000003</v>
      </c>
      <c r="E316" s="38">
        <v>1168.9100000000001</v>
      </c>
      <c r="F316" s="38">
        <v>34832.1</v>
      </c>
      <c r="G316" s="38">
        <v>4118.2299999999996</v>
      </c>
      <c r="H316" s="38">
        <v>41831.379999999997</v>
      </c>
      <c r="I316" s="38" t="s">
        <v>1509</v>
      </c>
    </row>
    <row r="317" spans="1:9">
      <c r="A317" s="33" t="s">
        <v>1819</v>
      </c>
      <c r="B317" s="33" t="s">
        <v>1007</v>
      </c>
      <c r="C317" s="33" t="s">
        <v>24</v>
      </c>
      <c r="D317" s="33">
        <v>13425.3</v>
      </c>
      <c r="E317" s="33">
        <v>2637.02</v>
      </c>
      <c r="F317" s="33">
        <v>31339.55</v>
      </c>
      <c r="G317" s="33">
        <v>10502.84</v>
      </c>
      <c r="H317" s="33">
        <v>-25780.07</v>
      </c>
      <c r="I317" s="33" t="s">
        <v>1504</v>
      </c>
    </row>
    <row r="318" spans="1:9">
      <c r="A318" s="38" t="s">
        <v>1820</v>
      </c>
      <c r="B318" s="38" t="s">
        <v>1010</v>
      </c>
      <c r="C318" s="38" t="s">
        <v>198</v>
      </c>
      <c r="D318" s="38">
        <v>0</v>
      </c>
      <c r="E318" s="38">
        <v>0</v>
      </c>
      <c r="F318" s="38">
        <v>15449.13</v>
      </c>
      <c r="G318" s="38">
        <v>12414.31</v>
      </c>
      <c r="H318" s="38">
        <v>-27863.439999999999</v>
      </c>
      <c r="I318" s="38" t="s">
        <v>1511</v>
      </c>
    </row>
    <row r="319" spans="1:9">
      <c r="A319" s="33" t="s">
        <v>1821</v>
      </c>
      <c r="B319" s="33" t="s">
        <v>1013</v>
      </c>
      <c r="C319" s="33" t="s">
        <v>65</v>
      </c>
      <c r="D319" s="33">
        <v>285974.13</v>
      </c>
      <c r="E319" s="33">
        <v>7278.01</v>
      </c>
      <c r="F319" s="33">
        <v>26122.98</v>
      </c>
      <c r="G319" s="33">
        <v>6667.58</v>
      </c>
      <c r="H319" s="33">
        <v>260461.58</v>
      </c>
      <c r="I319" s="33" t="s">
        <v>1504</v>
      </c>
    </row>
    <row r="320" spans="1:9">
      <c r="A320" s="38" t="s">
        <v>1822</v>
      </c>
      <c r="B320" s="38" t="s">
        <v>1016</v>
      </c>
      <c r="C320" s="38" t="s">
        <v>198</v>
      </c>
      <c r="D320" s="38">
        <v>106460.25</v>
      </c>
      <c r="E320" s="38">
        <v>6740.4</v>
      </c>
      <c r="F320" s="38">
        <v>22942.86</v>
      </c>
      <c r="G320" s="38">
        <v>8365.1</v>
      </c>
      <c r="H320" s="38">
        <v>81892.69</v>
      </c>
      <c r="I320" s="38" t="s">
        <v>1509</v>
      </c>
    </row>
    <row r="321" spans="1:9">
      <c r="A321" s="33" t="s">
        <v>1823</v>
      </c>
      <c r="B321" s="33" t="s">
        <v>1019</v>
      </c>
      <c r="C321" s="33" t="s">
        <v>49</v>
      </c>
      <c r="D321" s="33">
        <v>12595.89</v>
      </c>
      <c r="E321" s="33">
        <v>4073.3</v>
      </c>
      <c r="F321" s="33">
        <v>24707</v>
      </c>
      <c r="G321" s="33">
        <v>7499.92</v>
      </c>
      <c r="H321" s="33">
        <v>-15537.73</v>
      </c>
      <c r="I321" s="33" t="s">
        <v>1509</v>
      </c>
    </row>
    <row r="322" spans="1:9">
      <c r="A322" s="38" t="s">
        <v>1824</v>
      </c>
      <c r="B322" s="38" t="s">
        <v>1021</v>
      </c>
      <c r="C322" s="38" t="s">
        <v>117</v>
      </c>
      <c r="D322" s="38">
        <v>137569.12</v>
      </c>
      <c r="E322" s="38">
        <v>6582.46</v>
      </c>
      <c r="F322" s="38">
        <v>26485.37</v>
      </c>
      <c r="G322" s="38">
        <v>7643.38</v>
      </c>
      <c r="H322" s="38">
        <v>110022.83</v>
      </c>
      <c r="I322" s="38" t="s">
        <v>1509</v>
      </c>
    </row>
    <row r="323" spans="1:9">
      <c r="A323" s="33" t="s">
        <v>1825</v>
      </c>
      <c r="B323" s="33" t="s">
        <v>1024</v>
      </c>
      <c r="C323" s="33" t="s">
        <v>65</v>
      </c>
      <c r="D323" s="33">
        <v>326685</v>
      </c>
      <c r="E323" s="33">
        <v>1197.1099999999999</v>
      </c>
      <c r="F323" s="33">
        <v>22966.95</v>
      </c>
      <c r="G323" s="33">
        <v>14652.53</v>
      </c>
      <c r="H323" s="33">
        <v>290262.63</v>
      </c>
      <c r="I323" s="33" t="s">
        <v>1502</v>
      </c>
    </row>
    <row r="324" spans="1:9">
      <c r="A324" s="38" t="s">
        <v>1826</v>
      </c>
      <c r="B324" s="38" t="s">
        <v>1027</v>
      </c>
      <c r="C324" s="38" t="s">
        <v>157</v>
      </c>
      <c r="D324" s="38">
        <v>50402.79</v>
      </c>
      <c r="E324" s="38">
        <v>5357.08</v>
      </c>
      <c r="F324" s="38">
        <v>29977.24</v>
      </c>
      <c r="G324" s="38">
        <v>14098.68</v>
      </c>
      <c r="H324" s="38">
        <v>11683.95</v>
      </c>
      <c r="I324" s="38" t="s">
        <v>1504</v>
      </c>
    </row>
    <row r="325" spans="1:9">
      <c r="A325" s="33" t="s">
        <v>1827</v>
      </c>
      <c r="B325" s="33" t="s">
        <v>1030</v>
      </c>
      <c r="C325" s="33" t="s">
        <v>74</v>
      </c>
      <c r="D325" s="33">
        <v>46210.15</v>
      </c>
      <c r="E325" s="33">
        <v>2680.27</v>
      </c>
      <c r="F325" s="33">
        <v>20307.439999999999</v>
      </c>
      <c r="G325" s="33">
        <v>13793.7</v>
      </c>
      <c r="H325" s="33">
        <v>14789.28</v>
      </c>
      <c r="I325" s="33" t="s">
        <v>1509</v>
      </c>
    </row>
    <row r="326" spans="1:9">
      <c r="A326" s="38" t="s">
        <v>1828</v>
      </c>
      <c r="B326" s="38" t="s">
        <v>1033</v>
      </c>
      <c r="C326" s="38" t="s">
        <v>57</v>
      </c>
      <c r="D326" s="38">
        <v>118192.5</v>
      </c>
      <c r="E326" s="38">
        <v>2752.95</v>
      </c>
      <c r="F326" s="38"/>
      <c r="G326" s="38">
        <v>10896.08</v>
      </c>
      <c r="H326" s="38">
        <v>70602.850000000006</v>
      </c>
      <c r="I326" s="38" t="s">
        <v>1511</v>
      </c>
    </row>
    <row r="327" spans="1:9">
      <c r="A327" s="33" t="s">
        <v>1829</v>
      </c>
      <c r="B327" s="33" t="s">
        <v>1035</v>
      </c>
      <c r="C327" s="33" t="s">
        <v>57</v>
      </c>
      <c r="D327" s="33">
        <v>107528.85</v>
      </c>
      <c r="E327" s="33">
        <v>6811.53</v>
      </c>
      <c r="F327" s="33">
        <v>23308.22</v>
      </c>
      <c r="G327" s="33">
        <v>5841.26</v>
      </c>
      <c r="H327" s="33">
        <v>85190.9</v>
      </c>
      <c r="I327" s="33" t="s">
        <v>1504</v>
      </c>
    </row>
    <row r="328" spans="1:9">
      <c r="A328" s="38" t="s">
        <v>1830</v>
      </c>
      <c r="B328" s="38" t="s">
        <v>1038</v>
      </c>
      <c r="C328" s="38" t="s">
        <v>175</v>
      </c>
      <c r="D328" s="38">
        <v>53367.32</v>
      </c>
      <c r="E328" s="38">
        <v>4632.46</v>
      </c>
      <c r="F328" s="38">
        <v>37105.57</v>
      </c>
      <c r="G328" s="38">
        <v>8674.39</v>
      </c>
      <c r="H328" s="38">
        <v>12219.82</v>
      </c>
      <c r="I328" s="38" t="s">
        <v>1509</v>
      </c>
    </row>
    <row r="329" spans="1:9">
      <c r="A329" s="33" t="s">
        <v>1831</v>
      </c>
      <c r="B329" s="33" t="s">
        <v>1041</v>
      </c>
      <c r="C329" s="33" t="s">
        <v>198</v>
      </c>
      <c r="D329" s="33">
        <v>121158.72</v>
      </c>
      <c r="E329" s="33">
        <v>3597.65</v>
      </c>
      <c r="F329" s="33">
        <v>21262.98</v>
      </c>
      <c r="G329" s="33">
        <v>11364.03</v>
      </c>
      <c r="H329" s="33">
        <v>92129.36</v>
      </c>
      <c r="I329" s="33" t="s">
        <v>1511</v>
      </c>
    </row>
    <row r="330" spans="1:9">
      <c r="A330" s="38" t="s">
        <v>1832</v>
      </c>
      <c r="B330" s="38" t="s">
        <v>1044</v>
      </c>
      <c r="C330" s="38" t="s">
        <v>130</v>
      </c>
      <c r="D330" s="38">
        <v>92374.11</v>
      </c>
      <c r="E330" s="38">
        <v>3165.93</v>
      </c>
      <c r="F330" s="38">
        <v>25494.880000000001</v>
      </c>
      <c r="G330" s="38">
        <v>11992.41</v>
      </c>
      <c r="H330" s="38">
        <v>58052.75</v>
      </c>
      <c r="I330" s="38" t="s">
        <v>1504</v>
      </c>
    </row>
    <row r="331" spans="1:9">
      <c r="A331" s="33" t="s">
        <v>1833</v>
      </c>
      <c r="B331" s="33" t="s">
        <v>1046</v>
      </c>
      <c r="C331" s="33" t="s">
        <v>74</v>
      </c>
      <c r="D331" s="33">
        <v>27174.51</v>
      </c>
      <c r="E331" s="33">
        <v>1354.52</v>
      </c>
      <c r="F331" s="33">
        <v>28155.24</v>
      </c>
      <c r="G331" s="33">
        <v>4334.18</v>
      </c>
      <c r="H331" s="33">
        <v>-3960.39</v>
      </c>
      <c r="I331" s="33" t="s">
        <v>1502</v>
      </c>
    </row>
    <row r="332" spans="1:9">
      <c r="A332" s="38" t="s">
        <v>1834</v>
      </c>
      <c r="B332" s="38" t="s">
        <v>1049</v>
      </c>
      <c r="C332" s="38" t="s">
        <v>130</v>
      </c>
      <c r="D332" s="38">
        <v>59893.38</v>
      </c>
      <c r="E332" s="38">
        <v>6821.82</v>
      </c>
      <c r="F332" s="38">
        <v>6584.06</v>
      </c>
      <c r="G332" s="38">
        <v>7411.27</v>
      </c>
      <c r="H332" s="38">
        <v>52719.87</v>
      </c>
      <c r="I332" s="38" t="s">
        <v>1511</v>
      </c>
    </row>
    <row r="333" spans="1:9">
      <c r="A333" s="33" t="s">
        <v>1835</v>
      </c>
      <c r="B333" s="33" t="s">
        <v>1051</v>
      </c>
      <c r="C333" s="33" t="s">
        <v>33</v>
      </c>
      <c r="D333" s="33">
        <v>107511.66</v>
      </c>
      <c r="E333" s="33">
        <v>2854.6</v>
      </c>
      <c r="F333" s="33">
        <v>30343.31</v>
      </c>
      <c r="G333" s="33">
        <v>11845.61</v>
      </c>
      <c r="H333" s="33">
        <v>68177.34</v>
      </c>
      <c r="I333" s="33" t="s">
        <v>1509</v>
      </c>
    </row>
    <row r="334" spans="1:9">
      <c r="A334" s="38" t="s">
        <v>1836</v>
      </c>
      <c r="B334" s="38" t="s">
        <v>1054</v>
      </c>
      <c r="C334" s="38" t="s">
        <v>198</v>
      </c>
      <c r="D334" s="38">
        <v>211256.94</v>
      </c>
      <c r="E334" s="38">
        <v>5178.58</v>
      </c>
      <c r="F334" s="38">
        <v>14277.6</v>
      </c>
      <c r="G334" s="38">
        <v>14567.36</v>
      </c>
      <c r="H334" s="38">
        <v>187590.56</v>
      </c>
      <c r="I334" s="38" t="s">
        <v>1502</v>
      </c>
    </row>
    <row r="335" spans="1:9">
      <c r="A335" s="33" t="s">
        <v>1837</v>
      </c>
      <c r="B335" s="33" t="s">
        <v>1057</v>
      </c>
      <c r="C335" s="33" t="s">
        <v>117</v>
      </c>
      <c r="D335" s="33">
        <v>121279.28</v>
      </c>
      <c r="E335" s="33">
        <v>2083.0100000000002</v>
      </c>
      <c r="F335" s="33">
        <v>7737.72</v>
      </c>
      <c r="G335" s="33">
        <v>14768.42</v>
      </c>
      <c r="H335" s="33">
        <v>100856.15</v>
      </c>
      <c r="I335" s="33" t="s">
        <v>1511</v>
      </c>
    </row>
    <row r="336" spans="1:9">
      <c r="A336" s="38" t="s">
        <v>1838</v>
      </c>
      <c r="B336" s="38" t="s">
        <v>1060</v>
      </c>
      <c r="C336" s="38" t="s">
        <v>57</v>
      </c>
      <c r="D336" s="38">
        <v>37592.54</v>
      </c>
      <c r="E336" s="38">
        <v>7037.12</v>
      </c>
      <c r="F336" s="38">
        <v>8721.57</v>
      </c>
      <c r="G336" s="38">
        <v>8946.89</v>
      </c>
      <c r="H336" s="38">
        <v>26961.200000000001</v>
      </c>
      <c r="I336" s="38" t="s">
        <v>1504</v>
      </c>
    </row>
    <row r="337" spans="1:9">
      <c r="A337" s="33" t="s">
        <v>1839</v>
      </c>
      <c r="B337" s="33" t="s">
        <v>1062</v>
      </c>
      <c r="C337" s="33" t="s">
        <v>117</v>
      </c>
      <c r="D337" s="33">
        <v>34432.65</v>
      </c>
      <c r="E337" s="33">
        <v>3462</v>
      </c>
      <c r="F337" s="33">
        <v>5465.66</v>
      </c>
      <c r="G337" s="33">
        <v>10525.41</v>
      </c>
      <c r="H337" s="33">
        <v>21903.58</v>
      </c>
      <c r="I337" s="33" t="s">
        <v>1509</v>
      </c>
    </row>
    <row r="338" spans="1:9">
      <c r="A338" s="38" t="s">
        <v>1840</v>
      </c>
      <c r="B338" s="38" t="s">
        <v>1065</v>
      </c>
      <c r="C338" s="38" t="s">
        <v>49</v>
      </c>
      <c r="D338" s="38">
        <v>103139.29</v>
      </c>
      <c r="E338" s="38">
        <v>5688.55</v>
      </c>
      <c r="F338" s="38">
        <v>35407.32</v>
      </c>
      <c r="G338" s="38">
        <v>14555.45</v>
      </c>
      <c r="H338" s="38">
        <v>58865.07</v>
      </c>
      <c r="I338" s="38" t="s">
        <v>1509</v>
      </c>
    </row>
    <row r="339" spans="1:9">
      <c r="A339" s="33" t="s">
        <v>1841</v>
      </c>
      <c r="B339" s="33" t="s">
        <v>1068</v>
      </c>
      <c r="C339" s="33" t="s">
        <v>39</v>
      </c>
      <c r="D339" s="33">
        <v>25855.279999999999</v>
      </c>
      <c r="E339" s="33">
        <v>2771</v>
      </c>
      <c r="F339" s="33">
        <v>33459.64</v>
      </c>
      <c r="G339" s="33">
        <v>10017.68</v>
      </c>
      <c r="H339" s="33">
        <v>-14851.04</v>
      </c>
      <c r="I339" s="33" t="s">
        <v>1509</v>
      </c>
    </row>
    <row r="340" spans="1:9">
      <c r="A340" s="38" t="s">
        <v>1842</v>
      </c>
      <c r="B340" s="38" t="s">
        <v>1071</v>
      </c>
      <c r="C340" s="38" t="s">
        <v>74</v>
      </c>
      <c r="D340" s="38">
        <v>7857.99</v>
      </c>
      <c r="E340" s="38">
        <v>6534.81</v>
      </c>
      <c r="F340" s="38">
        <v>8067.23</v>
      </c>
      <c r="G340" s="38">
        <v>3756.48</v>
      </c>
      <c r="H340" s="38">
        <v>2569.09</v>
      </c>
      <c r="I340" s="38" t="s">
        <v>1502</v>
      </c>
    </row>
    <row r="341" spans="1:9">
      <c r="A341" s="33" t="s">
        <v>1843</v>
      </c>
      <c r="B341" s="33" t="s">
        <v>1073</v>
      </c>
      <c r="C341" s="33" t="s">
        <v>74</v>
      </c>
      <c r="D341" s="33">
        <v>44785.48</v>
      </c>
      <c r="E341" s="33">
        <v>1339.34</v>
      </c>
      <c r="F341" s="33">
        <v>5555.98</v>
      </c>
      <c r="G341" s="33">
        <v>14616.76</v>
      </c>
      <c r="H341" s="33">
        <v>25952.080000000002</v>
      </c>
      <c r="I341" s="33" t="s">
        <v>1504</v>
      </c>
    </row>
    <row r="342" spans="1:9">
      <c r="A342" s="38" t="s">
        <v>1844</v>
      </c>
      <c r="B342" s="38" t="s">
        <v>1077</v>
      </c>
      <c r="C342" s="38" t="s">
        <v>55</v>
      </c>
      <c r="D342" s="38">
        <v>65815.34</v>
      </c>
      <c r="E342" s="38">
        <v>2069.2199999999998</v>
      </c>
      <c r="F342" s="38">
        <v>27701.81</v>
      </c>
      <c r="G342" s="38">
        <v>10446.620000000001</v>
      </c>
      <c r="H342" s="38">
        <v>29736.13</v>
      </c>
      <c r="I342" s="38" t="s">
        <v>1509</v>
      </c>
    </row>
    <row r="343" spans="1:9">
      <c r="A343" s="33" t="s">
        <v>1845</v>
      </c>
      <c r="B343" s="33" t="s">
        <v>1080</v>
      </c>
      <c r="C343" s="33" t="s">
        <v>198</v>
      </c>
      <c r="D343" s="33">
        <v>77618.8</v>
      </c>
      <c r="E343" s="33">
        <v>6815.67</v>
      </c>
      <c r="F343" s="33">
        <v>35036.629999999997</v>
      </c>
      <c r="G343" s="33">
        <v>9001.57</v>
      </c>
      <c r="H343" s="33">
        <v>40396.269999999997</v>
      </c>
      <c r="I343" s="33" t="s">
        <v>1504</v>
      </c>
    </row>
    <row r="344" spans="1:9">
      <c r="A344" s="38" t="s">
        <v>1846</v>
      </c>
      <c r="B344" s="38" t="s">
        <v>1082</v>
      </c>
      <c r="C344" s="38" t="s">
        <v>67</v>
      </c>
      <c r="D344" s="38">
        <v>180136.8</v>
      </c>
      <c r="E344" s="38">
        <v>2756.88</v>
      </c>
      <c r="F344" s="38">
        <v>21219.89</v>
      </c>
      <c r="G344" s="38">
        <v>8161.86</v>
      </c>
      <c r="H344" s="38">
        <v>153511.93</v>
      </c>
      <c r="I344" s="38" t="s">
        <v>1504</v>
      </c>
    </row>
    <row r="345" spans="1:9">
      <c r="A345" s="33" t="s">
        <v>1847</v>
      </c>
      <c r="B345" s="33" t="s">
        <v>1084</v>
      </c>
      <c r="C345" s="33" t="s">
        <v>184</v>
      </c>
      <c r="D345" s="33">
        <v>59579.22</v>
      </c>
      <c r="E345" s="33">
        <v>1373.44</v>
      </c>
      <c r="F345" s="33">
        <v>36584.54</v>
      </c>
      <c r="G345" s="33">
        <v>11604.16</v>
      </c>
      <c r="H345" s="33">
        <v>12763.96</v>
      </c>
      <c r="I345" s="33" t="s">
        <v>1509</v>
      </c>
    </row>
    <row r="346" spans="1:9">
      <c r="A346" s="38" t="s">
        <v>1848</v>
      </c>
      <c r="B346" s="38" t="s">
        <v>1087</v>
      </c>
      <c r="C346" s="38" t="s">
        <v>130</v>
      </c>
      <c r="D346" s="38">
        <v>72405.08</v>
      </c>
      <c r="E346" s="38">
        <v>7729</v>
      </c>
      <c r="F346" s="38">
        <v>21502.12</v>
      </c>
      <c r="G346" s="38">
        <v>13177.35</v>
      </c>
      <c r="H346" s="38">
        <v>45454.61</v>
      </c>
      <c r="I346" s="38" t="s">
        <v>1502</v>
      </c>
    </row>
    <row r="347" spans="1:9">
      <c r="A347" s="33" t="s">
        <v>1849</v>
      </c>
      <c r="B347" s="33" t="s">
        <v>1089</v>
      </c>
      <c r="C347" s="33" t="s">
        <v>57</v>
      </c>
      <c r="D347" s="33">
        <v>181549.5</v>
      </c>
      <c r="E347" s="33">
        <v>2010.04</v>
      </c>
      <c r="F347" s="33">
        <v>24930.07</v>
      </c>
      <c r="G347" s="33">
        <v>12839.9</v>
      </c>
      <c r="H347" s="33">
        <v>145789.57</v>
      </c>
      <c r="I347" s="33" t="s">
        <v>1504</v>
      </c>
    </row>
    <row r="348" spans="1:9">
      <c r="A348" s="38" t="s">
        <v>1850</v>
      </c>
      <c r="B348" s="38" t="s">
        <v>1091</v>
      </c>
      <c r="C348" s="38" t="s">
        <v>175</v>
      </c>
      <c r="D348" s="38">
        <v>43911.45</v>
      </c>
      <c r="E348" s="38">
        <v>3003.88</v>
      </c>
      <c r="F348" s="38">
        <v>8593.2199999999993</v>
      </c>
      <c r="G348" s="38">
        <v>13019.18</v>
      </c>
      <c r="H348" s="38">
        <v>25302.93</v>
      </c>
      <c r="I348" s="38" t="s">
        <v>1509</v>
      </c>
    </row>
    <row r="349" spans="1:9">
      <c r="A349" s="33" t="s">
        <v>1851</v>
      </c>
      <c r="B349" s="33" t="s">
        <v>1094</v>
      </c>
      <c r="C349" s="33" t="s">
        <v>96</v>
      </c>
      <c r="D349" s="33">
        <v>40574.400000000001</v>
      </c>
      <c r="E349" s="33">
        <v>7846.15</v>
      </c>
      <c r="F349" s="33">
        <v>34701.57</v>
      </c>
      <c r="G349" s="33">
        <v>11582.02</v>
      </c>
      <c r="H349" s="33">
        <v>2136.96</v>
      </c>
      <c r="I349" s="33" t="s">
        <v>1511</v>
      </c>
    </row>
    <row r="350" spans="1:9">
      <c r="A350" s="38" t="s">
        <v>1852</v>
      </c>
      <c r="B350" s="38" t="s">
        <v>1097</v>
      </c>
      <c r="C350" s="38" t="s">
        <v>67</v>
      </c>
      <c r="D350" s="38">
        <v>95598.720000000001</v>
      </c>
      <c r="E350" s="38">
        <v>777.63</v>
      </c>
      <c r="F350" s="38">
        <v>18988.810000000001</v>
      </c>
      <c r="G350" s="38">
        <v>8673.6200000000008</v>
      </c>
      <c r="H350" s="38">
        <v>68713.919999999998</v>
      </c>
      <c r="I350" s="38" t="s">
        <v>1509</v>
      </c>
    </row>
    <row r="351" spans="1:9">
      <c r="A351" s="33" t="s">
        <v>1853</v>
      </c>
      <c r="B351" s="33" t="s">
        <v>1100</v>
      </c>
      <c r="C351" s="33" t="s">
        <v>74</v>
      </c>
      <c r="D351" s="33">
        <v>95481.36</v>
      </c>
      <c r="E351" s="33">
        <v>2239.29</v>
      </c>
      <c r="F351" s="33">
        <v>7124.66</v>
      </c>
      <c r="G351" s="33">
        <v>2247.2600000000002</v>
      </c>
      <c r="H351" s="33">
        <v>88348.73</v>
      </c>
      <c r="I351" s="33" t="s">
        <v>1511</v>
      </c>
    </row>
    <row r="352" spans="1:9">
      <c r="A352" s="38" t="s">
        <v>1854</v>
      </c>
      <c r="B352" s="38" t="s">
        <v>1103</v>
      </c>
      <c r="C352" s="38" t="s">
        <v>39</v>
      </c>
      <c r="D352" s="38">
        <v>21800.240000000002</v>
      </c>
      <c r="E352" s="38">
        <v>4649.42</v>
      </c>
      <c r="F352" s="38">
        <v>14374.71</v>
      </c>
      <c r="G352" s="38">
        <v>10427.9</v>
      </c>
      <c r="H352" s="38">
        <v>1647.05</v>
      </c>
      <c r="I352" s="38" t="s">
        <v>1509</v>
      </c>
    </row>
    <row r="353" spans="1:9">
      <c r="A353" s="33" t="s">
        <v>1855</v>
      </c>
      <c r="B353" s="33" t="s">
        <v>1105</v>
      </c>
      <c r="C353" s="33" t="s">
        <v>96</v>
      </c>
      <c r="D353" s="33">
        <v>51303.3</v>
      </c>
      <c r="E353" s="33">
        <v>1377.06</v>
      </c>
      <c r="F353" s="33">
        <v>26794.38</v>
      </c>
      <c r="G353" s="33">
        <v>10400.34</v>
      </c>
      <c r="H353" s="33">
        <v>15485.64</v>
      </c>
      <c r="I353" s="33" t="s">
        <v>1509</v>
      </c>
    </row>
    <row r="354" spans="1:9">
      <c r="A354" s="38" t="s">
        <v>1856</v>
      </c>
      <c r="B354" s="38" t="s">
        <v>1108</v>
      </c>
      <c r="C354" s="38" t="s">
        <v>49</v>
      </c>
      <c r="D354" s="38">
        <v>39849.75</v>
      </c>
      <c r="E354" s="38">
        <v>5731.36</v>
      </c>
      <c r="F354" s="38">
        <v>5728.24</v>
      </c>
      <c r="G354" s="38">
        <v>5744.14</v>
      </c>
      <c r="H354" s="38">
        <v>34108.730000000003</v>
      </c>
      <c r="I354" s="38" t="s">
        <v>1502</v>
      </c>
    </row>
    <row r="355" spans="1:9">
      <c r="A355" s="33" t="s">
        <v>1857</v>
      </c>
      <c r="B355" s="33" t="s">
        <v>1110</v>
      </c>
      <c r="C355" s="33" t="s">
        <v>130</v>
      </c>
      <c r="D355" s="33">
        <v>105319.2</v>
      </c>
      <c r="E355" s="33">
        <v>4019.3</v>
      </c>
      <c r="F355" s="33">
        <v>20333.87</v>
      </c>
      <c r="G355" s="33">
        <v>8599.27</v>
      </c>
      <c r="H355" s="33">
        <v>80405.36</v>
      </c>
      <c r="I355" s="33" t="s">
        <v>1511</v>
      </c>
    </row>
    <row r="356" spans="1:9">
      <c r="A356" s="38" t="s">
        <v>1858</v>
      </c>
      <c r="B356" s="38" t="s">
        <v>1112</v>
      </c>
      <c r="C356" s="38" t="s">
        <v>41</v>
      </c>
      <c r="D356" s="38">
        <v>14132.3</v>
      </c>
      <c r="E356" s="38">
        <v>7413.02</v>
      </c>
      <c r="F356" s="38">
        <v>34870.879999999997</v>
      </c>
      <c r="G356" s="38">
        <v>11297.59</v>
      </c>
      <c r="H356" s="38">
        <v>-24623.15</v>
      </c>
      <c r="I356" s="38" t="s">
        <v>1509</v>
      </c>
    </row>
    <row r="357" spans="1:9">
      <c r="A357" s="33" t="s">
        <v>1859</v>
      </c>
      <c r="B357" s="33" t="s">
        <v>1114</v>
      </c>
      <c r="C357" s="33" t="s">
        <v>55</v>
      </c>
      <c r="D357" s="33">
        <v>28822.5</v>
      </c>
      <c r="E357" s="33">
        <v>1483.69</v>
      </c>
      <c r="F357" s="33">
        <v>15268.79</v>
      </c>
      <c r="G357" s="33">
        <v>11248.01</v>
      </c>
      <c r="H357" s="33">
        <v>3789.39</v>
      </c>
      <c r="I357" s="33" t="s">
        <v>1509</v>
      </c>
    </row>
    <row r="358" spans="1:9">
      <c r="A358" s="38" t="s">
        <v>1860</v>
      </c>
      <c r="B358" s="38" t="s">
        <v>1116</v>
      </c>
      <c r="C358" s="38" t="s">
        <v>65</v>
      </c>
      <c r="D358" s="38">
        <v>91700.18</v>
      </c>
      <c r="E358" s="38">
        <v>6748.11</v>
      </c>
      <c r="F358" s="38">
        <v>28558.76</v>
      </c>
      <c r="G358" s="38">
        <v>11549.6</v>
      </c>
      <c r="H358" s="38">
        <v>58339.93</v>
      </c>
      <c r="I358" s="38" t="s">
        <v>1509</v>
      </c>
    </row>
    <row r="359" spans="1:9">
      <c r="A359" s="33" t="s">
        <v>1861</v>
      </c>
      <c r="B359" s="33" t="s">
        <v>1118</v>
      </c>
      <c r="C359" s="33" t="s">
        <v>117</v>
      </c>
      <c r="D359" s="33">
        <v>141677.44</v>
      </c>
      <c r="E359" s="33">
        <v>6498.16</v>
      </c>
      <c r="F359" s="33">
        <v>34558.589999999997</v>
      </c>
      <c r="G359" s="33">
        <v>10083.950000000001</v>
      </c>
      <c r="H359" s="33">
        <v>103533.06</v>
      </c>
      <c r="I359" s="33" t="s">
        <v>1511</v>
      </c>
    </row>
    <row r="360" spans="1:9">
      <c r="A360" s="38" t="s">
        <v>1862</v>
      </c>
      <c r="B360" s="38" t="s">
        <v>1120</v>
      </c>
      <c r="C360" s="38" t="s">
        <v>24</v>
      </c>
      <c r="D360" s="38">
        <v>39683.599999999999</v>
      </c>
      <c r="E360" s="38">
        <v>5680.23</v>
      </c>
      <c r="F360" s="38">
        <v>8016.72</v>
      </c>
      <c r="G360" s="38">
        <v>8277.57</v>
      </c>
      <c r="H360" s="38">
        <v>29069.54</v>
      </c>
      <c r="I360" s="38" t="s">
        <v>1502</v>
      </c>
    </row>
    <row r="361" spans="1:9">
      <c r="A361" s="33" t="s">
        <v>1863</v>
      </c>
      <c r="B361" s="33" t="s">
        <v>1122</v>
      </c>
      <c r="C361" s="33" t="s">
        <v>41</v>
      </c>
      <c r="D361" s="33">
        <v>145286.39999999999</v>
      </c>
      <c r="E361" s="33">
        <v>1996.13</v>
      </c>
      <c r="F361" s="33">
        <v>26201.22</v>
      </c>
      <c r="G361" s="33">
        <v>3311.75</v>
      </c>
      <c r="H361" s="33">
        <v>117769.56</v>
      </c>
      <c r="I361" s="33" t="s">
        <v>1509</v>
      </c>
    </row>
    <row r="362" spans="1:9">
      <c r="A362" s="38" t="s">
        <v>1864</v>
      </c>
      <c r="B362" s="38" t="s">
        <v>1125</v>
      </c>
      <c r="C362" s="38" t="s">
        <v>67</v>
      </c>
      <c r="D362" s="38">
        <v>76727.97</v>
      </c>
      <c r="E362" s="38">
        <v>7572.91</v>
      </c>
      <c r="F362" s="38">
        <v>22280.38</v>
      </c>
      <c r="G362" s="38">
        <v>5051.3500000000004</v>
      </c>
      <c r="H362" s="38">
        <v>56969.15</v>
      </c>
      <c r="I362" s="38" t="s">
        <v>1504</v>
      </c>
    </row>
    <row r="363" spans="1:9">
      <c r="A363" s="33" t="s">
        <v>1865</v>
      </c>
      <c r="B363" s="33" t="s">
        <v>1127</v>
      </c>
      <c r="C363" s="33" t="s">
        <v>80</v>
      </c>
      <c r="D363" s="33">
        <v>40848.39</v>
      </c>
      <c r="E363" s="33">
        <v>7994.46</v>
      </c>
      <c r="F363" s="33">
        <v>17557.54</v>
      </c>
      <c r="G363" s="33">
        <v>5390.5</v>
      </c>
      <c r="H363" s="33">
        <v>25894.81</v>
      </c>
      <c r="I363" s="33" t="s">
        <v>1502</v>
      </c>
    </row>
    <row r="364" spans="1:9">
      <c r="A364" s="38" t="s">
        <v>1866</v>
      </c>
      <c r="B364" s="38" t="s">
        <v>1129</v>
      </c>
      <c r="C364" s="38" t="s">
        <v>65</v>
      </c>
      <c r="D364" s="38">
        <v>152510.68</v>
      </c>
      <c r="E364" s="38">
        <v>1810.36</v>
      </c>
      <c r="F364" s="38">
        <v>35081.160000000003</v>
      </c>
      <c r="G364" s="38">
        <v>8545.23</v>
      </c>
      <c r="H364" s="38">
        <v>110694.65</v>
      </c>
      <c r="I364" s="38" t="s">
        <v>1504</v>
      </c>
    </row>
    <row r="365" spans="1:9">
      <c r="A365" s="33" t="s">
        <v>1867</v>
      </c>
      <c r="B365" s="33" t="s">
        <v>1131</v>
      </c>
      <c r="C365" s="33" t="s">
        <v>175</v>
      </c>
      <c r="D365" s="33">
        <v>15627.6</v>
      </c>
      <c r="E365" s="33">
        <v>3033.01</v>
      </c>
      <c r="F365" s="33">
        <v>8988.93</v>
      </c>
      <c r="G365" s="33">
        <v>4946.97</v>
      </c>
      <c r="H365" s="33">
        <v>4724.71</v>
      </c>
      <c r="I365" s="33" t="s">
        <v>1502</v>
      </c>
    </row>
    <row r="366" spans="1:9">
      <c r="A366" s="38" t="s">
        <v>1868</v>
      </c>
      <c r="B366" s="38" t="s">
        <v>1134</v>
      </c>
      <c r="C366" s="38" t="s">
        <v>22</v>
      </c>
      <c r="D366" s="38">
        <v>173916.66</v>
      </c>
      <c r="E366" s="38">
        <v>4147.74</v>
      </c>
      <c r="F366" s="38">
        <v>39778.199999999997</v>
      </c>
      <c r="G366" s="38">
        <v>12203.52</v>
      </c>
      <c r="H366" s="38">
        <v>126082.68</v>
      </c>
      <c r="I366" s="38" t="s">
        <v>1504</v>
      </c>
    </row>
    <row r="367" spans="1:9">
      <c r="A367" s="33" t="s">
        <v>1869</v>
      </c>
      <c r="B367" s="33" t="s">
        <v>1137</v>
      </c>
      <c r="C367" s="33" t="s">
        <v>49</v>
      </c>
      <c r="D367" s="33">
        <v>107670.42</v>
      </c>
      <c r="E367" s="33">
        <v>6275.71</v>
      </c>
      <c r="F367" s="33">
        <v>24495.78</v>
      </c>
      <c r="G367" s="33">
        <v>13652.13</v>
      </c>
      <c r="H367" s="33">
        <v>75798.22</v>
      </c>
      <c r="I367" s="33" t="s">
        <v>1504</v>
      </c>
    </row>
    <row r="368" spans="1:9">
      <c r="A368" s="38" t="s">
        <v>1870</v>
      </c>
      <c r="B368" s="38" t="s">
        <v>1140</v>
      </c>
      <c r="C368" s="38" t="s">
        <v>39</v>
      </c>
      <c r="D368" s="38">
        <v>31726.639999999999</v>
      </c>
      <c r="E368" s="38">
        <v>5798.04</v>
      </c>
      <c r="F368" s="38">
        <v>37432.120000000003</v>
      </c>
      <c r="G368" s="38">
        <v>7691.75</v>
      </c>
      <c r="H368" s="38">
        <v>-7599.19</v>
      </c>
      <c r="I368" s="38" t="s">
        <v>1509</v>
      </c>
    </row>
    <row r="369" spans="1:9">
      <c r="A369" s="33" t="s">
        <v>1871</v>
      </c>
      <c r="B369" s="33" t="s">
        <v>1142</v>
      </c>
      <c r="C369" s="33" t="s">
        <v>102</v>
      </c>
      <c r="D369" s="33">
        <v>9897.6</v>
      </c>
      <c r="E369" s="33">
        <v>7719.85</v>
      </c>
      <c r="F369" s="33">
        <v>31451.75</v>
      </c>
      <c r="G369" s="33">
        <v>14670.58</v>
      </c>
      <c r="H369" s="33">
        <v>-28504.880000000001</v>
      </c>
      <c r="I369" s="33" t="s">
        <v>1504</v>
      </c>
    </row>
    <row r="370" spans="1:9">
      <c r="A370" s="38" t="s">
        <v>1872</v>
      </c>
      <c r="B370" s="38" t="s">
        <v>1144</v>
      </c>
      <c r="C370" s="38" t="s">
        <v>130</v>
      </c>
      <c r="D370" s="38">
        <v>137865.78</v>
      </c>
      <c r="E370" s="38">
        <v>6677.08</v>
      </c>
      <c r="F370" s="38">
        <v>6468.93</v>
      </c>
      <c r="G370" s="38">
        <v>3370.34</v>
      </c>
      <c r="H370" s="38">
        <v>134703.59</v>
      </c>
      <c r="I370" s="38" t="s">
        <v>1504</v>
      </c>
    </row>
    <row r="371" spans="1:9">
      <c r="A371" s="33" t="s">
        <v>1873</v>
      </c>
      <c r="B371" s="33" t="s">
        <v>1146</v>
      </c>
      <c r="C371" s="33" t="s">
        <v>102</v>
      </c>
      <c r="D371" s="33">
        <v>86260.35</v>
      </c>
      <c r="E371" s="33">
        <v>7031.52</v>
      </c>
      <c r="F371" s="33">
        <v>36884.5</v>
      </c>
      <c r="G371" s="33">
        <v>4041.42</v>
      </c>
      <c r="H371" s="33">
        <v>52365.95</v>
      </c>
      <c r="I371" s="33" t="s">
        <v>1511</v>
      </c>
    </row>
    <row r="372" spans="1:9">
      <c r="A372" s="38" t="s">
        <v>1874</v>
      </c>
      <c r="B372" s="38" t="s">
        <v>1148</v>
      </c>
      <c r="C372" s="38" t="s">
        <v>117</v>
      </c>
      <c r="D372" s="38">
        <v>55942.64</v>
      </c>
      <c r="E372" s="38">
        <v>5811.23</v>
      </c>
      <c r="F372" s="38">
        <v>31668.76</v>
      </c>
      <c r="G372" s="38">
        <v>8479.08</v>
      </c>
      <c r="H372" s="38">
        <v>21606.03</v>
      </c>
      <c r="I372" s="38" t="s">
        <v>1504</v>
      </c>
    </row>
    <row r="373" spans="1:9">
      <c r="A373" s="33" t="s">
        <v>1875</v>
      </c>
      <c r="B373" s="33" t="s">
        <v>1150</v>
      </c>
      <c r="C373" s="33" t="s">
        <v>74</v>
      </c>
      <c r="D373" s="33">
        <v>177709.44</v>
      </c>
      <c r="E373" s="33">
        <v>1657.22</v>
      </c>
      <c r="F373" s="33"/>
      <c r="G373" s="33">
        <v>12649.09</v>
      </c>
      <c r="H373" s="33">
        <v>148986.78</v>
      </c>
      <c r="I373" s="33" t="s">
        <v>1504</v>
      </c>
    </row>
    <row r="374" spans="1:9">
      <c r="A374" s="38" t="s">
        <v>1876</v>
      </c>
      <c r="B374" s="38" t="s">
        <v>1153</v>
      </c>
      <c r="C374" s="38" t="s">
        <v>22</v>
      </c>
      <c r="D374" s="38">
        <v>71422.320000000007</v>
      </c>
      <c r="E374" s="38">
        <v>6864.46</v>
      </c>
      <c r="F374" s="38">
        <v>20368.8</v>
      </c>
      <c r="G374" s="38">
        <v>7404.75</v>
      </c>
      <c r="H374" s="38">
        <v>50513.23</v>
      </c>
      <c r="I374" s="38" t="s">
        <v>1504</v>
      </c>
    </row>
    <row r="375" spans="1:9">
      <c r="A375" s="33" t="s">
        <v>1877</v>
      </c>
      <c r="B375" s="33" t="s">
        <v>1156</v>
      </c>
      <c r="C375" s="33" t="s">
        <v>184</v>
      </c>
      <c r="D375" s="33">
        <v>60249</v>
      </c>
      <c r="E375" s="33">
        <v>2339.87</v>
      </c>
      <c r="F375" s="33">
        <v>33320.080000000002</v>
      </c>
      <c r="G375" s="33">
        <v>6437.16</v>
      </c>
      <c r="H375" s="33">
        <v>22831.63</v>
      </c>
      <c r="I375" s="33" t="s">
        <v>1502</v>
      </c>
    </row>
    <row r="376" spans="1:9">
      <c r="A376" s="38" t="s">
        <v>1878</v>
      </c>
      <c r="B376" s="38" t="s">
        <v>1159</v>
      </c>
      <c r="C376" s="38" t="s">
        <v>102</v>
      </c>
      <c r="D376" s="38">
        <v>20231.64</v>
      </c>
      <c r="E376" s="38">
        <v>1139.25</v>
      </c>
      <c r="F376" s="38">
        <v>18035.27</v>
      </c>
      <c r="G376" s="38">
        <v>11812.99</v>
      </c>
      <c r="H376" s="38">
        <v>-8477.3700000000008</v>
      </c>
      <c r="I376" s="38" t="s">
        <v>1511</v>
      </c>
    </row>
    <row r="377" spans="1:9">
      <c r="A377" s="33" t="s">
        <v>1879</v>
      </c>
      <c r="B377" s="33" t="s">
        <v>1160</v>
      </c>
      <c r="C377" s="33" t="s">
        <v>49</v>
      </c>
      <c r="D377" s="33">
        <v>96361.65</v>
      </c>
      <c r="E377" s="33">
        <v>5220.8</v>
      </c>
      <c r="F377" s="33">
        <v>13590.79</v>
      </c>
      <c r="G377" s="33">
        <v>11791.68</v>
      </c>
      <c r="H377" s="33">
        <v>76199.98</v>
      </c>
      <c r="I377" s="33" t="s">
        <v>1509</v>
      </c>
    </row>
    <row r="378" spans="1:9">
      <c r="A378" s="38" t="s">
        <v>1880</v>
      </c>
      <c r="B378" s="38" t="s">
        <v>1163</v>
      </c>
      <c r="C378" s="38" t="s">
        <v>49</v>
      </c>
      <c r="D378" s="38">
        <v>69157.7</v>
      </c>
      <c r="E378" s="38">
        <v>6404.12</v>
      </c>
      <c r="F378" s="38">
        <v>9829.7999999999993</v>
      </c>
      <c r="G378" s="38">
        <v>7574.7</v>
      </c>
      <c r="H378" s="38">
        <v>58157.32</v>
      </c>
      <c r="I378" s="38" t="s">
        <v>1509</v>
      </c>
    </row>
    <row r="379" spans="1:9">
      <c r="A379" s="33" t="s">
        <v>1881</v>
      </c>
      <c r="B379" s="33" t="s">
        <v>1165</v>
      </c>
      <c r="C379" s="33" t="s">
        <v>74</v>
      </c>
      <c r="D379" s="33">
        <v>157546.16</v>
      </c>
      <c r="E379" s="33">
        <v>7235.49</v>
      </c>
      <c r="F379" s="33">
        <v>38314.42</v>
      </c>
      <c r="G379" s="33">
        <v>8710.02</v>
      </c>
      <c r="H379" s="33">
        <v>117757.21</v>
      </c>
      <c r="I379" s="33" t="s">
        <v>1511</v>
      </c>
    </row>
    <row r="380" spans="1:9">
      <c r="A380" s="38" t="s">
        <v>1882</v>
      </c>
      <c r="B380" s="38" t="s">
        <v>1168</v>
      </c>
      <c r="C380" s="38" t="s">
        <v>22</v>
      </c>
      <c r="D380" s="38">
        <v>73837.8</v>
      </c>
      <c r="E380" s="38">
        <v>7578.05</v>
      </c>
      <c r="F380" s="38">
        <v>20490.25</v>
      </c>
      <c r="G380" s="38">
        <v>12011.97</v>
      </c>
      <c r="H380" s="38">
        <v>48913.63</v>
      </c>
      <c r="I380" s="38" t="s">
        <v>1504</v>
      </c>
    </row>
    <row r="381" spans="1:9">
      <c r="A381" s="33" t="s">
        <v>1883</v>
      </c>
      <c r="B381" s="33" t="s">
        <v>1170</v>
      </c>
      <c r="C381" s="33" t="s">
        <v>157</v>
      </c>
      <c r="D381" s="33">
        <v>87518.88</v>
      </c>
      <c r="E381" s="33">
        <v>1135.8399999999999</v>
      </c>
      <c r="F381" s="33">
        <v>16018.16</v>
      </c>
      <c r="G381" s="33">
        <v>14765.28</v>
      </c>
      <c r="H381" s="33">
        <v>57871.28</v>
      </c>
      <c r="I381" s="33" t="s">
        <v>1502</v>
      </c>
    </row>
    <row r="382" spans="1:9">
      <c r="A382" s="38" t="s">
        <v>1884</v>
      </c>
      <c r="B382" s="38" t="s">
        <v>1173</v>
      </c>
      <c r="C382" s="38" t="s">
        <v>41</v>
      </c>
      <c r="D382" s="38">
        <v>0</v>
      </c>
      <c r="E382" s="38">
        <v>0</v>
      </c>
      <c r="F382" s="38">
        <v>20192.53</v>
      </c>
      <c r="G382" s="38">
        <v>7112.46</v>
      </c>
      <c r="H382" s="38">
        <v>-27304.99</v>
      </c>
      <c r="I382" s="38" t="s">
        <v>1504</v>
      </c>
    </row>
    <row r="383" spans="1:9">
      <c r="A383" s="33" t="s">
        <v>1885</v>
      </c>
      <c r="B383" s="33" t="s">
        <v>1176</v>
      </c>
      <c r="C383" s="33" t="s">
        <v>130</v>
      </c>
      <c r="D383" s="33">
        <v>49052.85</v>
      </c>
      <c r="E383" s="33">
        <v>5451.32</v>
      </c>
      <c r="F383" s="33">
        <v>27451.3</v>
      </c>
      <c r="G383" s="33">
        <v>13732.64</v>
      </c>
      <c r="H383" s="33">
        <v>13320.23</v>
      </c>
      <c r="I383" s="33" t="s">
        <v>1504</v>
      </c>
    </row>
    <row r="384" spans="1:9">
      <c r="A384" s="38" t="s">
        <v>1886</v>
      </c>
      <c r="B384" s="38" t="s">
        <v>1178</v>
      </c>
      <c r="C384" s="38" t="s">
        <v>157</v>
      </c>
      <c r="D384" s="38">
        <v>91998.720000000001</v>
      </c>
      <c r="E384" s="38">
        <v>7833</v>
      </c>
      <c r="F384" s="38">
        <v>39301.65</v>
      </c>
      <c r="G384" s="38">
        <v>12387.92</v>
      </c>
      <c r="H384" s="38">
        <v>48142.15</v>
      </c>
      <c r="I384" s="38" t="s">
        <v>1511</v>
      </c>
    </row>
    <row r="385" spans="1:9">
      <c r="A385" s="33" t="s">
        <v>1887</v>
      </c>
      <c r="B385" s="33" t="s">
        <v>1181</v>
      </c>
      <c r="C385" s="33" t="s">
        <v>24</v>
      </c>
      <c r="D385" s="33">
        <v>46922.94</v>
      </c>
      <c r="E385" s="33">
        <v>3644.79</v>
      </c>
      <c r="F385" s="33">
        <v>36002.400000000001</v>
      </c>
      <c r="G385" s="33">
        <v>11110.28</v>
      </c>
      <c r="H385" s="33">
        <v>3455.05</v>
      </c>
      <c r="I385" s="33" t="s">
        <v>1511</v>
      </c>
    </row>
    <row r="386" spans="1:9">
      <c r="A386" s="38" t="s">
        <v>1888</v>
      </c>
      <c r="B386" s="38" t="s">
        <v>1183</v>
      </c>
      <c r="C386" s="38" t="s">
        <v>80</v>
      </c>
      <c r="D386" s="38">
        <v>121097.3</v>
      </c>
      <c r="E386" s="38">
        <v>5911.63</v>
      </c>
      <c r="F386" s="38">
        <v>15979.33</v>
      </c>
      <c r="G386" s="38">
        <v>6474.05</v>
      </c>
      <c r="H386" s="38">
        <v>104555.55</v>
      </c>
      <c r="I386" s="38" t="s">
        <v>1511</v>
      </c>
    </row>
    <row r="387" spans="1:9">
      <c r="A387" s="33" t="s">
        <v>1889</v>
      </c>
      <c r="B387" s="33" t="s">
        <v>1186</v>
      </c>
      <c r="C387" s="33" t="s">
        <v>57</v>
      </c>
      <c r="D387" s="33">
        <v>89345.03</v>
      </c>
      <c r="E387" s="33">
        <v>7251.56</v>
      </c>
      <c r="F387" s="33">
        <v>26364.04</v>
      </c>
      <c r="G387" s="33">
        <v>3909.2</v>
      </c>
      <c r="H387" s="33">
        <v>66323.350000000006</v>
      </c>
      <c r="I387" s="33" t="s">
        <v>1509</v>
      </c>
    </row>
    <row r="388" spans="1:9">
      <c r="A388" s="38" t="s">
        <v>1890</v>
      </c>
      <c r="B388" s="38" t="s">
        <v>1189</v>
      </c>
      <c r="C388" s="38" t="s">
        <v>157</v>
      </c>
      <c r="D388" s="38">
        <v>22369.439999999999</v>
      </c>
      <c r="E388" s="38">
        <v>3846.42</v>
      </c>
      <c r="F388" s="38">
        <v>12179.67</v>
      </c>
      <c r="G388" s="38">
        <v>9077.5300000000007</v>
      </c>
      <c r="H388" s="38">
        <v>4958.66</v>
      </c>
      <c r="I388" s="38" t="s">
        <v>1509</v>
      </c>
    </row>
    <row r="389" spans="1:9">
      <c r="A389" s="33" t="s">
        <v>1891</v>
      </c>
      <c r="B389" s="33" t="s">
        <v>1192</v>
      </c>
      <c r="C389" s="33" t="s">
        <v>22</v>
      </c>
      <c r="D389" s="33">
        <v>92599.9</v>
      </c>
      <c r="E389" s="33">
        <v>5731.03</v>
      </c>
      <c r="F389" s="33">
        <v>36068.620000000003</v>
      </c>
      <c r="G389" s="33">
        <v>12160.32</v>
      </c>
      <c r="H389" s="33">
        <v>50101.99</v>
      </c>
      <c r="I389" s="33" t="s">
        <v>1509</v>
      </c>
    </row>
    <row r="390" spans="1:9">
      <c r="A390" s="38" t="s">
        <v>1892</v>
      </c>
      <c r="B390" s="38" t="s">
        <v>1194</v>
      </c>
      <c r="C390" s="38" t="s">
        <v>41</v>
      </c>
      <c r="D390" s="38">
        <v>150767.28</v>
      </c>
      <c r="E390" s="38">
        <v>6315.5</v>
      </c>
      <c r="F390" s="38">
        <v>35834.11</v>
      </c>
      <c r="G390" s="38">
        <v>3095.65</v>
      </c>
      <c r="H390" s="38">
        <v>118153.02</v>
      </c>
      <c r="I390" s="38" t="s">
        <v>1511</v>
      </c>
    </row>
    <row r="391" spans="1:9">
      <c r="A391" s="33" t="s">
        <v>1893</v>
      </c>
      <c r="B391" s="33" t="s">
        <v>1196</v>
      </c>
      <c r="C391" s="33" t="s">
        <v>184</v>
      </c>
      <c r="D391" s="33">
        <v>36114</v>
      </c>
      <c r="E391" s="33">
        <v>3424.95</v>
      </c>
      <c r="F391" s="33">
        <v>30160.82</v>
      </c>
      <c r="G391" s="33">
        <v>13438.38</v>
      </c>
      <c r="H391" s="33">
        <v>-4060.25</v>
      </c>
      <c r="I391" s="33" t="s">
        <v>1511</v>
      </c>
    </row>
    <row r="392" spans="1:9">
      <c r="A392" s="38" t="s">
        <v>1894</v>
      </c>
      <c r="B392" s="38" t="s">
        <v>1198</v>
      </c>
      <c r="C392" s="38" t="s">
        <v>96</v>
      </c>
      <c r="D392" s="38">
        <v>131425.14000000001</v>
      </c>
      <c r="E392" s="38">
        <v>2103.0100000000002</v>
      </c>
      <c r="F392" s="38">
        <v>22908.51</v>
      </c>
      <c r="G392" s="38">
        <v>6059.28</v>
      </c>
      <c r="H392" s="38">
        <v>104560.36</v>
      </c>
      <c r="I392" s="38" t="s">
        <v>1511</v>
      </c>
    </row>
    <row r="393" spans="1:9">
      <c r="A393" s="33" t="s">
        <v>1895</v>
      </c>
      <c r="B393" s="33" t="s">
        <v>1201</v>
      </c>
      <c r="C393" s="33" t="s">
        <v>157</v>
      </c>
      <c r="D393" s="33">
        <v>61801.85</v>
      </c>
      <c r="E393" s="33">
        <v>6177.85</v>
      </c>
      <c r="F393" s="33">
        <v>10600.96</v>
      </c>
      <c r="G393" s="33">
        <v>2362.59</v>
      </c>
      <c r="H393" s="33">
        <v>55016.15</v>
      </c>
      <c r="I393" s="33" t="s">
        <v>1511</v>
      </c>
    </row>
    <row r="394" spans="1:9">
      <c r="A394" s="38" t="s">
        <v>1896</v>
      </c>
      <c r="B394" s="38" t="s">
        <v>1204</v>
      </c>
      <c r="C394" s="38" t="s">
        <v>74</v>
      </c>
      <c r="D394" s="38">
        <v>72832.399999999994</v>
      </c>
      <c r="E394" s="38">
        <v>2310.0500000000002</v>
      </c>
      <c r="F394" s="38">
        <v>32095.52</v>
      </c>
      <c r="G394" s="38">
        <v>11444.62</v>
      </c>
      <c r="H394" s="38">
        <v>31602.31</v>
      </c>
      <c r="I394" s="38" t="s">
        <v>1504</v>
      </c>
    </row>
    <row r="395" spans="1:9">
      <c r="A395" s="33" t="s">
        <v>1897</v>
      </c>
      <c r="B395" s="33" t="s">
        <v>1207</v>
      </c>
      <c r="C395" s="33" t="s">
        <v>102</v>
      </c>
      <c r="D395" s="33">
        <v>65857.94</v>
      </c>
      <c r="E395" s="33">
        <v>5989.9</v>
      </c>
      <c r="F395" s="33">
        <v>34455.42</v>
      </c>
      <c r="G395" s="33">
        <v>5376.83</v>
      </c>
      <c r="H395" s="33">
        <v>32015.59</v>
      </c>
      <c r="I395" s="33" t="s">
        <v>1511</v>
      </c>
    </row>
    <row r="396" spans="1:9">
      <c r="A396" s="38" t="s">
        <v>1898</v>
      </c>
      <c r="B396" s="38" t="s">
        <v>1210</v>
      </c>
      <c r="C396" s="38" t="s">
        <v>157</v>
      </c>
      <c r="D396" s="38">
        <v>123558.89</v>
      </c>
      <c r="E396" s="38">
        <v>1428.6</v>
      </c>
      <c r="F396" s="38">
        <v>31479.599999999999</v>
      </c>
      <c r="G396" s="38">
        <v>14237.46</v>
      </c>
      <c r="H396" s="38">
        <v>79270.429999999993</v>
      </c>
      <c r="I396" s="38" t="s">
        <v>1509</v>
      </c>
    </row>
    <row r="397" spans="1:9">
      <c r="A397" s="33" t="s">
        <v>1899</v>
      </c>
      <c r="B397" s="33" t="s">
        <v>1213</v>
      </c>
      <c r="C397" s="33" t="s">
        <v>130</v>
      </c>
      <c r="D397" s="33">
        <v>197974.27</v>
      </c>
      <c r="E397" s="33">
        <v>2734.71</v>
      </c>
      <c r="F397" s="33">
        <v>30790.05</v>
      </c>
      <c r="G397" s="33">
        <v>7890.91</v>
      </c>
      <c r="H397" s="33">
        <v>162028.01999999999</v>
      </c>
      <c r="I397" s="33" t="s">
        <v>1502</v>
      </c>
    </row>
    <row r="398" spans="1:9">
      <c r="A398" s="38" t="s">
        <v>1900</v>
      </c>
      <c r="B398" s="38" t="s">
        <v>1216</v>
      </c>
      <c r="C398" s="38" t="s">
        <v>198</v>
      </c>
      <c r="D398" s="38">
        <v>7776.63</v>
      </c>
      <c r="E398" s="38">
        <v>6540.41</v>
      </c>
      <c r="F398" s="38">
        <v>39615</v>
      </c>
      <c r="G398" s="38">
        <v>9352.76</v>
      </c>
      <c r="H398" s="38">
        <v>-34650.720000000001</v>
      </c>
      <c r="I398" s="38" t="s">
        <v>1502</v>
      </c>
    </row>
    <row r="399" spans="1:9">
      <c r="A399" s="33" t="s">
        <v>1901</v>
      </c>
      <c r="B399" s="33" t="s">
        <v>1219</v>
      </c>
      <c r="C399" s="33" t="s">
        <v>67</v>
      </c>
      <c r="D399" s="33">
        <v>67431.78</v>
      </c>
      <c r="E399" s="33">
        <v>3127.53</v>
      </c>
      <c r="F399" s="33">
        <v>14958.74</v>
      </c>
      <c r="G399" s="33">
        <v>12202.26</v>
      </c>
      <c r="H399" s="33">
        <v>43398.31</v>
      </c>
      <c r="I399" s="33" t="s">
        <v>1502</v>
      </c>
    </row>
    <row r="400" spans="1:9">
      <c r="A400" s="38" t="s">
        <v>1902</v>
      </c>
      <c r="B400" s="38" t="s">
        <v>1221</v>
      </c>
      <c r="C400" s="38" t="s">
        <v>157</v>
      </c>
      <c r="D400" s="38">
        <v>21976.35</v>
      </c>
      <c r="E400" s="38">
        <v>5857.63</v>
      </c>
      <c r="F400" s="38">
        <v>23188.33</v>
      </c>
      <c r="G400" s="38">
        <v>5219.2299999999996</v>
      </c>
      <c r="H400" s="38">
        <v>-573.58000000000004</v>
      </c>
      <c r="I400" s="38" t="s">
        <v>1511</v>
      </c>
    </row>
    <row r="401" spans="1:9">
      <c r="A401" s="33" t="s">
        <v>1903</v>
      </c>
      <c r="B401" s="33" t="s">
        <v>1224</v>
      </c>
      <c r="C401" s="33" t="s">
        <v>117</v>
      </c>
      <c r="D401" s="33">
        <v>42800.639999999999</v>
      </c>
      <c r="E401" s="33">
        <v>4373.3900000000003</v>
      </c>
      <c r="F401" s="33">
        <v>11739.43</v>
      </c>
      <c r="G401" s="33">
        <v>12121.14</v>
      </c>
      <c r="H401" s="33">
        <v>23313.46</v>
      </c>
      <c r="I401" s="33" t="s">
        <v>1509</v>
      </c>
    </row>
    <row r="402" spans="1:9">
      <c r="A402" s="38" t="s">
        <v>1904</v>
      </c>
      <c r="B402" s="38" t="s">
        <v>1226</v>
      </c>
      <c r="C402" s="38" t="s">
        <v>96</v>
      </c>
      <c r="D402" s="38">
        <v>0</v>
      </c>
      <c r="E402" s="38">
        <v>0</v>
      </c>
      <c r="F402" s="38">
        <v>8429.57</v>
      </c>
      <c r="G402" s="38">
        <v>11251.33</v>
      </c>
      <c r="H402" s="38">
        <v>-19680.900000000001</v>
      </c>
      <c r="I402" s="38" t="s">
        <v>1509</v>
      </c>
    </row>
    <row r="403" spans="1:9">
      <c r="A403" s="33" t="s">
        <v>1905</v>
      </c>
      <c r="B403" s="33" t="s">
        <v>1229</v>
      </c>
      <c r="C403" s="33" t="s">
        <v>175</v>
      </c>
      <c r="D403" s="33">
        <v>136085.04</v>
      </c>
      <c r="E403" s="33">
        <v>1114.5999999999999</v>
      </c>
      <c r="F403" s="33">
        <v>7176.78</v>
      </c>
      <c r="G403" s="33">
        <v>13550.62</v>
      </c>
      <c r="H403" s="33">
        <v>116472.24</v>
      </c>
      <c r="I403" s="33" t="s">
        <v>1509</v>
      </c>
    </row>
    <row r="404" spans="1:9">
      <c r="A404" s="38" t="s">
        <v>1906</v>
      </c>
      <c r="B404" s="38" t="s">
        <v>1232</v>
      </c>
      <c r="C404" s="38" t="s">
        <v>67</v>
      </c>
      <c r="D404" s="38">
        <v>65830.59</v>
      </c>
      <c r="E404" s="38">
        <v>2110.88</v>
      </c>
      <c r="F404" s="38">
        <v>7732.54</v>
      </c>
      <c r="G404" s="38">
        <v>10798.69</v>
      </c>
      <c r="H404" s="38">
        <v>49410.239999999998</v>
      </c>
      <c r="I404" s="38" t="s">
        <v>1509</v>
      </c>
    </row>
    <row r="405" spans="1:9">
      <c r="A405" s="33" t="s">
        <v>1907</v>
      </c>
      <c r="B405" s="33" t="s">
        <v>1235</v>
      </c>
      <c r="C405" s="33" t="s">
        <v>130</v>
      </c>
      <c r="D405" s="33">
        <v>33594</v>
      </c>
      <c r="E405" s="33">
        <v>4911.8</v>
      </c>
      <c r="F405" s="33">
        <v>23163.07</v>
      </c>
      <c r="G405" s="33">
        <v>7132.17</v>
      </c>
      <c r="H405" s="33">
        <v>8210.56</v>
      </c>
      <c r="I405" s="33" t="s">
        <v>1511</v>
      </c>
    </row>
    <row r="406" spans="1:9">
      <c r="A406" s="38" t="s">
        <v>1908</v>
      </c>
      <c r="B406" s="38" t="s">
        <v>1237</v>
      </c>
      <c r="C406" s="38" t="s">
        <v>157</v>
      </c>
      <c r="D406" s="38">
        <v>24213</v>
      </c>
      <c r="E406" s="38">
        <v>4882.28</v>
      </c>
      <c r="F406" s="38">
        <v>27276.14</v>
      </c>
      <c r="G406" s="38">
        <v>14954.65</v>
      </c>
      <c r="H406" s="38">
        <v>-13135.51</v>
      </c>
      <c r="I406" s="38" t="s">
        <v>1509</v>
      </c>
    </row>
    <row r="407" spans="1:9">
      <c r="A407" s="33" t="s">
        <v>1909</v>
      </c>
      <c r="B407" s="33" t="s">
        <v>1240</v>
      </c>
      <c r="C407" s="33" t="s">
        <v>24</v>
      </c>
      <c r="D407" s="33">
        <v>117586.76</v>
      </c>
      <c r="E407" s="33">
        <v>5987.88</v>
      </c>
      <c r="F407" s="33">
        <v>19592.28</v>
      </c>
      <c r="G407" s="33">
        <v>4116.96</v>
      </c>
      <c r="H407" s="33">
        <v>99865.4</v>
      </c>
      <c r="I407" s="33" t="s">
        <v>1502</v>
      </c>
    </row>
    <row r="408" spans="1:9">
      <c r="A408" s="38" t="s">
        <v>1910</v>
      </c>
      <c r="B408" s="38" t="s">
        <v>1243</v>
      </c>
      <c r="C408" s="38" t="s">
        <v>57</v>
      </c>
      <c r="D408" s="38">
        <v>161284.1</v>
      </c>
      <c r="E408" s="38">
        <v>4135.7299999999996</v>
      </c>
      <c r="F408" s="38">
        <v>21019.95</v>
      </c>
      <c r="G408" s="38">
        <v>14584.41</v>
      </c>
      <c r="H408" s="38">
        <v>129815.47</v>
      </c>
      <c r="I408" s="38" t="s">
        <v>1504</v>
      </c>
    </row>
    <row r="409" spans="1:9">
      <c r="A409" s="33" t="s">
        <v>1911</v>
      </c>
      <c r="B409" s="33" t="s">
        <v>1244</v>
      </c>
      <c r="C409" s="33" t="s">
        <v>175</v>
      </c>
      <c r="D409" s="33">
        <v>38536.559999999998</v>
      </c>
      <c r="E409" s="33">
        <v>5708.53</v>
      </c>
      <c r="F409" s="33">
        <v>20940.13</v>
      </c>
      <c r="G409" s="33">
        <v>2423.9</v>
      </c>
      <c r="H409" s="33">
        <v>20881.060000000001</v>
      </c>
      <c r="I409" s="33" t="s">
        <v>1502</v>
      </c>
    </row>
    <row r="410" spans="1:9">
      <c r="A410" s="38" t="s">
        <v>1912</v>
      </c>
      <c r="B410" s="38" t="s">
        <v>1247</v>
      </c>
      <c r="C410" s="38" t="s">
        <v>80</v>
      </c>
      <c r="D410" s="38">
        <v>226766.74</v>
      </c>
      <c r="E410" s="38">
        <v>7580.52</v>
      </c>
      <c r="F410" s="38">
        <v>17926.62</v>
      </c>
      <c r="G410" s="38">
        <v>14373.68</v>
      </c>
      <c r="H410" s="38">
        <v>202046.96</v>
      </c>
      <c r="I410" s="38" t="s">
        <v>1509</v>
      </c>
    </row>
    <row r="411" spans="1:9">
      <c r="A411" s="33" t="s">
        <v>1913</v>
      </c>
      <c r="B411" s="33" t="s">
        <v>1248</v>
      </c>
      <c r="C411" s="33" t="s">
        <v>80</v>
      </c>
      <c r="D411" s="33">
        <v>188381.27</v>
      </c>
      <c r="E411" s="33">
        <v>1327.52</v>
      </c>
      <c r="F411" s="33">
        <v>17935.509999999998</v>
      </c>
      <c r="G411" s="33">
        <v>5764.68</v>
      </c>
      <c r="H411" s="33">
        <v>166008.6</v>
      </c>
      <c r="I411" s="33" t="s">
        <v>1502</v>
      </c>
    </row>
    <row r="412" spans="1:9">
      <c r="A412" s="38" t="s">
        <v>1914</v>
      </c>
      <c r="B412" s="38" t="s">
        <v>1251</v>
      </c>
      <c r="C412" s="38" t="s">
        <v>74</v>
      </c>
      <c r="D412" s="38">
        <v>147623.62</v>
      </c>
      <c r="E412" s="38">
        <v>1383.07</v>
      </c>
      <c r="F412" s="38">
        <v>15672.36</v>
      </c>
      <c r="G412" s="38">
        <v>6867.98</v>
      </c>
      <c r="H412" s="38">
        <v>126466.35</v>
      </c>
      <c r="I412" s="38" t="s">
        <v>1511</v>
      </c>
    </row>
    <row r="413" spans="1:9">
      <c r="A413" s="33" t="s">
        <v>1915</v>
      </c>
      <c r="B413" s="33" t="s">
        <v>1254</v>
      </c>
      <c r="C413" s="33" t="s">
        <v>39</v>
      </c>
      <c r="D413" s="33">
        <v>13106.14</v>
      </c>
      <c r="E413" s="33">
        <v>4144.4399999999996</v>
      </c>
      <c r="F413" s="33">
        <v>32692.13</v>
      </c>
      <c r="G413" s="33">
        <v>3847.82</v>
      </c>
      <c r="H413" s="33">
        <v>-19289.37</v>
      </c>
      <c r="I413" s="33" t="s">
        <v>1509</v>
      </c>
    </row>
    <row r="414" spans="1:9">
      <c r="A414" s="38" t="s">
        <v>1916</v>
      </c>
      <c r="B414" s="38" t="s">
        <v>1257</v>
      </c>
      <c r="C414" s="38" t="s">
        <v>24</v>
      </c>
      <c r="D414" s="38">
        <v>8729.2800000000007</v>
      </c>
      <c r="E414" s="38">
        <v>864.88</v>
      </c>
      <c r="F414" s="38">
        <v>36298.85</v>
      </c>
      <c r="G414" s="38">
        <v>13557.74</v>
      </c>
      <c r="H414" s="38">
        <v>-40262.43</v>
      </c>
      <c r="I414" s="38" t="s">
        <v>1502</v>
      </c>
    </row>
    <row r="415" spans="1:9">
      <c r="A415" s="33" t="s">
        <v>1917</v>
      </c>
      <c r="B415" s="33" t="s">
        <v>1259</v>
      </c>
      <c r="C415" s="33" t="s">
        <v>41</v>
      </c>
      <c r="D415" s="33">
        <v>48844.38</v>
      </c>
      <c r="E415" s="33">
        <v>1873.08</v>
      </c>
      <c r="F415" s="33">
        <v>30888.11</v>
      </c>
      <c r="G415" s="33">
        <v>2027.11</v>
      </c>
      <c r="H415" s="33">
        <v>17802.240000000002</v>
      </c>
      <c r="I415" s="33" t="s">
        <v>1511</v>
      </c>
    </row>
    <row r="416" spans="1:9">
      <c r="A416" s="38" t="s">
        <v>1918</v>
      </c>
      <c r="B416" s="38" t="s">
        <v>1262</v>
      </c>
      <c r="C416" s="38" t="s">
        <v>117</v>
      </c>
      <c r="D416" s="38">
        <v>104619.21</v>
      </c>
      <c r="E416" s="38">
        <v>1006.73</v>
      </c>
      <c r="F416" s="38">
        <v>6563.89</v>
      </c>
      <c r="G416" s="38">
        <v>8255.2900000000009</v>
      </c>
      <c r="H416" s="38">
        <v>90806.76</v>
      </c>
      <c r="I416" s="38" t="s">
        <v>1511</v>
      </c>
    </row>
    <row r="417" spans="1:9">
      <c r="A417" s="33" t="s">
        <v>1919</v>
      </c>
      <c r="B417" s="33" t="s">
        <v>1265</v>
      </c>
      <c r="C417" s="33" t="s">
        <v>49</v>
      </c>
      <c r="D417" s="33">
        <v>202685.44</v>
      </c>
      <c r="E417" s="33">
        <v>4743.2299999999996</v>
      </c>
      <c r="F417" s="33">
        <v>36510.06</v>
      </c>
      <c r="G417" s="33">
        <v>12157.54</v>
      </c>
      <c r="H417" s="33">
        <v>158761.07</v>
      </c>
      <c r="I417" s="33" t="s">
        <v>1509</v>
      </c>
    </row>
    <row r="418" spans="1:9">
      <c r="A418" s="38" t="s">
        <v>1920</v>
      </c>
      <c r="B418" s="38" t="s">
        <v>1267</v>
      </c>
      <c r="C418" s="38" t="s">
        <v>49</v>
      </c>
      <c r="D418" s="38">
        <v>13649.24</v>
      </c>
      <c r="E418" s="38">
        <v>6758.45</v>
      </c>
      <c r="F418" s="38">
        <v>34178.92</v>
      </c>
      <c r="G418" s="38">
        <v>3726.52</v>
      </c>
      <c r="H418" s="38">
        <v>-17497.75</v>
      </c>
      <c r="I418" s="38" t="s">
        <v>1502</v>
      </c>
    </row>
    <row r="419" spans="1:9">
      <c r="A419" s="33" t="s">
        <v>1921</v>
      </c>
      <c r="B419" s="33" t="s">
        <v>1269</v>
      </c>
      <c r="C419" s="33" t="s">
        <v>57</v>
      </c>
      <c r="D419" s="33">
        <v>28678.720000000001</v>
      </c>
      <c r="E419" s="33">
        <v>4285.7299999999996</v>
      </c>
      <c r="F419" s="33">
        <v>21132.77</v>
      </c>
      <c r="G419" s="33">
        <v>7849.08</v>
      </c>
      <c r="H419" s="33">
        <v>3982.6</v>
      </c>
      <c r="I419" s="33" t="s">
        <v>1509</v>
      </c>
    </row>
    <row r="420" spans="1:9">
      <c r="A420" s="38" t="s">
        <v>1922</v>
      </c>
      <c r="B420" s="38" t="s">
        <v>1271</v>
      </c>
      <c r="C420" s="38" t="s">
        <v>65</v>
      </c>
      <c r="D420" s="38">
        <v>173475.72</v>
      </c>
      <c r="E420" s="38">
        <v>1617.37</v>
      </c>
      <c r="F420" s="38">
        <v>30475.25</v>
      </c>
      <c r="G420" s="38">
        <v>3161.09</v>
      </c>
      <c r="H420" s="38">
        <v>141456.75</v>
      </c>
      <c r="I420" s="38" t="s">
        <v>1509</v>
      </c>
    </row>
    <row r="421" spans="1:9">
      <c r="A421" s="33" t="s">
        <v>1923</v>
      </c>
      <c r="B421" s="33" t="s">
        <v>1274</v>
      </c>
      <c r="C421" s="33" t="s">
        <v>57</v>
      </c>
      <c r="D421" s="33">
        <v>0</v>
      </c>
      <c r="E421" s="33">
        <v>0</v>
      </c>
      <c r="F421" s="33">
        <v>18553.23</v>
      </c>
      <c r="G421" s="33">
        <v>13703.18</v>
      </c>
      <c r="H421" s="33">
        <v>-32256.41</v>
      </c>
      <c r="I421" s="33" t="s">
        <v>1511</v>
      </c>
    </row>
    <row r="422" spans="1:9">
      <c r="A422" s="38" t="s">
        <v>1924</v>
      </c>
      <c r="B422" s="38" t="s">
        <v>1275</v>
      </c>
      <c r="C422" s="38" t="s">
        <v>24</v>
      </c>
      <c r="D422" s="38">
        <v>77491.5</v>
      </c>
      <c r="E422" s="38">
        <v>4557.46</v>
      </c>
      <c r="F422" s="38">
        <v>38532.78</v>
      </c>
      <c r="G422" s="38">
        <v>13570.56</v>
      </c>
      <c r="H422" s="38">
        <v>29945.62</v>
      </c>
      <c r="I422" s="38" t="s">
        <v>1511</v>
      </c>
    </row>
    <row r="423" spans="1:9">
      <c r="A423" s="33" t="s">
        <v>1925</v>
      </c>
      <c r="B423" s="33" t="s">
        <v>1277</v>
      </c>
      <c r="C423" s="33" t="s">
        <v>74</v>
      </c>
      <c r="D423" s="33">
        <v>102600.96000000001</v>
      </c>
      <c r="E423" s="33">
        <v>5344.37</v>
      </c>
      <c r="F423" s="33">
        <v>35308.379999999997</v>
      </c>
      <c r="G423" s="33">
        <v>11193.71</v>
      </c>
      <c r="H423" s="33">
        <v>61443.24</v>
      </c>
      <c r="I423" s="33" t="s">
        <v>1511</v>
      </c>
    </row>
    <row r="424" spans="1:9">
      <c r="A424" s="38" t="s">
        <v>1926</v>
      </c>
      <c r="B424" s="38" t="s">
        <v>1279</v>
      </c>
      <c r="C424" s="38" t="s">
        <v>39</v>
      </c>
      <c r="D424" s="38">
        <v>167061.6</v>
      </c>
      <c r="E424" s="38">
        <v>4707.83</v>
      </c>
      <c r="F424" s="38">
        <v>9332.36</v>
      </c>
      <c r="G424" s="38">
        <v>9271.59</v>
      </c>
      <c r="H424" s="38">
        <v>153165.48000000001</v>
      </c>
      <c r="I424" s="38" t="s">
        <v>1502</v>
      </c>
    </row>
    <row r="425" spans="1:9">
      <c r="A425" s="33" t="s">
        <v>1927</v>
      </c>
      <c r="B425" s="33" t="s">
        <v>1281</v>
      </c>
      <c r="C425" s="33" t="s">
        <v>49</v>
      </c>
      <c r="D425" s="33">
        <v>184351.2</v>
      </c>
      <c r="E425" s="33">
        <v>7663.76</v>
      </c>
      <c r="F425" s="33">
        <v>23964.2</v>
      </c>
      <c r="G425" s="33">
        <v>11849</v>
      </c>
      <c r="H425" s="33">
        <v>156201.76</v>
      </c>
      <c r="I425" s="33" t="s">
        <v>1502</v>
      </c>
    </row>
    <row r="426" spans="1:9">
      <c r="A426" s="38" t="s">
        <v>1928</v>
      </c>
      <c r="B426" s="38" t="s">
        <v>1283</v>
      </c>
      <c r="C426" s="38" t="s">
        <v>57</v>
      </c>
      <c r="D426" s="38">
        <v>0</v>
      </c>
      <c r="E426" s="38">
        <v>0</v>
      </c>
      <c r="F426" s="38">
        <v>31269.55</v>
      </c>
      <c r="G426" s="38">
        <v>8534.2999999999993</v>
      </c>
      <c r="H426" s="38">
        <v>-39803.85</v>
      </c>
      <c r="I426" s="38" t="s">
        <v>1504</v>
      </c>
    </row>
    <row r="427" spans="1:9">
      <c r="A427" s="33" t="s">
        <v>1929</v>
      </c>
      <c r="B427" s="33" t="s">
        <v>1285</v>
      </c>
      <c r="C427" s="33" t="s">
        <v>175</v>
      </c>
      <c r="D427" s="33">
        <v>0</v>
      </c>
      <c r="E427" s="33">
        <v>1402.12</v>
      </c>
      <c r="F427" s="33">
        <v>37766.36</v>
      </c>
      <c r="G427" s="33">
        <v>4336.66</v>
      </c>
      <c r="H427" s="33">
        <v>8734.73</v>
      </c>
      <c r="I427" s="33" t="s">
        <v>1504</v>
      </c>
    </row>
    <row r="428" spans="1:9">
      <c r="A428" s="38" t="s">
        <v>1930</v>
      </c>
      <c r="B428" s="38" t="s">
        <v>1288</v>
      </c>
      <c r="C428" s="38" t="s">
        <v>22</v>
      </c>
      <c r="D428" s="38">
        <v>156111.74</v>
      </c>
      <c r="E428" s="38">
        <v>2562.2199999999998</v>
      </c>
      <c r="F428" s="38">
        <v>12203.17</v>
      </c>
      <c r="G428" s="38">
        <v>12785.98</v>
      </c>
      <c r="H428" s="38">
        <v>133684.81</v>
      </c>
      <c r="I428" s="38" t="s">
        <v>1509</v>
      </c>
    </row>
    <row r="429" spans="1:9">
      <c r="A429" s="33" t="s">
        <v>1931</v>
      </c>
      <c r="B429" s="33" t="s">
        <v>1290</v>
      </c>
      <c r="C429" s="33" t="s">
        <v>57</v>
      </c>
      <c r="D429" s="33">
        <v>37574.400000000001</v>
      </c>
      <c r="E429" s="33">
        <v>1134.8599999999999</v>
      </c>
      <c r="F429" s="33">
        <v>23674.04</v>
      </c>
      <c r="G429" s="33">
        <v>6165.61</v>
      </c>
      <c r="H429" s="33">
        <v>8869.61</v>
      </c>
      <c r="I429" s="33" t="s">
        <v>1504</v>
      </c>
    </row>
    <row r="430" spans="1:9">
      <c r="A430" s="38" t="s">
        <v>1932</v>
      </c>
      <c r="B430" s="38" t="s">
        <v>1293</v>
      </c>
      <c r="C430" s="38" t="s">
        <v>57</v>
      </c>
      <c r="D430" s="38">
        <v>162495.6</v>
      </c>
      <c r="E430" s="38">
        <v>4186.05</v>
      </c>
      <c r="F430" s="38">
        <v>37684.71</v>
      </c>
      <c r="G430" s="38">
        <v>6419.44</v>
      </c>
      <c r="H430" s="38">
        <v>122577.5</v>
      </c>
      <c r="I430" s="38" t="s">
        <v>1502</v>
      </c>
    </row>
    <row r="431" spans="1:9">
      <c r="A431" s="33" t="s">
        <v>1933</v>
      </c>
      <c r="B431" s="33" t="s">
        <v>1296</v>
      </c>
      <c r="C431" s="33" t="s">
        <v>41</v>
      </c>
      <c r="D431" s="33">
        <v>26700.959999999999</v>
      </c>
      <c r="E431" s="33">
        <v>3612.02</v>
      </c>
      <c r="F431" s="33">
        <v>35087.69</v>
      </c>
      <c r="G431" s="33">
        <v>6125.97</v>
      </c>
      <c r="H431" s="33">
        <v>-10900.68</v>
      </c>
      <c r="I431" s="33" t="s">
        <v>1511</v>
      </c>
    </row>
    <row r="432" spans="1:9">
      <c r="A432" s="38" t="s">
        <v>1934</v>
      </c>
      <c r="B432" s="38" t="s">
        <v>1297</v>
      </c>
      <c r="C432" s="38" t="s">
        <v>33</v>
      </c>
      <c r="D432" s="38">
        <v>37964.21</v>
      </c>
      <c r="E432" s="38">
        <v>1182.69</v>
      </c>
      <c r="F432" s="38">
        <v>39292.51</v>
      </c>
      <c r="G432" s="38">
        <v>9043.1299999999992</v>
      </c>
      <c r="H432" s="38">
        <v>-9188.74</v>
      </c>
      <c r="I432" s="38" t="s">
        <v>1511</v>
      </c>
    </row>
    <row r="433" spans="1:9">
      <c r="A433" s="33" t="s">
        <v>1935</v>
      </c>
      <c r="B433" s="33" t="s">
        <v>1299</v>
      </c>
      <c r="C433" s="33" t="s">
        <v>67</v>
      </c>
      <c r="D433" s="33">
        <v>27231.119999999999</v>
      </c>
      <c r="E433" s="33">
        <v>1580.26</v>
      </c>
      <c r="F433" s="33">
        <v>13944.41</v>
      </c>
      <c r="G433" s="33">
        <v>3165.17</v>
      </c>
      <c r="H433" s="33">
        <v>11701.8</v>
      </c>
      <c r="I433" s="33" t="s">
        <v>1511</v>
      </c>
    </row>
    <row r="434" spans="1:9">
      <c r="A434" s="38" t="s">
        <v>1936</v>
      </c>
      <c r="B434" s="38" t="s">
        <v>1301</v>
      </c>
      <c r="C434" s="38" t="s">
        <v>65</v>
      </c>
      <c r="D434" s="38">
        <v>76521.64</v>
      </c>
      <c r="E434" s="38">
        <v>7641.24</v>
      </c>
      <c r="F434" s="38">
        <v>28751.3</v>
      </c>
      <c r="G434" s="38">
        <v>2765.88</v>
      </c>
      <c r="H434" s="38">
        <v>52645.7</v>
      </c>
      <c r="I434" s="38" t="s">
        <v>1511</v>
      </c>
    </row>
    <row r="435" spans="1:9">
      <c r="A435" s="33" t="s">
        <v>1937</v>
      </c>
      <c r="B435" s="33" t="s">
        <v>1303</v>
      </c>
      <c r="C435" s="33" t="s">
        <v>41</v>
      </c>
      <c r="D435" s="33">
        <v>23688.03</v>
      </c>
      <c r="E435" s="33">
        <v>1860.93</v>
      </c>
      <c r="F435" s="33">
        <v>29965.52</v>
      </c>
      <c r="G435" s="33">
        <v>5874.32</v>
      </c>
      <c r="H435" s="33">
        <v>-10290.879999999999</v>
      </c>
      <c r="I435" s="33" t="s">
        <v>1504</v>
      </c>
    </row>
    <row r="436" spans="1:9">
      <c r="A436" s="38" t="s">
        <v>1938</v>
      </c>
      <c r="B436" s="38" t="s">
        <v>1306</v>
      </c>
      <c r="C436" s="38" t="s">
        <v>49</v>
      </c>
      <c r="D436" s="38">
        <v>29942.83</v>
      </c>
      <c r="E436" s="38">
        <v>2900.31</v>
      </c>
      <c r="F436" s="38">
        <v>19448.8</v>
      </c>
      <c r="G436" s="38">
        <v>6214.83</v>
      </c>
      <c r="H436" s="38">
        <v>7179.51</v>
      </c>
      <c r="I436" s="38" t="s">
        <v>1509</v>
      </c>
    </row>
    <row r="437" spans="1:9">
      <c r="A437" s="33" t="s">
        <v>1939</v>
      </c>
      <c r="B437" s="33" t="s">
        <v>1309</v>
      </c>
      <c r="C437" s="33" t="s">
        <v>33</v>
      </c>
      <c r="D437" s="33">
        <v>63527.519999999997</v>
      </c>
      <c r="E437" s="33">
        <v>7561.83</v>
      </c>
      <c r="F437" s="33">
        <v>36482.550000000003</v>
      </c>
      <c r="G437" s="33">
        <v>2674.42</v>
      </c>
      <c r="H437" s="33">
        <v>31932.38</v>
      </c>
      <c r="I437" s="33" t="s">
        <v>1502</v>
      </c>
    </row>
    <row r="438" spans="1:9">
      <c r="A438" s="38" t="s">
        <v>1940</v>
      </c>
      <c r="B438" s="38" t="s">
        <v>1311</v>
      </c>
      <c r="C438" s="38" t="s">
        <v>22</v>
      </c>
      <c r="D438" s="38">
        <v>19959.68</v>
      </c>
      <c r="E438" s="38">
        <v>6141</v>
      </c>
      <c r="F438" s="38">
        <v>25511.02</v>
      </c>
      <c r="G438" s="38">
        <v>8408.73</v>
      </c>
      <c r="H438" s="38">
        <v>-7819.07</v>
      </c>
      <c r="I438" s="38" t="s">
        <v>1509</v>
      </c>
    </row>
    <row r="439" spans="1:9">
      <c r="A439" s="33" t="s">
        <v>1941</v>
      </c>
      <c r="B439" s="33" t="s">
        <v>1313</v>
      </c>
      <c r="C439" s="33" t="s">
        <v>198</v>
      </c>
      <c r="D439" s="33">
        <v>58461.3</v>
      </c>
      <c r="E439" s="33">
        <v>7620.18</v>
      </c>
      <c r="F439" s="33">
        <v>14425.06</v>
      </c>
      <c r="G439" s="33">
        <v>6138.37</v>
      </c>
      <c r="H439" s="33">
        <v>45518.05</v>
      </c>
      <c r="I439" s="33" t="s">
        <v>1509</v>
      </c>
    </row>
    <row r="440" spans="1:9">
      <c r="A440" s="38" t="s">
        <v>1942</v>
      </c>
      <c r="B440" s="38" t="s">
        <v>1315</v>
      </c>
      <c r="C440" s="38" t="s">
        <v>39</v>
      </c>
      <c r="D440" s="38">
        <v>16810.2</v>
      </c>
      <c r="E440" s="38">
        <v>990.94</v>
      </c>
      <c r="F440" s="38">
        <v>6011.73</v>
      </c>
      <c r="G440" s="38">
        <v>10236.040000000001</v>
      </c>
      <c r="H440" s="38">
        <v>1553.37</v>
      </c>
      <c r="I440" s="38" t="s">
        <v>1504</v>
      </c>
    </row>
    <row r="441" spans="1:9">
      <c r="A441" s="33" t="s">
        <v>1943</v>
      </c>
      <c r="B441" s="33" t="s">
        <v>1318</v>
      </c>
      <c r="C441" s="33" t="s">
        <v>65</v>
      </c>
      <c r="D441" s="33">
        <v>44732.7</v>
      </c>
      <c r="E441" s="33">
        <v>2518.6999999999998</v>
      </c>
      <c r="F441" s="33">
        <v>38721.61</v>
      </c>
      <c r="G441" s="33">
        <v>10776.27</v>
      </c>
      <c r="H441" s="33">
        <v>-2246.48</v>
      </c>
      <c r="I441" s="33" t="s">
        <v>1502</v>
      </c>
    </row>
    <row r="442" spans="1:9">
      <c r="A442" s="38" t="s">
        <v>1944</v>
      </c>
      <c r="B442" s="38" t="s">
        <v>1320</v>
      </c>
      <c r="C442" s="38" t="s">
        <v>102</v>
      </c>
      <c r="D442" s="38">
        <v>139272</v>
      </c>
      <c r="E442" s="38">
        <v>6222.34</v>
      </c>
      <c r="F442" s="38">
        <v>27804.28</v>
      </c>
      <c r="G442" s="38">
        <v>3632.43</v>
      </c>
      <c r="H442" s="38">
        <v>114057.63</v>
      </c>
      <c r="I442" s="38" t="s">
        <v>1509</v>
      </c>
    </row>
    <row r="443" spans="1:9">
      <c r="A443" s="33" t="s">
        <v>1945</v>
      </c>
      <c r="B443" s="33" t="s">
        <v>1323</v>
      </c>
      <c r="C443" s="33" t="s">
        <v>130</v>
      </c>
      <c r="D443" s="33">
        <v>28219.919999999998</v>
      </c>
      <c r="E443" s="33">
        <v>3844.87</v>
      </c>
      <c r="F443" s="33">
        <v>34619.72</v>
      </c>
      <c r="G443" s="33">
        <v>8505.6200000000008</v>
      </c>
      <c r="H443" s="33">
        <v>-11060.55</v>
      </c>
      <c r="I443" s="33" t="s">
        <v>1502</v>
      </c>
    </row>
    <row r="444" spans="1:9">
      <c r="A444" s="38" t="s">
        <v>1946</v>
      </c>
      <c r="B444" s="38" t="s">
        <v>1326</v>
      </c>
      <c r="C444" s="38" t="s">
        <v>96</v>
      </c>
      <c r="D444" s="38">
        <v>75374.33</v>
      </c>
      <c r="E444" s="38">
        <v>3299.79</v>
      </c>
      <c r="F444" s="38">
        <v>39485.81</v>
      </c>
      <c r="G444" s="38">
        <v>12166.31</v>
      </c>
      <c r="H444" s="38">
        <v>27022</v>
      </c>
      <c r="I444" s="38" t="s">
        <v>1509</v>
      </c>
    </row>
    <row r="445" spans="1:9">
      <c r="A445" s="33" t="s">
        <v>1947</v>
      </c>
      <c r="B445" s="33" t="s">
        <v>1329</v>
      </c>
      <c r="C445" s="33" t="s">
        <v>157</v>
      </c>
      <c r="D445" s="33">
        <v>0</v>
      </c>
      <c r="E445" s="33">
        <v>0</v>
      </c>
      <c r="F445" s="33">
        <v>38647.32</v>
      </c>
      <c r="G445" s="33">
        <v>9216.98</v>
      </c>
      <c r="H445" s="33">
        <v>-47864.3</v>
      </c>
      <c r="I445" s="33" t="s">
        <v>1504</v>
      </c>
    </row>
    <row r="446" spans="1:9">
      <c r="A446" s="38" t="s">
        <v>1948</v>
      </c>
      <c r="B446" s="38" t="s">
        <v>1332</v>
      </c>
      <c r="C446" s="38" t="s">
        <v>184</v>
      </c>
      <c r="D446" s="38">
        <v>158821.88</v>
      </c>
      <c r="E446" s="38">
        <v>507.51</v>
      </c>
      <c r="F446" s="38">
        <v>21262.82</v>
      </c>
      <c r="G446" s="38">
        <v>12781.83</v>
      </c>
      <c r="H446" s="38">
        <v>125284.74</v>
      </c>
      <c r="I446" s="38" t="s">
        <v>1511</v>
      </c>
    </row>
    <row r="447" spans="1:9">
      <c r="A447" s="33" t="s">
        <v>1949</v>
      </c>
      <c r="B447" s="33" t="s">
        <v>1334</v>
      </c>
      <c r="C447" s="33" t="s">
        <v>175</v>
      </c>
      <c r="D447" s="33">
        <v>221976.72</v>
      </c>
      <c r="E447" s="33">
        <v>5397.94</v>
      </c>
      <c r="F447" s="33">
        <v>10858.36</v>
      </c>
      <c r="G447" s="33">
        <v>2782.28</v>
      </c>
      <c r="H447" s="33">
        <v>213734.02</v>
      </c>
      <c r="I447" s="33" t="s">
        <v>1509</v>
      </c>
    </row>
    <row r="448" spans="1:9">
      <c r="A448" s="38" t="s">
        <v>1950</v>
      </c>
      <c r="B448" s="38" t="s">
        <v>1337</v>
      </c>
      <c r="C448" s="38" t="s">
        <v>80</v>
      </c>
      <c r="D448" s="38">
        <v>0</v>
      </c>
      <c r="E448" s="38">
        <v>0</v>
      </c>
      <c r="F448" s="38">
        <v>14565.6</v>
      </c>
      <c r="G448" s="38">
        <v>5261.56</v>
      </c>
      <c r="H448" s="38">
        <v>-19827.16</v>
      </c>
      <c r="I448" s="38" t="s">
        <v>1509</v>
      </c>
    </row>
    <row r="449" spans="1:9">
      <c r="A449" s="33" t="s">
        <v>1951</v>
      </c>
      <c r="B449" s="33" t="s">
        <v>1338</v>
      </c>
      <c r="C449" s="33" t="s">
        <v>184</v>
      </c>
      <c r="D449" s="33">
        <v>149672.16</v>
      </c>
      <c r="E449" s="33">
        <v>7994.31</v>
      </c>
      <c r="F449" s="33">
        <v>34485.35</v>
      </c>
      <c r="G449" s="33">
        <v>4765.8</v>
      </c>
      <c r="H449" s="33">
        <v>118415.32</v>
      </c>
      <c r="I449" s="33" t="s">
        <v>1511</v>
      </c>
    </row>
    <row r="450" spans="1:9">
      <c r="A450" s="38" t="s">
        <v>1952</v>
      </c>
      <c r="B450" s="38" t="s">
        <v>1340</v>
      </c>
      <c r="C450" s="38" t="s">
        <v>157</v>
      </c>
      <c r="D450" s="38">
        <v>102515</v>
      </c>
      <c r="E450" s="38">
        <v>841.14</v>
      </c>
      <c r="F450" s="38">
        <v>30871.4</v>
      </c>
      <c r="G450" s="38">
        <v>9320.06</v>
      </c>
      <c r="H450" s="38">
        <v>63164.68</v>
      </c>
      <c r="I450" s="38" t="s">
        <v>1511</v>
      </c>
    </row>
    <row r="451" spans="1:9">
      <c r="A451" s="33" t="s">
        <v>1953</v>
      </c>
      <c r="B451" s="33" t="s">
        <v>1342</v>
      </c>
      <c r="C451" s="33" t="s">
        <v>33</v>
      </c>
      <c r="D451" s="33">
        <v>149370.29999999999</v>
      </c>
      <c r="E451" s="33">
        <v>1172.8599999999999</v>
      </c>
      <c r="F451" s="33">
        <v>29445.03</v>
      </c>
      <c r="G451" s="33">
        <v>12796.48</v>
      </c>
      <c r="H451" s="33">
        <v>108301.65</v>
      </c>
      <c r="I451" s="33" t="s">
        <v>1511</v>
      </c>
    </row>
    <row r="452" spans="1:9">
      <c r="A452" s="38" t="s">
        <v>1954</v>
      </c>
      <c r="B452" s="38" t="s">
        <v>1345</v>
      </c>
      <c r="C452" s="38" t="s">
        <v>96</v>
      </c>
      <c r="D452" s="38">
        <v>45700.2</v>
      </c>
      <c r="E452" s="38">
        <v>7087.09</v>
      </c>
      <c r="F452" s="38">
        <v>12379.76</v>
      </c>
      <c r="G452" s="38">
        <v>8562.66</v>
      </c>
      <c r="H452" s="38">
        <v>31844.87</v>
      </c>
      <c r="I452" s="38" t="s">
        <v>1511</v>
      </c>
    </row>
    <row r="453" spans="1:9">
      <c r="A453" s="33" t="s">
        <v>1955</v>
      </c>
      <c r="B453" s="33" t="s">
        <v>1347</v>
      </c>
      <c r="C453" s="33" t="s">
        <v>130</v>
      </c>
      <c r="D453" s="33">
        <v>113395.95</v>
      </c>
      <c r="E453" s="33">
        <v>7129.49</v>
      </c>
      <c r="F453" s="33">
        <v>38089.300000000003</v>
      </c>
      <c r="G453" s="33">
        <v>10257.209999999999</v>
      </c>
      <c r="H453" s="33">
        <v>72178.929999999993</v>
      </c>
      <c r="I453" s="33" t="s">
        <v>1509</v>
      </c>
    </row>
    <row r="454" spans="1:9">
      <c r="A454" s="38" t="s">
        <v>1956</v>
      </c>
      <c r="B454" s="38" t="s">
        <v>1350</v>
      </c>
      <c r="C454" s="38" t="s">
        <v>39</v>
      </c>
      <c r="D454" s="38">
        <v>182526.96</v>
      </c>
      <c r="E454" s="38">
        <v>2547.6</v>
      </c>
      <c r="F454" s="38">
        <v>28179.7</v>
      </c>
      <c r="G454" s="38">
        <v>6181.3</v>
      </c>
      <c r="H454" s="38">
        <v>150713.56</v>
      </c>
      <c r="I454" s="38" t="s">
        <v>1502</v>
      </c>
    </row>
    <row r="455" spans="1:9">
      <c r="A455" s="33" t="s">
        <v>1957</v>
      </c>
      <c r="B455" s="33" t="s">
        <v>1352</v>
      </c>
      <c r="C455" s="33" t="s">
        <v>67</v>
      </c>
      <c r="D455" s="33">
        <v>89882.1</v>
      </c>
      <c r="E455" s="33">
        <v>3948.5</v>
      </c>
      <c r="F455" s="33">
        <v>25982.98</v>
      </c>
      <c r="G455" s="33">
        <v>2206.37</v>
      </c>
      <c r="H455" s="33">
        <v>65641.25</v>
      </c>
      <c r="I455" s="33" t="s">
        <v>1502</v>
      </c>
    </row>
    <row r="456" spans="1:9">
      <c r="A456" s="38" t="s">
        <v>1958</v>
      </c>
      <c r="B456" s="38" t="s">
        <v>1354</v>
      </c>
      <c r="C456" s="38" t="s">
        <v>57</v>
      </c>
      <c r="D456" s="38">
        <v>0</v>
      </c>
      <c r="E456" s="38">
        <v>0</v>
      </c>
      <c r="F456" s="38">
        <v>27625.52</v>
      </c>
      <c r="G456" s="38">
        <v>2026.62</v>
      </c>
      <c r="H456" s="38">
        <v>-29652.14</v>
      </c>
      <c r="I456" s="38" t="s">
        <v>1509</v>
      </c>
    </row>
    <row r="457" spans="1:9">
      <c r="A457" s="33" t="s">
        <v>1959</v>
      </c>
      <c r="B457" s="33" t="s">
        <v>1355</v>
      </c>
      <c r="C457" s="33" t="s">
        <v>175</v>
      </c>
      <c r="D457" s="33">
        <v>58592.38</v>
      </c>
      <c r="E457" s="33">
        <v>532.09</v>
      </c>
      <c r="F457" s="33">
        <v>5335.25</v>
      </c>
      <c r="G457" s="33">
        <v>4255.97</v>
      </c>
      <c r="H457" s="33">
        <v>49533.25</v>
      </c>
      <c r="I457" s="33" t="s">
        <v>1509</v>
      </c>
    </row>
    <row r="458" spans="1:9">
      <c r="A458" s="38" t="s">
        <v>1960</v>
      </c>
      <c r="B458" s="38" t="s">
        <v>1357</v>
      </c>
      <c r="C458" s="38" t="s">
        <v>130</v>
      </c>
      <c r="D458" s="38">
        <v>40323.47</v>
      </c>
      <c r="E458" s="38">
        <v>6218.49</v>
      </c>
      <c r="F458" s="38"/>
      <c r="G458" s="38">
        <v>12234.97</v>
      </c>
      <c r="H458" s="38">
        <v>10472.39</v>
      </c>
      <c r="I458" s="38" t="s">
        <v>1504</v>
      </c>
    </row>
    <row r="459" spans="1:9">
      <c r="A459" s="33" t="s">
        <v>1961</v>
      </c>
      <c r="B459" s="33" t="s">
        <v>1358</v>
      </c>
      <c r="C459" s="33" t="s">
        <v>65</v>
      </c>
      <c r="D459" s="33">
        <v>73337.759999999995</v>
      </c>
      <c r="E459" s="33">
        <v>4539.87</v>
      </c>
      <c r="F459" s="33">
        <v>36240.03</v>
      </c>
      <c r="G459" s="33">
        <v>12608.74</v>
      </c>
      <c r="H459" s="33">
        <v>29028.86</v>
      </c>
      <c r="I459" s="33" t="s">
        <v>1509</v>
      </c>
    </row>
    <row r="460" spans="1:9">
      <c r="A460" s="38" t="s">
        <v>1962</v>
      </c>
      <c r="B460" s="38" t="s">
        <v>1359</v>
      </c>
      <c r="C460" s="38" t="s">
        <v>39</v>
      </c>
      <c r="D460" s="38">
        <v>42540.08</v>
      </c>
      <c r="E460" s="38">
        <v>5541.84</v>
      </c>
      <c r="F460" s="38">
        <v>17354.82</v>
      </c>
      <c r="G460" s="38">
        <v>12566.16</v>
      </c>
      <c r="H460" s="38">
        <v>18160.939999999999</v>
      </c>
      <c r="I460" s="38" t="s">
        <v>1511</v>
      </c>
    </row>
    <row r="461" spans="1:9">
      <c r="A461" s="33" t="s">
        <v>1963</v>
      </c>
      <c r="B461" s="33" t="s">
        <v>1361</v>
      </c>
      <c r="C461" s="33" t="s">
        <v>130</v>
      </c>
      <c r="D461" s="33">
        <v>39867.279999999999</v>
      </c>
      <c r="E461" s="33">
        <v>3400.63</v>
      </c>
      <c r="F461" s="33">
        <v>34370.1</v>
      </c>
      <c r="G461" s="33">
        <v>12554.31</v>
      </c>
      <c r="H461" s="33">
        <v>-3656.5</v>
      </c>
      <c r="I461" s="33" t="s">
        <v>1504</v>
      </c>
    </row>
    <row r="462" spans="1:9">
      <c r="A462" s="38" t="s">
        <v>1964</v>
      </c>
      <c r="B462" s="38" t="s">
        <v>1363</v>
      </c>
      <c r="C462" s="38" t="s">
        <v>49</v>
      </c>
      <c r="D462" s="38">
        <v>117099.84</v>
      </c>
      <c r="E462" s="38">
        <v>1435.73</v>
      </c>
      <c r="F462" s="38">
        <v>17966.82</v>
      </c>
      <c r="G462" s="38">
        <v>4508.88</v>
      </c>
      <c r="H462" s="38">
        <v>96059.87</v>
      </c>
      <c r="I462" s="38" t="s">
        <v>1504</v>
      </c>
    </row>
    <row r="463" spans="1:9">
      <c r="A463" s="33" t="s">
        <v>1965</v>
      </c>
      <c r="B463" s="33" t="s">
        <v>1366</v>
      </c>
      <c r="C463" s="33" t="s">
        <v>117</v>
      </c>
      <c r="D463" s="33">
        <v>149841.65</v>
      </c>
      <c r="E463" s="33">
        <v>2161.41</v>
      </c>
      <c r="F463" s="33">
        <v>5692.36</v>
      </c>
      <c r="G463" s="33">
        <v>5654.75</v>
      </c>
      <c r="H463" s="33">
        <v>140655.95000000001</v>
      </c>
      <c r="I463" s="33" t="s">
        <v>1511</v>
      </c>
    </row>
    <row r="464" spans="1:9">
      <c r="A464" s="38" t="s">
        <v>1966</v>
      </c>
      <c r="B464" s="38" t="s">
        <v>1369</v>
      </c>
      <c r="C464" s="38" t="s">
        <v>96</v>
      </c>
      <c r="D464" s="38">
        <v>208398.84</v>
      </c>
      <c r="E464" s="38">
        <v>1936.34</v>
      </c>
      <c r="F464" s="38">
        <v>33569.83</v>
      </c>
      <c r="G464" s="38">
        <v>10128.08</v>
      </c>
      <c r="H464" s="38">
        <v>166637.26999999999</v>
      </c>
      <c r="I464" s="38" t="s">
        <v>1502</v>
      </c>
    </row>
    <row r="465" spans="1:9">
      <c r="A465" s="33" t="s">
        <v>1967</v>
      </c>
      <c r="B465" s="33" t="s">
        <v>1371</v>
      </c>
      <c r="C465" s="33" t="s">
        <v>57</v>
      </c>
      <c r="D465" s="33">
        <v>46104.83</v>
      </c>
      <c r="E465" s="33">
        <v>2256.9299999999998</v>
      </c>
      <c r="F465" s="33">
        <v>22283.3</v>
      </c>
      <c r="G465" s="33">
        <v>6718.99</v>
      </c>
      <c r="H465" s="33">
        <v>19359.47</v>
      </c>
      <c r="I465" s="33" t="s">
        <v>1511</v>
      </c>
    </row>
    <row r="466" spans="1:9">
      <c r="A466" s="38" t="s">
        <v>1968</v>
      </c>
      <c r="B466" s="38" t="s">
        <v>1374</v>
      </c>
      <c r="C466" s="38" t="s">
        <v>175</v>
      </c>
      <c r="D466" s="38">
        <v>57044.480000000003</v>
      </c>
      <c r="E466" s="38">
        <v>4196.28</v>
      </c>
      <c r="F466" s="38">
        <v>29641.67</v>
      </c>
      <c r="G466" s="38">
        <v>9878.35</v>
      </c>
      <c r="H466" s="38">
        <v>21720.74</v>
      </c>
      <c r="I466" s="38" t="s">
        <v>1504</v>
      </c>
    </row>
    <row r="467" spans="1:9">
      <c r="A467" s="33" t="s">
        <v>1969</v>
      </c>
      <c r="B467" s="33" t="s">
        <v>1377</v>
      </c>
      <c r="C467" s="33" t="s">
        <v>80</v>
      </c>
      <c r="D467" s="33">
        <v>172923.66</v>
      </c>
      <c r="E467" s="33">
        <v>1970.65</v>
      </c>
      <c r="F467" s="33">
        <v>33739.32</v>
      </c>
      <c r="G467" s="33">
        <v>7149.12</v>
      </c>
      <c r="H467" s="33">
        <v>134005.87</v>
      </c>
      <c r="I467" s="33" t="s">
        <v>1511</v>
      </c>
    </row>
    <row r="468" spans="1:9">
      <c r="A468" s="38" t="s">
        <v>1970</v>
      </c>
      <c r="B468" s="38" t="s">
        <v>1380</v>
      </c>
      <c r="C468" s="38" t="s">
        <v>117</v>
      </c>
      <c r="D468" s="38">
        <v>13528.64</v>
      </c>
      <c r="E468" s="38">
        <v>4768.2700000000004</v>
      </c>
      <c r="F468" s="38">
        <v>22290.400000000001</v>
      </c>
      <c r="G468" s="38">
        <v>9173.2099999999991</v>
      </c>
      <c r="H468" s="38">
        <v>-13166.7</v>
      </c>
      <c r="I468" s="38" t="s">
        <v>1502</v>
      </c>
    </row>
    <row r="469" spans="1:9">
      <c r="A469" s="33" t="s">
        <v>1971</v>
      </c>
      <c r="B469" s="33" t="s">
        <v>1382</v>
      </c>
      <c r="C469" s="33" t="s">
        <v>22</v>
      </c>
      <c r="D469" s="33">
        <v>152500.01</v>
      </c>
      <c r="E469" s="33">
        <v>990.2</v>
      </c>
      <c r="F469" s="33">
        <v>9488.6200000000008</v>
      </c>
      <c r="G469" s="33">
        <v>2845.64</v>
      </c>
      <c r="H469" s="33">
        <v>141155.95000000001</v>
      </c>
      <c r="I469" s="33" t="s">
        <v>1511</v>
      </c>
    </row>
    <row r="470" spans="1:9">
      <c r="A470" s="38" t="s">
        <v>1972</v>
      </c>
      <c r="B470" s="38" t="s">
        <v>1385</v>
      </c>
      <c r="C470" s="38" t="s">
        <v>157</v>
      </c>
      <c r="D470" s="38">
        <v>134910.82999999999</v>
      </c>
      <c r="E470" s="38">
        <v>7501.73</v>
      </c>
      <c r="F470" s="38">
        <v>34941.760000000002</v>
      </c>
      <c r="G470" s="38">
        <v>13453.04</v>
      </c>
      <c r="H470" s="38">
        <v>94017.76</v>
      </c>
      <c r="I470" s="38" t="s">
        <v>1511</v>
      </c>
    </row>
    <row r="471" spans="1:9">
      <c r="A471" s="33" t="s">
        <v>1973</v>
      </c>
      <c r="B471" s="33" t="s">
        <v>1387</v>
      </c>
      <c r="C471" s="33" t="s">
        <v>198</v>
      </c>
      <c r="D471" s="33">
        <v>197893.26</v>
      </c>
      <c r="E471" s="33">
        <v>1938.89</v>
      </c>
      <c r="F471" s="33">
        <v>28729.26</v>
      </c>
      <c r="G471" s="33">
        <v>14895.37</v>
      </c>
      <c r="H471" s="33">
        <v>156207.51999999999</v>
      </c>
      <c r="I471" s="33" t="s">
        <v>1511</v>
      </c>
    </row>
    <row r="472" spans="1:9">
      <c r="A472" s="38" t="s">
        <v>1974</v>
      </c>
      <c r="B472" s="38" t="s">
        <v>1390</v>
      </c>
      <c r="C472" s="38" t="s">
        <v>117</v>
      </c>
      <c r="D472" s="38">
        <v>118984.64</v>
      </c>
      <c r="E472" s="38">
        <v>5605.1</v>
      </c>
      <c r="F472" s="38">
        <v>35908.57</v>
      </c>
      <c r="G472" s="38">
        <v>2025.41</v>
      </c>
      <c r="H472" s="38">
        <v>86655.76</v>
      </c>
      <c r="I472" s="38" t="s">
        <v>1509</v>
      </c>
    </row>
    <row r="473" spans="1:9">
      <c r="A473" s="33" t="s">
        <v>1975</v>
      </c>
      <c r="B473" s="33" t="s">
        <v>1392</v>
      </c>
      <c r="C473" s="33" t="s">
        <v>175</v>
      </c>
      <c r="D473" s="33">
        <v>234544.02</v>
      </c>
      <c r="E473" s="33">
        <v>5307.25</v>
      </c>
      <c r="F473" s="33">
        <v>38007.599999999999</v>
      </c>
      <c r="G473" s="33">
        <v>2674.22</v>
      </c>
      <c r="H473" s="33">
        <v>199169.45</v>
      </c>
      <c r="I473" s="33" t="s">
        <v>1511</v>
      </c>
    </row>
    <row r="474" spans="1:9">
      <c r="A474" s="38" t="s">
        <v>1976</v>
      </c>
      <c r="B474" s="38" t="s">
        <v>1394</v>
      </c>
      <c r="C474" s="38" t="s">
        <v>157</v>
      </c>
      <c r="D474" s="38">
        <v>34996</v>
      </c>
      <c r="E474" s="38">
        <v>3744.11</v>
      </c>
      <c r="F474" s="38">
        <v>39828.730000000003</v>
      </c>
      <c r="G474" s="38">
        <v>5562.46</v>
      </c>
      <c r="H474" s="38">
        <v>-6651.08</v>
      </c>
      <c r="I474" s="38" t="s">
        <v>1509</v>
      </c>
    </row>
    <row r="475" spans="1:9">
      <c r="A475" s="33" t="s">
        <v>1977</v>
      </c>
      <c r="B475" s="33" t="s">
        <v>1397</v>
      </c>
      <c r="C475" s="33" t="s">
        <v>198</v>
      </c>
      <c r="D475" s="33">
        <v>0</v>
      </c>
      <c r="E475" s="33">
        <v>0</v>
      </c>
      <c r="F475" s="33">
        <v>22345.119999999999</v>
      </c>
      <c r="G475" s="33">
        <v>8724.34</v>
      </c>
      <c r="H475" s="33">
        <v>-31069.46</v>
      </c>
      <c r="I475" s="33" t="s">
        <v>1504</v>
      </c>
    </row>
    <row r="476" spans="1:9">
      <c r="A476" s="38" t="s">
        <v>1978</v>
      </c>
      <c r="B476" s="38" t="s">
        <v>1398</v>
      </c>
      <c r="C476" s="38" t="s">
        <v>39</v>
      </c>
      <c r="D476" s="38">
        <v>8482.2199999999993</v>
      </c>
      <c r="E476" s="38">
        <v>7128.52</v>
      </c>
      <c r="F476" s="38">
        <v>12859.19</v>
      </c>
      <c r="G476" s="38">
        <v>5613.13</v>
      </c>
      <c r="H476" s="38">
        <v>-2861.58</v>
      </c>
      <c r="I476" s="38" t="s">
        <v>1509</v>
      </c>
    </row>
    <row r="477" spans="1:9">
      <c r="A477" s="33" t="s">
        <v>1979</v>
      </c>
      <c r="B477" s="33" t="s">
        <v>1401</v>
      </c>
      <c r="C477" s="33" t="s">
        <v>130</v>
      </c>
      <c r="D477" s="33">
        <v>104902.92</v>
      </c>
      <c r="E477" s="33">
        <v>4493.08</v>
      </c>
      <c r="F477" s="33">
        <v>16068.47</v>
      </c>
      <c r="G477" s="33">
        <v>7094.17</v>
      </c>
      <c r="H477" s="33">
        <v>86233.36</v>
      </c>
      <c r="I477" s="33" t="s">
        <v>1511</v>
      </c>
    </row>
    <row r="478" spans="1:9">
      <c r="A478" s="38" t="s">
        <v>1980</v>
      </c>
      <c r="B478" s="38" t="s">
        <v>1403</v>
      </c>
      <c r="C478" s="38" t="s">
        <v>74</v>
      </c>
      <c r="D478" s="38">
        <v>105199.44</v>
      </c>
      <c r="E478" s="38">
        <v>1113.57</v>
      </c>
      <c r="F478" s="38">
        <v>25013.69</v>
      </c>
      <c r="G478" s="38">
        <v>2329.84</v>
      </c>
      <c r="H478" s="38">
        <v>78969.48</v>
      </c>
      <c r="I478" s="38" t="s">
        <v>1502</v>
      </c>
    </row>
    <row r="479" spans="1:9">
      <c r="A479" s="33" t="s">
        <v>1981</v>
      </c>
      <c r="B479" s="33" t="s">
        <v>1406</v>
      </c>
      <c r="C479" s="33" t="s">
        <v>102</v>
      </c>
      <c r="D479" s="33">
        <v>167636.82</v>
      </c>
      <c r="E479" s="33">
        <v>7835.72</v>
      </c>
      <c r="F479" s="33">
        <v>19833.71</v>
      </c>
      <c r="G479" s="33">
        <v>2967.72</v>
      </c>
      <c r="H479" s="33">
        <v>152671.10999999999</v>
      </c>
      <c r="I479" s="33" t="s">
        <v>1502</v>
      </c>
    </row>
    <row r="480" spans="1:9">
      <c r="A480" s="38" t="s">
        <v>1982</v>
      </c>
      <c r="B480" s="38" t="s">
        <v>1409</v>
      </c>
      <c r="C480" s="38" t="s">
        <v>65</v>
      </c>
      <c r="D480" s="38">
        <v>57529.72</v>
      </c>
      <c r="E480" s="38">
        <v>1976.58</v>
      </c>
      <c r="F480" s="38">
        <v>16522.86</v>
      </c>
      <c r="G480" s="38">
        <v>2816.97</v>
      </c>
      <c r="H480" s="38">
        <v>40166.47</v>
      </c>
      <c r="I480" s="38" t="s">
        <v>1504</v>
      </c>
    </row>
    <row r="481" spans="1:9">
      <c r="A481" s="33" t="s">
        <v>1983</v>
      </c>
      <c r="B481" s="33" t="s">
        <v>1411</v>
      </c>
      <c r="C481" s="33" t="s">
        <v>33</v>
      </c>
      <c r="D481" s="33">
        <v>65166</v>
      </c>
      <c r="E481" s="33">
        <v>709.05</v>
      </c>
      <c r="F481" s="33">
        <v>20118.21</v>
      </c>
      <c r="G481" s="33">
        <v>2312.31</v>
      </c>
      <c r="H481" s="33">
        <v>43444.53</v>
      </c>
      <c r="I481" s="33" t="s">
        <v>1511</v>
      </c>
    </row>
    <row r="482" spans="1:9">
      <c r="A482" s="38" t="s">
        <v>1984</v>
      </c>
      <c r="B482" s="38" t="s">
        <v>1414</v>
      </c>
      <c r="C482" s="38" t="s">
        <v>55</v>
      </c>
      <c r="D482" s="38">
        <v>105799.1</v>
      </c>
      <c r="E482" s="38">
        <v>6803.81</v>
      </c>
      <c r="F482" s="38">
        <v>13650.37</v>
      </c>
      <c r="G482" s="38">
        <v>8156.49</v>
      </c>
      <c r="H482" s="38">
        <v>90796.05</v>
      </c>
      <c r="I482" s="38" t="s">
        <v>1511</v>
      </c>
    </row>
    <row r="483" spans="1:9">
      <c r="A483" s="33" t="s">
        <v>1985</v>
      </c>
      <c r="B483" s="33" t="s">
        <v>1417</v>
      </c>
      <c r="C483" s="33" t="s">
        <v>198</v>
      </c>
      <c r="D483" s="33">
        <v>0</v>
      </c>
      <c r="E483" s="33">
        <v>0</v>
      </c>
      <c r="F483" s="33">
        <v>34138.11</v>
      </c>
      <c r="G483" s="33">
        <v>12681.24</v>
      </c>
      <c r="H483" s="33">
        <v>-46819.35</v>
      </c>
      <c r="I483" s="33" t="s">
        <v>1502</v>
      </c>
    </row>
    <row r="484" spans="1:9">
      <c r="A484" s="38" t="s">
        <v>1986</v>
      </c>
      <c r="B484" s="38" t="s">
        <v>1418</v>
      </c>
      <c r="C484" s="38" t="s">
        <v>49</v>
      </c>
      <c r="D484" s="38">
        <v>9070</v>
      </c>
      <c r="E484" s="38">
        <v>7576.61</v>
      </c>
      <c r="F484" s="38">
        <v>32151.23</v>
      </c>
      <c r="G484" s="38">
        <v>10054.370000000001</v>
      </c>
      <c r="H484" s="38">
        <v>-25558.99</v>
      </c>
      <c r="I484" s="38" t="s">
        <v>1504</v>
      </c>
    </row>
    <row r="485" spans="1:9">
      <c r="A485" s="33" t="s">
        <v>1987</v>
      </c>
      <c r="B485" s="33" t="s">
        <v>1420</v>
      </c>
      <c r="C485" s="33" t="s">
        <v>67</v>
      </c>
      <c r="D485" s="33">
        <v>66927.7</v>
      </c>
      <c r="E485" s="33">
        <v>5190.12</v>
      </c>
      <c r="F485" s="33">
        <v>25262.71</v>
      </c>
      <c r="G485" s="33">
        <v>3111.95</v>
      </c>
      <c r="H485" s="33">
        <v>43743.16</v>
      </c>
      <c r="I485" s="33" t="s">
        <v>1504</v>
      </c>
    </row>
    <row r="486" spans="1:9">
      <c r="A486" s="38" t="s">
        <v>1988</v>
      </c>
      <c r="B486" s="38" t="s">
        <v>1422</v>
      </c>
      <c r="C486" s="38" t="s">
        <v>49</v>
      </c>
      <c r="D486" s="38">
        <v>38001.81</v>
      </c>
      <c r="E486" s="38">
        <v>7375.36</v>
      </c>
      <c r="F486" s="38">
        <v>18208.830000000002</v>
      </c>
      <c r="G486" s="38">
        <v>13571.09</v>
      </c>
      <c r="H486" s="38">
        <v>13597.25</v>
      </c>
      <c r="I486" s="38" t="s">
        <v>1504</v>
      </c>
    </row>
    <row r="487" spans="1:9">
      <c r="A487" s="33" t="s">
        <v>1989</v>
      </c>
      <c r="B487" s="33" t="s">
        <v>1424</v>
      </c>
      <c r="C487" s="33" t="s">
        <v>96</v>
      </c>
      <c r="D487" s="33">
        <v>76672.259999999995</v>
      </c>
      <c r="E487" s="33">
        <v>6369.85</v>
      </c>
      <c r="F487" s="33">
        <v>7170.08</v>
      </c>
      <c r="G487" s="33">
        <v>12431.03</v>
      </c>
      <c r="H487" s="33">
        <v>63441</v>
      </c>
      <c r="I487" s="33" t="s">
        <v>1504</v>
      </c>
    </row>
    <row r="488" spans="1:9">
      <c r="A488" s="38" t="s">
        <v>1990</v>
      </c>
      <c r="B488" s="38" t="s">
        <v>1426</v>
      </c>
      <c r="C488" s="38" t="s">
        <v>39</v>
      </c>
      <c r="D488" s="38">
        <v>269451.39</v>
      </c>
      <c r="E488" s="38">
        <v>2761.03</v>
      </c>
      <c r="F488" s="38">
        <v>26916.48</v>
      </c>
      <c r="G488" s="38">
        <v>2855.27</v>
      </c>
      <c r="H488" s="38">
        <v>242440.67</v>
      </c>
      <c r="I488" s="38" t="s">
        <v>1504</v>
      </c>
    </row>
    <row r="489" spans="1:9">
      <c r="A489" s="33" t="s">
        <v>1991</v>
      </c>
      <c r="B489" s="33" t="s">
        <v>1429</v>
      </c>
      <c r="C489" s="33" t="s">
        <v>175</v>
      </c>
      <c r="D489" s="33">
        <v>54730.96</v>
      </c>
      <c r="E489" s="33">
        <v>4694.4399999999996</v>
      </c>
      <c r="F489" s="33">
        <v>15322.09</v>
      </c>
      <c r="G489" s="33">
        <v>6958.92</v>
      </c>
      <c r="H489" s="33">
        <v>37144.39</v>
      </c>
      <c r="I489" s="33" t="s">
        <v>1504</v>
      </c>
    </row>
    <row r="490" spans="1:9">
      <c r="A490" s="38" t="s">
        <v>1992</v>
      </c>
      <c r="B490" s="38" t="s">
        <v>1430</v>
      </c>
      <c r="C490" s="38" t="s">
        <v>49</v>
      </c>
      <c r="D490" s="38">
        <v>77702.8</v>
      </c>
      <c r="E490" s="38">
        <v>5129.76</v>
      </c>
      <c r="F490" s="38">
        <v>19388.78</v>
      </c>
      <c r="G490" s="38">
        <v>13239.58</v>
      </c>
      <c r="H490" s="38">
        <v>50204.2</v>
      </c>
      <c r="I490" s="38" t="s">
        <v>1504</v>
      </c>
    </row>
    <row r="491" spans="1:9">
      <c r="A491" s="33" t="s">
        <v>1993</v>
      </c>
      <c r="B491" s="33" t="s">
        <v>1431</v>
      </c>
      <c r="C491" s="33" t="s">
        <v>74</v>
      </c>
      <c r="D491" s="33">
        <v>54563.08</v>
      </c>
      <c r="E491" s="33">
        <v>3900.58</v>
      </c>
      <c r="F491" s="33">
        <v>21247.32</v>
      </c>
      <c r="G491" s="33">
        <v>7565.37</v>
      </c>
      <c r="H491" s="33">
        <v>29650.97</v>
      </c>
      <c r="I491" s="33" t="s">
        <v>1504</v>
      </c>
    </row>
    <row r="492" spans="1:9">
      <c r="A492" s="38" t="s">
        <v>1994</v>
      </c>
      <c r="B492" s="38" t="s">
        <v>1434</v>
      </c>
      <c r="C492" s="38" t="s">
        <v>65</v>
      </c>
      <c r="D492" s="38">
        <v>28935.94</v>
      </c>
      <c r="E492" s="38">
        <v>3047.12</v>
      </c>
      <c r="F492" s="38">
        <v>37815.47</v>
      </c>
      <c r="G492" s="38">
        <v>12178.08</v>
      </c>
      <c r="H492" s="38">
        <v>-18010.490000000002</v>
      </c>
      <c r="I492" s="38" t="s">
        <v>1509</v>
      </c>
    </row>
    <row r="493" spans="1:9">
      <c r="A493" s="33" t="s">
        <v>1995</v>
      </c>
      <c r="B493" s="33" t="s">
        <v>1436</v>
      </c>
      <c r="C493" s="33" t="s">
        <v>24</v>
      </c>
      <c r="D493" s="33">
        <v>43085.7</v>
      </c>
      <c r="E493" s="33">
        <v>4379.1000000000004</v>
      </c>
      <c r="F493" s="33">
        <v>25573.47</v>
      </c>
      <c r="G493" s="33">
        <v>3404.09</v>
      </c>
      <c r="H493" s="33">
        <v>18487.240000000002</v>
      </c>
      <c r="I493" s="33" t="s">
        <v>1504</v>
      </c>
    </row>
    <row r="494" spans="1:9">
      <c r="A494" s="38" t="s">
        <v>1996</v>
      </c>
      <c r="B494" s="38" t="s">
        <v>1438</v>
      </c>
      <c r="C494" s="38" t="s">
        <v>41</v>
      </c>
      <c r="D494" s="38">
        <v>82065.350000000006</v>
      </c>
      <c r="E494" s="38">
        <v>4963.8100000000004</v>
      </c>
      <c r="F494" s="38">
        <v>7364.06</v>
      </c>
      <c r="G494" s="38">
        <v>12262.41</v>
      </c>
      <c r="H494" s="38">
        <v>67402.69</v>
      </c>
      <c r="I494" s="38" t="s">
        <v>1502</v>
      </c>
    </row>
    <row r="495" spans="1:9">
      <c r="A495" s="33" t="s">
        <v>1997</v>
      </c>
      <c r="B495" s="33" t="s">
        <v>1441</v>
      </c>
      <c r="C495" s="33" t="s">
        <v>57</v>
      </c>
      <c r="D495" s="33">
        <v>0</v>
      </c>
      <c r="E495" s="33">
        <v>7282.77</v>
      </c>
      <c r="F495" s="33">
        <v>9409.36</v>
      </c>
      <c r="G495" s="33">
        <v>8615.67</v>
      </c>
      <c r="H495" s="33">
        <v>40607.78</v>
      </c>
      <c r="I495" s="33" t="s">
        <v>1511</v>
      </c>
    </row>
    <row r="496" spans="1:9">
      <c r="A496" s="38" t="s">
        <v>1998</v>
      </c>
      <c r="B496" s="38" t="s">
        <v>1442</v>
      </c>
      <c r="C496" s="38" t="s">
        <v>117</v>
      </c>
      <c r="D496" s="38">
        <v>38284.93</v>
      </c>
      <c r="E496" s="38">
        <v>3657.55</v>
      </c>
      <c r="F496" s="38">
        <v>30361.81</v>
      </c>
      <c r="G496" s="38">
        <v>7780.12</v>
      </c>
      <c r="H496" s="38">
        <v>3800.55</v>
      </c>
      <c r="I496" s="38" t="s">
        <v>1502</v>
      </c>
    </row>
    <row r="497" spans="1:19">
      <c r="A497" s="33" t="s">
        <v>1999</v>
      </c>
      <c r="B497" s="33" t="s">
        <v>1444</v>
      </c>
      <c r="C497" s="33" t="s">
        <v>41</v>
      </c>
      <c r="D497" s="33">
        <v>41125.26</v>
      </c>
      <c r="E497" s="33">
        <v>1532.55</v>
      </c>
      <c r="F497" s="33">
        <v>6542.48</v>
      </c>
      <c r="G497" s="33">
        <v>3659.85</v>
      </c>
      <c r="H497" s="33">
        <v>32455.48</v>
      </c>
      <c r="I497" s="33" t="s">
        <v>1509</v>
      </c>
    </row>
    <row r="498" spans="1:19">
      <c r="A498" s="38" t="s">
        <v>2000</v>
      </c>
      <c r="B498" s="38" t="s">
        <v>1446</v>
      </c>
      <c r="C498" s="38" t="s">
        <v>49</v>
      </c>
      <c r="D498" s="38">
        <v>75435.399999999994</v>
      </c>
      <c r="E498" s="38">
        <v>4348.4399999999996</v>
      </c>
      <c r="F498" s="38">
        <v>27809.67</v>
      </c>
      <c r="G498" s="38">
        <v>6650.67</v>
      </c>
      <c r="H498" s="38">
        <v>45323.5</v>
      </c>
      <c r="I498" s="38" t="s">
        <v>1502</v>
      </c>
    </row>
    <row r="499" spans="1:19">
      <c r="A499" s="33" t="s">
        <v>2001</v>
      </c>
      <c r="B499" s="33" t="s">
        <v>1449</v>
      </c>
      <c r="C499" s="33" t="s">
        <v>22</v>
      </c>
      <c r="D499" s="33">
        <v>148437.96</v>
      </c>
      <c r="E499" s="33">
        <v>1605.57</v>
      </c>
      <c r="F499" s="33">
        <v>15803.6</v>
      </c>
      <c r="G499" s="33">
        <v>6457.7</v>
      </c>
      <c r="H499" s="33">
        <v>127782.23</v>
      </c>
      <c r="I499" s="33" t="s">
        <v>1511</v>
      </c>
    </row>
    <row r="500" spans="1:19">
      <c r="A500" s="38" t="s">
        <v>2002</v>
      </c>
      <c r="B500" s="38" t="s">
        <v>1451</v>
      </c>
      <c r="C500" s="38" t="s">
        <v>80</v>
      </c>
      <c r="D500" s="38">
        <v>0</v>
      </c>
      <c r="E500" s="38">
        <v>0</v>
      </c>
      <c r="F500" s="38">
        <v>38959.49</v>
      </c>
      <c r="G500" s="38">
        <v>8729.85</v>
      </c>
      <c r="H500" s="38">
        <v>-47689.34</v>
      </c>
      <c r="I500" s="38" t="s">
        <v>1502</v>
      </c>
    </row>
    <row r="501" spans="1:19">
      <c r="A501" s="33" t="s">
        <v>2003</v>
      </c>
      <c r="B501" s="33" t="s">
        <v>1453</v>
      </c>
      <c r="C501" s="33" t="s">
        <v>33</v>
      </c>
      <c r="D501" s="33">
        <v>50425.62</v>
      </c>
      <c r="E501" s="33">
        <v>929.88</v>
      </c>
      <c r="F501" s="33">
        <v>22748.78</v>
      </c>
      <c r="G501" s="33">
        <v>12857.27</v>
      </c>
      <c r="H501" s="33">
        <v>15749.45</v>
      </c>
      <c r="I501" s="33" t="s">
        <v>1504</v>
      </c>
    </row>
    <row r="502" spans="1:19">
      <c r="A502" s="38" t="s">
        <v>2004</v>
      </c>
      <c r="B502" s="38" t="s">
        <v>1454</v>
      </c>
      <c r="C502" s="38" t="s">
        <v>74</v>
      </c>
      <c r="D502" s="38">
        <v>22404.720000000001</v>
      </c>
      <c r="E502" s="38">
        <v>3665.46</v>
      </c>
      <c r="F502" s="38">
        <v>11839.25</v>
      </c>
      <c r="G502" s="38">
        <v>4604.83</v>
      </c>
      <c r="H502" s="38">
        <v>9626.1</v>
      </c>
      <c r="I502" s="38" t="s">
        <v>1502</v>
      </c>
    </row>
    <row r="510" spans="1:19">
      <c r="S510" s="54" t="s">
        <v>1492</v>
      </c>
    </row>
  </sheetData>
  <mergeCells count="1">
    <mergeCell ref="A1:I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509"/>
  <sheetViews>
    <sheetView workbookViewId="0">
      <pane ySplit="1" topLeftCell="A2" activePane="bottomLeft" state="frozen"/>
      <selection pane="bottomLeft" activeCell="G1" sqref="G1:G501"/>
    </sheetView>
  </sheetViews>
  <sheetFormatPr defaultColWidth="9" defaultRowHeight="15"/>
  <cols>
    <col min="1" max="1" width="14" customWidth="1"/>
    <col min="2" max="2" width="13" customWidth="1"/>
    <col min="3" max="4" width="16" customWidth="1"/>
    <col min="5" max="6" width="17" customWidth="1"/>
    <col min="7" max="7" width="21" customWidth="1"/>
    <col min="8" max="10" width="13" customWidth="1"/>
    <col min="11" max="11" width="18" customWidth="1"/>
    <col min="12" max="12" width="12.85546875"/>
  </cols>
  <sheetData>
    <row r="1" spans="1:15">
      <c r="A1" s="39" t="s">
        <v>1494</v>
      </c>
      <c r="B1" s="39" t="s">
        <v>1</v>
      </c>
      <c r="C1" s="39" t="s">
        <v>1465</v>
      </c>
      <c r="D1" s="39" t="s">
        <v>3</v>
      </c>
      <c r="E1" s="39" t="s">
        <v>1495</v>
      </c>
      <c r="F1" s="39" t="s">
        <v>2005</v>
      </c>
      <c r="G1" s="39" t="s">
        <v>1496</v>
      </c>
      <c r="H1" s="39" t="s">
        <v>1498</v>
      </c>
      <c r="I1" s="39" t="s">
        <v>2006</v>
      </c>
      <c r="J1" s="39" t="s">
        <v>1499</v>
      </c>
      <c r="K1" s="39" t="s">
        <v>1500</v>
      </c>
      <c r="L1" t="s">
        <v>2007</v>
      </c>
      <c r="M1" t="s">
        <v>2008</v>
      </c>
      <c r="N1" t="s">
        <v>13</v>
      </c>
      <c r="O1" t="s">
        <v>2009</v>
      </c>
    </row>
    <row r="2" spans="1:15">
      <c r="A2" s="33" t="s">
        <v>1501</v>
      </c>
      <c r="B2" s="33" t="s">
        <v>18</v>
      </c>
      <c r="C2" s="33" t="s">
        <v>22</v>
      </c>
      <c r="D2" s="33" t="str">
        <f>VLOOKUP(B2,'✈ Flights (2)'!$A$2:$P$502,3,FALSE)</f>
        <v>Delta</v>
      </c>
      <c r="E2" s="33">
        <v>87141.6</v>
      </c>
      <c r="F2" s="33">
        <f>E2/O2</f>
        <v>121.198331015299</v>
      </c>
      <c r="G2" s="33">
        <v>1232.74</v>
      </c>
      <c r="H2" s="33">
        <v>7797.25</v>
      </c>
      <c r="I2" s="33">
        <v>8636.75</v>
      </c>
      <c r="J2" s="33">
        <v>71940.34</v>
      </c>
      <c r="K2" s="33" t="s">
        <v>1502</v>
      </c>
      <c r="L2" s="40">
        <f>VLOOKUP(B2,'✈ Flights (2)'!$A$2:$R$501,13,FALSE)</f>
        <v>837.9</v>
      </c>
      <c r="M2">
        <f>VLOOKUP(B2,'✈ Flights (2)'!$A$2:$R$501,16,FALSE)</f>
        <v>104</v>
      </c>
      <c r="N2" t="str">
        <f>VLOOKUP(B2,'✈ Flights (2)'!$A$2:$R$501,14,FALSE)</f>
        <v>First Class</v>
      </c>
      <c r="O2">
        <f>VLOOKUP(B2,'✈ Flights (2)'!$A$2:$P$502,12,FALSE)</f>
        <v>719</v>
      </c>
    </row>
    <row r="3" spans="1:15">
      <c r="A3" s="38" t="s">
        <v>1503</v>
      </c>
      <c r="B3" s="38" t="s">
        <v>29</v>
      </c>
      <c r="C3" s="38" t="s">
        <v>24</v>
      </c>
      <c r="D3" s="33" t="str">
        <f>VLOOKUP(B3,'✈ Flights (2)'!$A$2:$P$502,3,FALSE)</f>
        <v>Southwest</v>
      </c>
      <c r="E3" s="38">
        <v>138464.57999999999</v>
      </c>
      <c r="F3" s="33">
        <f t="shared" ref="F3:F66" si="0">E3/O3</f>
        <v>124.294955116697</v>
      </c>
      <c r="G3" s="38">
        <v>5939.38</v>
      </c>
      <c r="H3" s="38">
        <v>2442.54</v>
      </c>
      <c r="I3" s="38">
        <v>13816.36</v>
      </c>
      <c r="J3" s="38">
        <v>128145.06</v>
      </c>
      <c r="K3" s="38" t="s">
        <v>1504</v>
      </c>
      <c r="L3" s="40">
        <f>VLOOKUP(B3,'✈ Flights (2)'!$A$2:$R$501,13,FALSE)</f>
        <v>881.94</v>
      </c>
      <c r="M3">
        <f>VLOOKUP(B3,'✈ Flights (2)'!$A$2:$R$501,16,FALSE)</f>
        <v>157</v>
      </c>
      <c r="N3" t="str">
        <f>VLOOKUP(B3,'✈ Flights (2)'!$A$2:$R$501,14,FALSE)</f>
        <v>First Class</v>
      </c>
      <c r="O3">
        <f>VLOOKUP(B3,'✈ Flights (2)'!$A$2:$P$502,12,FALSE)</f>
        <v>1114</v>
      </c>
    </row>
    <row r="4" spans="1:15">
      <c r="A4" s="33" t="s">
        <v>1505</v>
      </c>
      <c r="B4" s="33" t="s">
        <v>36</v>
      </c>
      <c r="C4" s="33" t="s">
        <v>39</v>
      </c>
      <c r="D4" s="33" t="str">
        <f>VLOOKUP(B4,'✈ Flights (2)'!$A$2:$P$502,3,FALSE)</f>
        <v>Delta</v>
      </c>
      <c r="E4" s="33">
        <v>70276.88</v>
      </c>
      <c r="F4" s="33">
        <f t="shared" si="0"/>
        <v>59.506248941574903</v>
      </c>
      <c r="G4" s="33">
        <v>926.61</v>
      </c>
      <c r="H4" s="33">
        <v>13621.57</v>
      </c>
      <c r="I4" s="33">
        <v>25794.85</v>
      </c>
      <c r="J4" s="33">
        <v>31787.07</v>
      </c>
      <c r="K4" s="33" t="s">
        <v>1502</v>
      </c>
      <c r="L4" s="40">
        <f>VLOOKUP(B4,'✈ Flights (2)'!$A$2:$R$501,13,FALSE)</f>
        <v>1152.08</v>
      </c>
      <c r="M4">
        <f>VLOOKUP(B4,'✈ Flights (2)'!$A$2:$R$501,16,FALSE)</f>
        <v>61</v>
      </c>
      <c r="N4" t="str">
        <f>VLOOKUP(B4,'✈ Flights (2)'!$A$2:$R$501,14,FALSE)</f>
        <v>Business</v>
      </c>
      <c r="O4">
        <f>VLOOKUP(B4,'✈ Flights (2)'!$A$2:$P$502,12,FALSE)</f>
        <v>1181</v>
      </c>
    </row>
    <row r="5" spans="1:15">
      <c r="A5" s="38" t="s">
        <v>1506</v>
      </c>
      <c r="B5" s="38" t="s">
        <v>45</v>
      </c>
      <c r="C5" s="38" t="s">
        <v>49</v>
      </c>
      <c r="D5" s="33" t="str">
        <f>VLOOKUP(B5,'✈ Flights (2)'!$A$2:$P$502,3,FALSE)</f>
        <v>Alaska</v>
      </c>
      <c r="E5" s="38">
        <v>140386.79999999999</v>
      </c>
      <c r="F5" s="33">
        <f t="shared" si="0"/>
        <v>173.10332922318099</v>
      </c>
      <c r="G5" s="38">
        <v>7628.67</v>
      </c>
      <c r="H5" s="38">
        <v>11204.98</v>
      </c>
      <c r="I5" s="38">
        <v>27332.9</v>
      </c>
      <c r="J5" s="38">
        <v>109477.59</v>
      </c>
      <c r="K5" s="38" t="s">
        <v>1504</v>
      </c>
      <c r="L5" s="40">
        <f>VLOOKUP(B5,'✈ Flights (2)'!$A$2:$R$501,13,FALSE)</f>
        <v>1169.8900000000001</v>
      </c>
      <c r="M5">
        <f>VLOOKUP(B5,'✈ Flights (2)'!$A$2:$R$501,16,FALSE)</f>
        <v>120</v>
      </c>
      <c r="N5" t="str">
        <f>VLOOKUP(B5,'✈ Flights (2)'!$A$2:$R$501,14,FALSE)</f>
        <v>Business</v>
      </c>
      <c r="O5">
        <f>VLOOKUP(B5,'✈ Flights (2)'!$A$2:$P$502,12,FALSE)</f>
        <v>811</v>
      </c>
    </row>
    <row r="6" spans="1:15">
      <c r="A6" s="33" t="s">
        <v>1507</v>
      </c>
      <c r="B6" s="33" t="s">
        <v>52</v>
      </c>
      <c r="C6" s="33" t="s">
        <v>55</v>
      </c>
      <c r="D6" s="33" t="str">
        <f>VLOOKUP(B6,'✈ Flights (2)'!$A$2:$P$502,3,FALSE)</f>
        <v>Southwest</v>
      </c>
      <c r="E6" s="33">
        <v>125593.16</v>
      </c>
      <c r="F6" s="33">
        <f t="shared" si="0"/>
        <v>200.628051118211</v>
      </c>
      <c r="G6" s="33">
        <v>1147.9000000000001</v>
      </c>
      <c r="H6" s="33">
        <v>6887.46</v>
      </c>
      <c r="I6" s="33">
        <v>26164</v>
      </c>
      <c r="J6" s="33">
        <v>93689.600000000006</v>
      </c>
      <c r="K6" s="33" t="s">
        <v>1502</v>
      </c>
      <c r="L6" s="40">
        <f>VLOOKUP(B6,'✈ Flights (2)'!$A$2:$R$501,13,FALSE)</f>
        <v>1037.96</v>
      </c>
      <c r="M6">
        <f>VLOOKUP(B6,'✈ Flights (2)'!$A$2:$R$501,16,FALSE)</f>
        <v>121</v>
      </c>
      <c r="N6" t="str">
        <f>VLOOKUP(B6,'✈ Flights (2)'!$A$2:$R$501,14,FALSE)</f>
        <v>Economy</v>
      </c>
      <c r="O6">
        <f>VLOOKUP(B6,'✈ Flights (2)'!$A$2:$P$502,12,FALSE)</f>
        <v>626</v>
      </c>
    </row>
    <row r="7" spans="1:15">
      <c r="A7" s="38" t="s">
        <v>1508</v>
      </c>
      <c r="B7" s="38" t="s">
        <v>61</v>
      </c>
      <c r="C7" s="38" t="s">
        <v>65</v>
      </c>
      <c r="D7" s="33" t="str">
        <f>VLOOKUP(B7,'✈ Flights (2)'!$A$2:$P$502,3,FALSE)</f>
        <v>American</v>
      </c>
      <c r="E7" s="38">
        <v>18876.46</v>
      </c>
      <c r="F7" s="33">
        <f t="shared" si="0"/>
        <v>6.3901354096140803</v>
      </c>
      <c r="G7" s="38">
        <v>7220.01</v>
      </c>
      <c r="H7" s="38">
        <v>5293.36</v>
      </c>
      <c r="I7" s="38">
        <v>29347.88</v>
      </c>
      <c r="J7" s="38">
        <v>-8544.77</v>
      </c>
      <c r="K7" s="38" t="s">
        <v>1509</v>
      </c>
      <c r="L7" s="40">
        <f>VLOOKUP(B7,'✈ Flights (2)'!$A$2:$R$501,13,FALSE)</f>
        <v>159.97</v>
      </c>
      <c r="M7">
        <f>VLOOKUP(B7,'✈ Flights (2)'!$A$2:$R$501,16,FALSE)</f>
        <v>118</v>
      </c>
      <c r="N7" t="str">
        <f>VLOOKUP(B7,'✈ Flights (2)'!$A$2:$R$501,14,FALSE)</f>
        <v>First Class</v>
      </c>
      <c r="O7">
        <f>VLOOKUP(B7,'✈ Flights (2)'!$A$2:$P$502,12,FALSE)</f>
        <v>2954</v>
      </c>
    </row>
    <row r="8" spans="1:15">
      <c r="A8" s="33" t="s">
        <v>1510</v>
      </c>
      <c r="B8" s="33" t="s">
        <v>71</v>
      </c>
      <c r="C8" s="33" t="s">
        <v>22</v>
      </c>
      <c r="D8" s="33" t="str">
        <f>VLOOKUP(B8,'✈ Flights (2)'!$A$2:$P$502,3,FALSE)</f>
        <v>Spirit</v>
      </c>
      <c r="E8" s="33">
        <v>118049.56</v>
      </c>
      <c r="F8" s="33">
        <f t="shared" si="0"/>
        <v>95.355056542810999</v>
      </c>
      <c r="G8" s="33">
        <v>5453.58</v>
      </c>
      <c r="H8" s="33">
        <v>7894.77</v>
      </c>
      <c r="I8" s="33">
        <v>7650</v>
      </c>
      <c r="J8" s="33">
        <v>107958.37</v>
      </c>
      <c r="K8" s="33" t="s">
        <v>1511</v>
      </c>
      <c r="L8" s="40">
        <f>VLOOKUP(B8,'✈ Flights (2)'!$A$2:$R$501,13,FALSE)</f>
        <v>1000.42</v>
      </c>
      <c r="M8">
        <f>VLOOKUP(B8,'✈ Flights (2)'!$A$2:$R$501,16,FALSE)</f>
        <v>118</v>
      </c>
      <c r="N8" t="str">
        <f>VLOOKUP(B8,'✈ Flights (2)'!$A$2:$R$501,14,FALSE)</f>
        <v>Business</v>
      </c>
      <c r="O8">
        <f>VLOOKUP(B8,'✈ Flights (2)'!$A$2:$P$502,12,FALSE)</f>
        <v>1238</v>
      </c>
    </row>
    <row r="9" spans="1:15">
      <c r="A9" s="38" t="s">
        <v>1512</v>
      </c>
      <c r="B9" s="38" t="s">
        <v>77</v>
      </c>
      <c r="C9" s="38" t="s">
        <v>80</v>
      </c>
      <c r="D9" s="33" t="str">
        <f>VLOOKUP(B9,'✈ Flights (2)'!$A$2:$P$502,3,FALSE)</f>
        <v>Southwest</v>
      </c>
      <c r="E9" s="38">
        <v>44204.93</v>
      </c>
      <c r="F9" s="33">
        <f t="shared" si="0"/>
        <v>31.9399783236994</v>
      </c>
      <c r="G9" s="38">
        <v>6270.19</v>
      </c>
      <c r="H9" s="38">
        <v>10678.53</v>
      </c>
      <c r="I9" s="38">
        <v>29227.75</v>
      </c>
      <c r="J9" s="38">
        <v>10568.84</v>
      </c>
      <c r="K9" s="38" t="s">
        <v>1511</v>
      </c>
      <c r="L9" s="40">
        <f>VLOOKUP(B9,'✈ Flights (2)'!$A$2:$R$501,13,FALSE)</f>
        <v>236.39</v>
      </c>
      <c r="M9">
        <f>VLOOKUP(B9,'✈ Flights (2)'!$A$2:$R$501,16,FALSE)</f>
        <v>187</v>
      </c>
      <c r="N9" t="str">
        <f>VLOOKUP(B9,'✈ Flights (2)'!$A$2:$R$501,14,FALSE)</f>
        <v>First Class</v>
      </c>
      <c r="O9">
        <f>VLOOKUP(B9,'✈ Flights (2)'!$A$2:$P$502,12,FALSE)</f>
        <v>1384</v>
      </c>
    </row>
    <row r="10" spans="1:15">
      <c r="A10" s="33" t="s">
        <v>1513</v>
      </c>
      <c r="B10" s="33" t="s">
        <v>83</v>
      </c>
      <c r="C10" s="33" t="s">
        <v>65</v>
      </c>
      <c r="D10" s="33" t="str">
        <f>VLOOKUP(B10,'✈ Flights (2)'!$A$2:$P$502,3,FALSE)</f>
        <v>Spirit</v>
      </c>
      <c r="E10" s="33">
        <v>93999.6</v>
      </c>
      <c r="F10" s="33">
        <f t="shared" si="0"/>
        <v>191.05609756097601</v>
      </c>
      <c r="G10" s="33">
        <v>2430.02</v>
      </c>
      <c r="H10" s="33">
        <v>5604.74</v>
      </c>
      <c r="I10" s="33">
        <v>32325.599999999999</v>
      </c>
      <c r="J10" s="33">
        <v>58499.28</v>
      </c>
      <c r="K10" s="33" t="s">
        <v>1504</v>
      </c>
      <c r="L10" s="40">
        <f>VLOOKUP(B10,'✈ Flights (2)'!$A$2:$R$501,13,FALSE)</f>
        <v>1044.44</v>
      </c>
      <c r="M10">
        <f>VLOOKUP(B10,'✈ Flights (2)'!$A$2:$R$501,16,FALSE)</f>
        <v>90</v>
      </c>
      <c r="N10" t="str">
        <f>VLOOKUP(B10,'✈ Flights (2)'!$A$2:$R$501,14,FALSE)</f>
        <v>Economy</v>
      </c>
      <c r="O10">
        <f>VLOOKUP(B10,'✈ Flights (2)'!$A$2:$P$502,12,FALSE)</f>
        <v>492</v>
      </c>
    </row>
    <row r="11" spans="1:15">
      <c r="A11" s="38" t="s">
        <v>1514</v>
      </c>
      <c r="B11" s="38" t="s">
        <v>88</v>
      </c>
      <c r="C11" s="38" t="s">
        <v>67</v>
      </c>
      <c r="D11" s="33" t="str">
        <f>VLOOKUP(B11,'✈ Flights (2)'!$A$2:$P$502,3,FALSE)</f>
        <v>Spirit</v>
      </c>
      <c r="E11" s="38">
        <v>109804.53</v>
      </c>
      <c r="F11" s="33">
        <f t="shared" si="0"/>
        <v>316.43956772334298</v>
      </c>
      <c r="G11" s="38">
        <v>3370.99</v>
      </c>
      <c r="H11" s="38">
        <v>2780.76</v>
      </c>
      <c r="I11" s="38">
        <v>16642.919999999998</v>
      </c>
      <c r="J11" s="38">
        <v>141386.35</v>
      </c>
      <c r="K11" s="38" t="s">
        <v>1511</v>
      </c>
      <c r="L11" s="40">
        <f>VLOOKUP(B11,'✈ Flights (2)'!$A$2:$R$501,13,FALSE)</f>
        <v>587.19000000000005</v>
      </c>
      <c r="M11">
        <f>VLOOKUP(B11,'✈ Flights (2)'!$A$2:$R$501,16,FALSE)</f>
        <v>187</v>
      </c>
      <c r="N11" t="str">
        <f>VLOOKUP(B11,'✈ Flights (2)'!$A$2:$R$501,14,FALSE)</f>
        <v>Economy</v>
      </c>
      <c r="O11">
        <f>VLOOKUP(B11,'✈ Flights (2)'!$A$2:$P$502,12,FALSE)</f>
        <v>347</v>
      </c>
    </row>
    <row r="12" spans="1:15">
      <c r="A12" s="33" t="s">
        <v>1515</v>
      </c>
      <c r="B12" s="33" t="s">
        <v>92</v>
      </c>
      <c r="C12" s="33" t="s">
        <v>96</v>
      </c>
      <c r="D12" s="33" t="str">
        <f>VLOOKUP(B12,'✈ Flights (2)'!$A$2:$P$502,3,FALSE)</f>
        <v>United</v>
      </c>
      <c r="E12" s="33">
        <v>45213.63</v>
      </c>
      <c r="F12" s="33">
        <f t="shared" si="0"/>
        <v>32.8110522496372</v>
      </c>
      <c r="G12" s="33">
        <v>1834.47</v>
      </c>
      <c r="H12" s="33">
        <v>14732.49</v>
      </c>
      <c r="I12" s="33">
        <v>7428.95</v>
      </c>
      <c r="J12" s="33">
        <v>69648.3</v>
      </c>
      <c r="K12" s="33" t="s">
        <v>1502</v>
      </c>
      <c r="L12" s="40">
        <f>VLOOKUP(B12,'✈ Flights (2)'!$A$2:$R$501,13,FALSE)</f>
        <v>587.19000000000005</v>
      </c>
      <c r="M12">
        <f>VLOOKUP(B12,'✈ Flights (2)'!$A$2:$R$501,16,FALSE)</f>
        <v>77</v>
      </c>
      <c r="N12" t="str">
        <f>VLOOKUP(B12,'✈ Flights (2)'!$A$2:$R$501,14,FALSE)</f>
        <v>Economy</v>
      </c>
      <c r="O12">
        <f>VLOOKUP(B12,'✈ Flights (2)'!$A$2:$P$502,12,FALSE)</f>
        <v>1378</v>
      </c>
    </row>
    <row r="13" spans="1:15">
      <c r="A13" s="38" t="s">
        <v>1516</v>
      </c>
      <c r="B13" s="38" t="s">
        <v>99</v>
      </c>
      <c r="C13" s="38" t="s">
        <v>102</v>
      </c>
      <c r="D13" s="33" t="str">
        <f>VLOOKUP(B13,'✈ Flights (2)'!$A$2:$P$502,3,FALSE)</f>
        <v>Southwest</v>
      </c>
      <c r="E13" s="38">
        <v>116314.425</v>
      </c>
      <c r="F13" s="33">
        <f t="shared" si="0"/>
        <v>71.490119852489201</v>
      </c>
      <c r="G13" s="38">
        <v>5077.26</v>
      </c>
      <c r="H13" s="38">
        <v>8396.74</v>
      </c>
      <c r="I13" s="38">
        <v>11245.48</v>
      </c>
      <c r="J13" s="38">
        <v>132836.44</v>
      </c>
      <c r="K13" s="38" t="s">
        <v>1502</v>
      </c>
      <c r="L13" s="40">
        <f>VLOOKUP(B13,'✈ Flights (2)'!$A$2:$R$501,13,FALSE)</f>
        <v>494.95499999999998</v>
      </c>
      <c r="M13">
        <f>VLOOKUP(B13,'✈ Flights (2)'!$A$2:$R$501,16,FALSE)</f>
        <v>235</v>
      </c>
      <c r="N13" t="str">
        <f>VLOOKUP(B13,'✈ Flights (2)'!$A$2:$R$501,14,FALSE)</f>
        <v>Economy</v>
      </c>
      <c r="O13">
        <f>VLOOKUP(B13,'✈ Flights (2)'!$A$2:$P$502,12,FALSE)</f>
        <v>1627</v>
      </c>
    </row>
    <row r="14" spans="1:15">
      <c r="A14" s="33" t="s">
        <v>1517</v>
      </c>
      <c r="B14" s="33" t="s">
        <v>105</v>
      </c>
      <c r="C14" s="33" t="s">
        <v>24</v>
      </c>
      <c r="D14" s="33" t="str">
        <f>VLOOKUP(B14,'✈ Flights (2)'!$A$2:$P$502,3,FALSE)</f>
        <v>Delta</v>
      </c>
      <c r="E14" s="33">
        <v>48149.58</v>
      </c>
      <c r="F14" s="33">
        <f t="shared" si="0"/>
        <v>21.026017467248899</v>
      </c>
      <c r="G14" s="33">
        <v>4554.74</v>
      </c>
      <c r="H14" s="33">
        <v>9981.56</v>
      </c>
      <c r="I14" s="33">
        <v>20093.88</v>
      </c>
      <c r="J14" s="33">
        <v>55983.199999999997</v>
      </c>
      <c r="K14" s="33" t="s">
        <v>1504</v>
      </c>
      <c r="L14" s="40">
        <f>VLOOKUP(B14,'✈ Flights (2)'!$A$2:$R$501,13,FALSE)</f>
        <v>587.19000000000005</v>
      </c>
      <c r="M14">
        <f>VLOOKUP(B14,'✈ Flights (2)'!$A$2:$R$501,16,FALSE)</f>
        <v>82</v>
      </c>
      <c r="N14" t="str">
        <f>VLOOKUP(B14,'✈ Flights (2)'!$A$2:$R$501,14,FALSE)</f>
        <v>First Class</v>
      </c>
      <c r="O14">
        <f>VLOOKUP(B14,'✈ Flights (2)'!$A$2:$P$502,12,FALSE)</f>
        <v>2290</v>
      </c>
    </row>
    <row r="15" spans="1:15">
      <c r="A15" s="38" t="s">
        <v>1518</v>
      </c>
      <c r="B15" s="38" t="s">
        <v>109</v>
      </c>
      <c r="C15" s="38" t="s">
        <v>22</v>
      </c>
      <c r="D15" s="33" t="str">
        <f>VLOOKUP(B15,'✈ Flights (2)'!$A$2:$P$502,3,FALSE)</f>
        <v>American</v>
      </c>
      <c r="E15" s="38">
        <v>95556.404999999999</v>
      </c>
      <c r="F15" s="33">
        <f t="shared" si="0"/>
        <v>38.100639952153102</v>
      </c>
      <c r="G15" s="38">
        <v>7344.57</v>
      </c>
      <c r="H15" s="38">
        <v>3342.73</v>
      </c>
      <c r="I15" s="38">
        <v>30039.01</v>
      </c>
      <c r="J15" s="38">
        <v>104514.73</v>
      </c>
      <c r="K15" s="38" t="s">
        <v>1504</v>
      </c>
      <c r="L15" s="40">
        <f>VLOOKUP(B15,'✈ Flights (2)'!$A$2:$R$501,13,FALSE)</f>
        <v>677.70500000000004</v>
      </c>
      <c r="M15">
        <f>VLOOKUP(B15,'✈ Flights (2)'!$A$2:$R$501,16,FALSE)</f>
        <v>141</v>
      </c>
      <c r="N15" t="str">
        <f>VLOOKUP(B15,'✈ Flights (2)'!$A$2:$R$501,14,FALSE)</f>
        <v>First Class</v>
      </c>
      <c r="O15">
        <f>VLOOKUP(B15,'✈ Flights (2)'!$A$2:$P$502,12,FALSE)</f>
        <v>2508</v>
      </c>
    </row>
    <row r="16" spans="1:15">
      <c r="A16" s="33" t="s">
        <v>1519</v>
      </c>
      <c r="B16" s="33" t="s">
        <v>113</v>
      </c>
      <c r="C16" s="33" t="s">
        <v>117</v>
      </c>
      <c r="D16" s="33" t="str">
        <f>VLOOKUP(B16,'✈ Flights (2)'!$A$2:$P$502,3,FALSE)</f>
        <v>Frontier</v>
      </c>
      <c r="E16" s="33">
        <v>62612.46</v>
      </c>
      <c r="F16" s="33">
        <f t="shared" si="0"/>
        <v>111.41007117437699</v>
      </c>
      <c r="G16" s="33">
        <v>1028.0899999999999</v>
      </c>
      <c r="H16" s="33">
        <v>12104.08</v>
      </c>
      <c r="I16" s="33">
        <v>30464.080000000002</v>
      </c>
      <c r="J16" s="33">
        <v>7995.21</v>
      </c>
      <c r="K16" s="33" t="s">
        <v>1504</v>
      </c>
      <c r="L16" s="40">
        <f>VLOOKUP(B16,'✈ Flights (2)'!$A$2:$R$501,13,FALSE)</f>
        <v>579.745</v>
      </c>
      <c r="M16">
        <f>VLOOKUP(B16,'✈ Flights (2)'!$A$2:$R$501,16,FALSE)</f>
        <v>108</v>
      </c>
      <c r="N16" t="str">
        <f>VLOOKUP(B16,'✈ Flights (2)'!$A$2:$R$501,14,FALSE)</f>
        <v>First Class</v>
      </c>
      <c r="O16">
        <f>VLOOKUP(B16,'✈ Flights (2)'!$A$2:$P$502,12,FALSE)</f>
        <v>562</v>
      </c>
    </row>
    <row r="17" spans="1:15">
      <c r="A17" s="38" t="s">
        <v>1520</v>
      </c>
      <c r="B17" s="38" t="s">
        <v>120</v>
      </c>
      <c r="C17" s="38" t="s">
        <v>57</v>
      </c>
      <c r="D17" s="33" t="str">
        <f>VLOOKUP(B17,'✈ Flights (2)'!$A$2:$P$502,3,FALSE)</f>
        <v>United</v>
      </c>
      <c r="E17" s="38">
        <v>86735.52</v>
      </c>
      <c r="F17" s="33">
        <f t="shared" si="0"/>
        <v>147.00935593220299</v>
      </c>
      <c r="G17" s="38">
        <v>7223.84</v>
      </c>
      <c r="H17" s="38">
        <v>10324.36</v>
      </c>
      <c r="I17" s="38">
        <v>10209.9</v>
      </c>
      <c r="J17" s="38">
        <v>100807.48</v>
      </c>
      <c r="K17" s="38" t="s">
        <v>1504</v>
      </c>
      <c r="L17" s="40">
        <f>VLOOKUP(B17,'✈ Flights (2)'!$A$2:$R$501,13,FALSE)</f>
        <v>498.48</v>
      </c>
      <c r="M17">
        <f>VLOOKUP(B17,'✈ Flights (2)'!$A$2:$R$501,16,FALSE)</f>
        <v>174</v>
      </c>
      <c r="N17" t="str">
        <f>VLOOKUP(B17,'✈ Flights (2)'!$A$2:$R$501,14,FALSE)</f>
        <v>Business</v>
      </c>
      <c r="O17">
        <f>VLOOKUP(B17,'✈ Flights (2)'!$A$2:$P$502,12,FALSE)</f>
        <v>590</v>
      </c>
    </row>
    <row r="18" spans="1:15">
      <c r="A18" s="33" t="s">
        <v>1521</v>
      </c>
      <c r="B18" s="33" t="s">
        <v>123</v>
      </c>
      <c r="C18" s="33" t="s">
        <v>24</v>
      </c>
      <c r="D18" s="33" t="str">
        <f>VLOOKUP(B18,'✈ Flights (2)'!$A$2:$P$502,3,FALSE)</f>
        <v>Frontier</v>
      </c>
      <c r="E18" s="33">
        <v>81698.175000000003</v>
      </c>
      <c r="F18" s="33">
        <f t="shared" si="0"/>
        <v>117.21402439024401</v>
      </c>
      <c r="G18" s="33">
        <v>5484.54</v>
      </c>
      <c r="H18" s="33">
        <v>11100.72</v>
      </c>
      <c r="I18" s="33">
        <v>14325.28</v>
      </c>
      <c r="J18" s="33">
        <v>106857.84</v>
      </c>
      <c r="K18" s="33" t="s">
        <v>1509</v>
      </c>
      <c r="L18" s="40">
        <f>VLOOKUP(B18,'✈ Flights (2)'!$A$2:$R$501,13,FALSE)</f>
        <v>527.08500000000004</v>
      </c>
      <c r="M18">
        <f>VLOOKUP(B18,'✈ Flights (2)'!$A$2:$R$501,16,FALSE)</f>
        <v>155</v>
      </c>
      <c r="N18" t="str">
        <f>VLOOKUP(B18,'✈ Flights (2)'!$A$2:$R$501,14,FALSE)</f>
        <v>Business</v>
      </c>
      <c r="O18">
        <f>VLOOKUP(B18,'✈ Flights (2)'!$A$2:$P$502,12,FALSE)</f>
        <v>697</v>
      </c>
    </row>
    <row r="19" spans="1:15">
      <c r="A19" s="38" t="s">
        <v>1522</v>
      </c>
      <c r="B19" s="38" t="s">
        <v>127</v>
      </c>
      <c r="C19" s="38" t="s">
        <v>57</v>
      </c>
      <c r="D19" s="33" t="str">
        <f>VLOOKUP(B19,'✈ Flights (2)'!$A$2:$P$502,3,FALSE)</f>
        <v>United</v>
      </c>
      <c r="E19" s="38">
        <v>53328.15</v>
      </c>
      <c r="F19" s="33">
        <f t="shared" si="0"/>
        <v>40.461418816388502</v>
      </c>
      <c r="G19" s="38">
        <v>4809.8</v>
      </c>
      <c r="H19" s="38">
        <v>14218.84</v>
      </c>
      <c r="I19" s="38">
        <v>23038.41</v>
      </c>
      <c r="J19" s="38">
        <v>-7408.15</v>
      </c>
      <c r="K19" s="38" t="s">
        <v>1509</v>
      </c>
      <c r="L19" s="40">
        <f>VLOOKUP(B19,'✈ Flights (2)'!$A$2:$R$501,13,FALSE)</f>
        <v>627.39</v>
      </c>
      <c r="M19">
        <f>VLOOKUP(B19,'✈ Flights (2)'!$A$2:$R$501,16,FALSE)</f>
        <v>85</v>
      </c>
      <c r="N19" t="str">
        <f>VLOOKUP(B19,'✈ Flights (2)'!$A$2:$R$501,14,FALSE)</f>
        <v>First Class</v>
      </c>
      <c r="O19">
        <f>VLOOKUP(B19,'✈ Flights (2)'!$A$2:$P$502,12,FALSE)</f>
        <v>1318</v>
      </c>
    </row>
    <row r="20" spans="1:15">
      <c r="A20" s="33" t="s">
        <v>1523</v>
      </c>
      <c r="B20" s="33" t="s">
        <v>133</v>
      </c>
      <c r="C20" s="33" t="s">
        <v>24</v>
      </c>
      <c r="D20" s="33" t="str">
        <f>VLOOKUP(B20,'✈ Flights (2)'!$A$2:$P$502,3,FALSE)</f>
        <v>Frontier</v>
      </c>
      <c r="E20" s="33">
        <v>62194.217499999999</v>
      </c>
      <c r="F20" s="33">
        <f t="shared" si="0"/>
        <v>20.933765567149099</v>
      </c>
      <c r="G20" s="33">
        <v>4086.05</v>
      </c>
      <c r="H20" s="33">
        <v>11460.98</v>
      </c>
      <c r="I20" s="33">
        <v>19136.95</v>
      </c>
      <c r="J20" s="33">
        <v>89810.52</v>
      </c>
      <c r="K20" s="33" t="s">
        <v>1504</v>
      </c>
      <c r="L20" s="40">
        <f>VLOOKUP(B20,'✈ Flights (2)'!$A$2:$R$501,13,FALSE)</f>
        <v>641.17750000000001</v>
      </c>
      <c r="M20">
        <f>VLOOKUP(B20,'✈ Flights (2)'!$A$2:$R$501,16,FALSE)</f>
        <v>97</v>
      </c>
      <c r="N20" t="str">
        <f>VLOOKUP(B20,'✈ Flights (2)'!$A$2:$R$501,14,FALSE)</f>
        <v>Economy</v>
      </c>
      <c r="O20">
        <f>VLOOKUP(B20,'✈ Flights (2)'!$A$2:$P$502,12,FALSE)</f>
        <v>2971</v>
      </c>
    </row>
    <row r="21" spans="1:15">
      <c r="A21" s="38" t="s">
        <v>1524</v>
      </c>
      <c r="B21" s="38" t="s">
        <v>137</v>
      </c>
      <c r="C21" s="38" t="s">
        <v>80</v>
      </c>
      <c r="D21" s="33" t="str">
        <f>VLOOKUP(B21,'✈ Flights (2)'!$A$2:$P$502,3,FALSE)</f>
        <v>Spirit</v>
      </c>
      <c r="E21" s="38">
        <v>79062.75</v>
      </c>
      <c r="F21" s="33">
        <f t="shared" si="0"/>
        <v>81.173254620123203</v>
      </c>
      <c r="G21" s="38">
        <v>4550.97</v>
      </c>
      <c r="H21" s="38">
        <v>14404.02</v>
      </c>
      <c r="I21" s="38">
        <v>5115.76</v>
      </c>
      <c r="J21" s="38">
        <v>60698.69</v>
      </c>
      <c r="K21" s="38" t="s">
        <v>1509</v>
      </c>
      <c r="L21" s="40">
        <f>VLOOKUP(B21,'✈ Flights (2)'!$A$2:$R$501,13,FALSE)</f>
        <v>527.08500000000004</v>
      </c>
      <c r="M21">
        <f>VLOOKUP(B21,'✈ Flights (2)'!$A$2:$R$501,16,FALSE)</f>
        <v>150</v>
      </c>
      <c r="N21" t="str">
        <f>VLOOKUP(B21,'✈ Flights (2)'!$A$2:$R$501,14,FALSE)</f>
        <v>Business</v>
      </c>
      <c r="O21">
        <f>VLOOKUP(B21,'✈ Flights (2)'!$A$2:$P$502,12,FALSE)</f>
        <v>974</v>
      </c>
    </row>
    <row r="22" spans="1:15">
      <c r="A22" s="33" t="s">
        <v>1525</v>
      </c>
      <c r="B22" s="33" t="s">
        <v>141</v>
      </c>
      <c r="C22" s="33" t="s">
        <v>102</v>
      </c>
      <c r="D22" s="33" t="str">
        <f>VLOOKUP(B22,'✈ Flights (2)'!$A$2:$P$502,3,FALSE)</f>
        <v>Frontier</v>
      </c>
      <c r="E22" s="33">
        <v>64344.15</v>
      </c>
      <c r="F22" s="33">
        <f t="shared" si="0"/>
        <v>24.080894461077801</v>
      </c>
      <c r="G22" s="33">
        <v>1409.03</v>
      </c>
      <c r="H22" s="33">
        <v>14890.82</v>
      </c>
      <c r="I22" s="33">
        <v>23735.64</v>
      </c>
      <c r="J22" s="33">
        <v>80306.47</v>
      </c>
      <c r="K22" s="33" t="s">
        <v>1511</v>
      </c>
      <c r="L22" s="40">
        <f>VLOOKUP(B22,'✈ Flights (2)'!$A$2:$R$501,13,FALSE)</f>
        <v>494.95499999999998</v>
      </c>
      <c r="M22">
        <f>VLOOKUP(B22,'✈ Flights (2)'!$A$2:$R$501,16,FALSE)</f>
        <v>130</v>
      </c>
      <c r="N22" t="str">
        <f>VLOOKUP(B22,'✈ Flights (2)'!$A$2:$R$501,14,FALSE)</f>
        <v>Economy</v>
      </c>
      <c r="O22">
        <f>VLOOKUP(B22,'✈ Flights (2)'!$A$2:$P$502,12,FALSE)</f>
        <v>2672</v>
      </c>
    </row>
    <row r="23" spans="1:15">
      <c r="A23" s="38" t="s">
        <v>1526</v>
      </c>
      <c r="B23" s="38" t="s">
        <v>145</v>
      </c>
      <c r="C23" s="38" t="s">
        <v>57</v>
      </c>
      <c r="D23" s="33" t="str">
        <f>VLOOKUP(B23,'✈ Flights (2)'!$A$2:$P$502,3,FALSE)</f>
        <v>American</v>
      </c>
      <c r="E23" s="38">
        <v>39878.400000000001</v>
      </c>
      <c r="F23" s="33">
        <f t="shared" si="0"/>
        <v>14.570113262696401</v>
      </c>
      <c r="G23" s="38">
        <v>0</v>
      </c>
      <c r="H23" s="38">
        <v>7207.99</v>
      </c>
      <c r="I23" s="38">
        <v>28864.25</v>
      </c>
      <c r="J23" s="38">
        <v>-36072.239999999998</v>
      </c>
      <c r="K23" s="38" t="s">
        <v>1504</v>
      </c>
      <c r="L23" s="40">
        <f>VLOOKUP(B23,'✈ Flights (2)'!$A$2:$R$501,13,FALSE)</f>
        <v>498.48</v>
      </c>
      <c r="M23">
        <f>VLOOKUP(B23,'✈ Flights (2)'!$A$2:$R$501,16,FALSE)</f>
        <v>80</v>
      </c>
      <c r="N23" t="str">
        <f>VLOOKUP(B23,'✈ Flights (2)'!$A$2:$R$501,14,FALSE)</f>
        <v>Economy</v>
      </c>
      <c r="O23">
        <f>VLOOKUP(B23,'✈ Flights (2)'!$A$2:$P$502,12,FALSE)</f>
        <v>2737</v>
      </c>
    </row>
    <row r="24" spans="1:15">
      <c r="A24" s="33" t="s">
        <v>1527</v>
      </c>
      <c r="B24" s="33" t="s">
        <v>150</v>
      </c>
      <c r="C24" s="33" t="s">
        <v>49</v>
      </c>
      <c r="D24" s="33" t="str">
        <f>VLOOKUP(B24,'✈ Flights (2)'!$A$2:$P$502,3,FALSE)</f>
        <v>Delta</v>
      </c>
      <c r="E24" s="33">
        <v>52073.37</v>
      </c>
      <c r="F24" s="33">
        <f t="shared" si="0"/>
        <v>45.839234154929599</v>
      </c>
      <c r="G24" s="33">
        <v>3240.17</v>
      </c>
      <c r="H24" s="33">
        <v>6420.82</v>
      </c>
      <c r="I24" s="33">
        <v>34866.97</v>
      </c>
      <c r="J24" s="33">
        <v>30849.85</v>
      </c>
      <c r="K24" s="33" t="s">
        <v>1509</v>
      </c>
      <c r="L24" s="40">
        <f>VLOOKUP(B24,'✈ Flights (2)'!$A$2:$R$501,13,FALSE)</f>
        <v>627.39</v>
      </c>
      <c r="M24">
        <f>VLOOKUP(B24,'✈ Flights (2)'!$A$2:$R$501,16,FALSE)</f>
        <v>83</v>
      </c>
      <c r="N24" t="str">
        <f>VLOOKUP(B24,'✈ Flights (2)'!$A$2:$R$501,14,FALSE)</f>
        <v>Business</v>
      </c>
      <c r="O24">
        <f>VLOOKUP(B24,'✈ Flights (2)'!$A$2:$P$502,12,FALSE)</f>
        <v>1136</v>
      </c>
    </row>
    <row r="25" spans="1:15">
      <c r="A25" s="38" t="s">
        <v>1528</v>
      </c>
      <c r="B25" s="38" t="s">
        <v>154</v>
      </c>
      <c r="C25" s="38" t="s">
        <v>157</v>
      </c>
      <c r="D25" s="33" t="str">
        <f>VLOOKUP(B25,'✈ Flights (2)'!$A$2:$P$502,3,FALSE)</f>
        <v>Frontier</v>
      </c>
      <c r="E25" s="38">
        <v>61067.76</v>
      </c>
      <c r="F25" s="33">
        <f t="shared" si="0"/>
        <v>23.433522640061401</v>
      </c>
      <c r="G25" s="38">
        <v>6203.4</v>
      </c>
      <c r="H25" s="38">
        <v>4640.57</v>
      </c>
      <c r="I25" s="38">
        <v>15148.55</v>
      </c>
      <c r="J25" s="38">
        <v>110759.8</v>
      </c>
      <c r="K25" s="38" t="s">
        <v>1504</v>
      </c>
      <c r="L25" s="40">
        <f>VLOOKUP(B25,'✈ Flights (2)'!$A$2:$R$501,13,FALSE)</f>
        <v>587.19000000000005</v>
      </c>
      <c r="M25">
        <f>VLOOKUP(B25,'✈ Flights (2)'!$A$2:$R$501,16,FALSE)</f>
        <v>104</v>
      </c>
      <c r="N25" t="str">
        <f>VLOOKUP(B25,'✈ Flights (2)'!$A$2:$R$501,14,FALSE)</f>
        <v>Economy</v>
      </c>
      <c r="O25">
        <f>VLOOKUP(B25,'✈ Flights (2)'!$A$2:$P$502,12,FALSE)</f>
        <v>2606</v>
      </c>
    </row>
    <row r="26" spans="1:15">
      <c r="A26" s="33" t="s">
        <v>1529</v>
      </c>
      <c r="B26" s="33" t="s">
        <v>160</v>
      </c>
      <c r="C26" s="33" t="s">
        <v>55</v>
      </c>
      <c r="D26" s="33" t="str">
        <f>VLOOKUP(B26,'✈ Flights (2)'!$A$2:$P$502,3,FALSE)</f>
        <v>Alaska</v>
      </c>
      <c r="E26" s="33">
        <v>25737.66</v>
      </c>
      <c r="F26" s="33">
        <f t="shared" si="0"/>
        <v>12.291146131805201</v>
      </c>
      <c r="G26" s="33">
        <v>7756.35</v>
      </c>
      <c r="H26" s="33">
        <v>5885.31</v>
      </c>
      <c r="I26" s="33">
        <v>28125.69</v>
      </c>
      <c r="J26" s="33">
        <v>26462.43</v>
      </c>
      <c r="K26" s="33" t="s">
        <v>1509</v>
      </c>
      <c r="L26" s="40">
        <f>VLOOKUP(B26,'✈ Flights (2)'!$A$2:$R$501,13,FALSE)</f>
        <v>494.95499999999998</v>
      </c>
      <c r="M26">
        <f>VLOOKUP(B26,'✈ Flights (2)'!$A$2:$R$501,16,FALSE)</f>
        <v>52</v>
      </c>
      <c r="N26" t="str">
        <f>VLOOKUP(B26,'✈ Flights (2)'!$A$2:$R$501,14,FALSE)</f>
        <v>First Class</v>
      </c>
      <c r="O26">
        <f>VLOOKUP(B26,'✈ Flights (2)'!$A$2:$P$502,12,FALSE)</f>
        <v>2094</v>
      </c>
    </row>
    <row r="27" spans="1:15">
      <c r="A27" s="38" t="s">
        <v>1530</v>
      </c>
      <c r="B27" s="38" t="s">
        <v>164</v>
      </c>
      <c r="C27" s="38" t="s">
        <v>102</v>
      </c>
      <c r="D27" s="33" t="str">
        <f>VLOOKUP(B27,'✈ Flights (2)'!$A$2:$P$502,3,FALSE)</f>
        <v>United</v>
      </c>
      <c r="E27" s="38">
        <v>60480.57</v>
      </c>
      <c r="F27" s="33">
        <f t="shared" si="0"/>
        <v>23.569980514419299</v>
      </c>
      <c r="G27" s="38">
        <v>7223.46</v>
      </c>
      <c r="H27" s="38">
        <v>6670.39</v>
      </c>
      <c r="I27" s="38">
        <v>27071.599999999999</v>
      </c>
      <c r="J27" s="38">
        <v>-346.23</v>
      </c>
      <c r="K27" s="38" t="s">
        <v>1504</v>
      </c>
      <c r="L27" s="40">
        <f>VLOOKUP(B27,'✈ Flights (2)'!$A$2:$R$501,13,FALSE)</f>
        <v>587.19000000000005</v>
      </c>
      <c r="M27">
        <f>VLOOKUP(B27,'✈ Flights (2)'!$A$2:$R$501,16,FALSE)</f>
        <v>103</v>
      </c>
      <c r="N27" t="str">
        <f>VLOOKUP(B27,'✈ Flights (2)'!$A$2:$R$501,14,FALSE)</f>
        <v>Business</v>
      </c>
      <c r="O27">
        <f>VLOOKUP(B27,'✈ Flights (2)'!$A$2:$P$502,12,FALSE)</f>
        <v>2566</v>
      </c>
    </row>
    <row r="28" spans="1:15">
      <c r="A28" s="33" t="s">
        <v>1531</v>
      </c>
      <c r="B28" s="33" t="s">
        <v>168</v>
      </c>
      <c r="C28" s="33" t="s">
        <v>22</v>
      </c>
      <c r="D28" s="33" t="str">
        <f>VLOOKUP(B28,'✈ Flights (2)'!$A$2:$P$502,3,FALSE)</f>
        <v>Frontier</v>
      </c>
      <c r="E28" s="33">
        <v>58322.16</v>
      </c>
      <c r="F28" s="33">
        <f t="shared" si="0"/>
        <v>121.50449999999999</v>
      </c>
      <c r="G28" s="33">
        <v>7139.11</v>
      </c>
      <c r="H28" s="33">
        <v>4463.04</v>
      </c>
      <c r="I28" s="33">
        <v>20329.43</v>
      </c>
      <c r="J28" s="33">
        <v>-7828.87</v>
      </c>
      <c r="K28" s="33" t="s">
        <v>1504</v>
      </c>
      <c r="L28" s="40">
        <f>VLOOKUP(B28,'✈ Flights (2)'!$A$2:$R$501,13,FALSE)</f>
        <v>498.48</v>
      </c>
      <c r="M28">
        <f>VLOOKUP(B28,'✈ Flights (2)'!$A$2:$R$501,16,FALSE)</f>
        <v>117</v>
      </c>
      <c r="N28" t="str">
        <f>VLOOKUP(B28,'✈ Flights (2)'!$A$2:$R$501,14,FALSE)</f>
        <v>Economy</v>
      </c>
      <c r="O28">
        <f>VLOOKUP(B28,'✈ Flights (2)'!$A$2:$P$502,12,FALSE)</f>
        <v>480</v>
      </c>
    </row>
    <row r="29" spans="1:15">
      <c r="A29" s="38" t="s">
        <v>1532</v>
      </c>
      <c r="B29" s="38" t="s">
        <v>172</v>
      </c>
      <c r="C29" s="38" t="s">
        <v>33</v>
      </c>
      <c r="D29" s="33" t="str">
        <f>VLOOKUP(B29,'✈ Flights (2)'!$A$2:$P$502,3,FALSE)</f>
        <v>Spirit</v>
      </c>
      <c r="E29" s="38">
        <v>83380.98</v>
      </c>
      <c r="F29" s="33">
        <f t="shared" si="0"/>
        <v>91.627450549450501</v>
      </c>
      <c r="G29" s="38">
        <v>1948.2</v>
      </c>
      <c r="H29" s="38">
        <v>9708.2900000000009</v>
      </c>
      <c r="I29" s="38">
        <v>30190.87</v>
      </c>
      <c r="J29" s="38">
        <v>94041.5</v>
      </c>
      <c r="K29" s="38" t="s">
        <v>1509</v>
      </c>
      <c r="L29" s="40">
        <f>VLOOKUP(B29,'✈ Flights (2)'!$A$2:$R$501,13,FALSE)</f>
        <v>587.19000000000005</v>
      </c>
      <c r="M29">
        <f>VLOOKUP(B29,'✈ Flights (2)'!$A$2:$R$501,16,FALSE)</f>
        <v>142</v>
      </c>
      <c r="N29" t="str">
        <f>VLOOKUP(B29,'✈ Flights (2)'!$A$2:$R$501,14,FALSE)</f>
        <v>Business</v>
      </c>
      <c r="O29">
        <f>VLOOKUP(B29,'✈ Flights (2)'!$A$2:$P$502,12,FALSE)</f>
        <v>910</v>
      </c>
    </row>
    <row r="30" spans="1:15">
      <c r="A30" s="33" t="s">
        <v>1533</v>
      </c>
      <c r="B30" s="33" t="s">
        <v>177</v>
      </c>
      <c r="C30" s="33" t="s">
        <v>96</v>
      </c>
      <c r="D30" s="33" t="str">
        <f>VLOOKUP(B30,'✈ Flights (2)'!$A$2:$P$502,3,FALSE)</f>
        <v>Delta</v>
      </c>
      <c r="E30" s="33">
        <v>101727.405</v>
      </c>
      <c r="F30" s="33">
        <f t="shared" si="0"/>
        <v>76.949625567322201</v>
      </c>
      <c r="G30" s="33">
        <v>3415.76</v>
      </c>
      <c r="H30" s="33">
        <v>10364.299999999999</v>
      </c>
      <c r="I30" s="33">
        <v>32745.87</v>
      </c>
      <c r="J30" s="33">
        <v>119910.8</v>
      </c>
      <c r="K30" s="33" t="s">
        <v>1509</v>
      </c>
      <c r="L30" s="40">
        <f>VLOOKUP(B30,'✈ Flights (2)'!$A$2:$R$501,13,FALSE)</f>
        <v>527.08500000000004</v>
      </c>
      <c r="M30">
        <f>VLOOKUP(B30,'✈ Flights (2)'!$A$2:$R$501,16,FALSE)</f>
        <v>193</v>
      </c>
      <c r="N30" t="str">
        <f>VLOOKUP(B30,'✈ Flights (2)'!$A$2:$R$501,14,FALSE)</f>
        <v>Business</v>
      </c>
      <c r="O30">
        <f>VLOOKUP(B30,'✈ Flights (2)'!$A$2:$P$502,12,FALSE)</f>
        <v>1322</v>
      </c>
    </row>
    <row r="31" spans="1:15">
      <c r="A31" s="38" t="s">
        <v>1534</v>
      </c>
      <c r="B31" s="38" t="s">
        <v>181</v>
      </c>
      <c r="C31" s="38" t="s">
        <v>39</v>
      </c>
      <c r="D31" s="33" t="str">
        <f>VLOOKUP(B31,'✈ Flights (2)'!$A$2:$P$502,3,FALSE)</f>
        <v>Southwest</v>
      </c>
      <c r="E31" s="38">
        <v>169259.79</v>
      </c>
      <c r="F31" s="33">
        <f t="shared" si="0"/>
        <v>101.963728915663</v>
      </c>
      <c r="G31" s="38">
        <v>4504.55</v>
      </c>
      <c r="H31" s="38">
        <v>7840.99</v>
      </c>
      <c r="I31" s="38">
        <v>34198.76</v>
      </c>
      <c r="J31" s="38">
        <v>131724.59</v>
      </c>
      <c r="K31" s="38" t="s">
        <v>1504</v>
      </c>
      <c r="L31" s="40">
        <f>VLOOKUP(B31,'✈ Flights (2)'!$A$2:$R$501,13,FALSE)</f>
        <v>956.27</v>
      </c>
      <c r="M31">
        <f>VLOOKUP(B31,'✈ Flights (2)'!$A$2:$R$501,16,FALSE)</f>
        <v>177</v>
      </c>
      <c r="N31" t="str">
        <f>VLOOKUP(B31,'✈ Flights (2)'!$A$2:$R$501,14,FALSE)</f>
        <v>Business</v>
      </c>
      <c r="O31">
        <f>VLOOKUP(B31,'✈ Flights (2)'!$A$2:$P$502,12,FALSE)</f>
        <v>1660</v>
      </c>
    </row>
    <row r="32" spans="1:15">
      <c r="A32" s="33" t="s">
        <v>1535</v>
      </c>
      <c r="B32" s="33" t="s">
        <v>187</v>
      </c>
      <c r="C32" s="33" t="s">
        <v>57</v>
      </c>
      <c r="D32" s="33" t="str">
        <f>VLOOKUP(B32,'✈ Flights (2)'!$A$2:$P$502,3,FALSE)</f>
        <v>Spirit</v>
      </c>
      <c r="E32" s="33">
        <v>31121.07</v>
      </c>
      <c r="F32" s="33">
        <f t="shared" si="0"/>
        <v>17.968285219399501</v>
      </c>
      <c r="G32" s="33">
        <v>777.82</v>
      </c>
      <c r="H32" s="33">
        <v>12241.12</v>
      </c>
      <c r="I32" s="33">
        <v>6961.91</v>
      </c>
      <c r="J32" s="33">
        <v>3930.72</v>
      </c>
      <c r="K32" s="33" t="s">
        <v>1504</v>
      </c>
      <c r="L32" s="40">
        <f>VLOOKUP(B32,'✈ Flights (2)'!$A$2:$R$501,13,FALSE)</f>
        <v>587.19000000000005</v>
      </c>
      <c r="M32">
        <f>VLOOKUP(B32,'✈ Flights (2)'!$A$2:$R$501,16,FALSE)</f>
        <v>53</v>
      </c>
      <c r="N32" t="str">
        <f>VLOOKUP(B32,'✈ Flights (2)'!$A$2:$R$501,14,FALSE)</f>
        <v>Economy</v>
      </c>
      <c r="O32">
        <f>VLOOKUP(B32,'✈ Flights (2)'!$A$2:$P$502,12,FALSE)</f>
        <v>1732</v>
      </c>
    </row>
    <row r="33" spans="1:15">
      <c r="A33" s="38" t="s">
        <v>1536</v>
      </c>
      <c r="B33" s="38" t="s">
        <v>190</v>
      </c>
      <c r="C33" s="38" t="s">
        <v>55</v>
      </c>
      <c r="D33" s="33" t="str">
        <f>VLOOKUP(B33,'✈ Flights (2)'!$A$2:$P$502,3,FALSE)</f>
        <v>Jetblue</v>
      </c>
      <c r="E33" s="38">
        <v>37423.870000000003</v>
      </c>
      <c r="F33" s="33">
        <f t="shared" si="0"/>
        <v>14.993537660256401</v>
      </c>
      <c r="G33" s="38">
        <v>3541.31</v>
      </c>
      <c r="H33" s="38">
        <v>10500.05</v>
      </c>
      <c r="I33" s="38">
        <v>12408.74</v>
      </c>
      <c r="J33" s="38">
        <v>18056.39</v>
      </c>
      <c r="K33" s="38" t="s">
        <v>1509</v>
      </c>
      <c r="L33" s="40">
        <f>VLOOKUP(B33,'✈ Flights (2)'!$A$2:$R$501,13,FALSE)</f>
        <v>450.89</v>
      </c>
      <c r="M33">
        <f>VLOOKUP(B33,'✈ Flights (2)'!$A$2:$R$501,16,FALSE)</f>
        <v>83</v>
      </c>
      <c r="N33" t="str">
        <f>VLOOKUP(B33,'✈ Flights (2)'!$A$2:$R$501,14,FALSE)</f>
        <v>Economy</v>
      </c>
      <c r="O33">
        <f>VLOOKUP(B33,'✈ Flights (2)'!$A$2:$P$502,12,FALSE)</f>
        <v>2496</v>
      </c>
    </row>
    <row r="34" spans="1:15">
      <c r="A34" s="33" t="s">
        <v>1537</v>
      </c>
      <c r="B34" s="33" t="s">
        <v>195</v>
      </c>
      <c r="C34" s="33" t="s">
        <v>198</v>
      </c>
      <c r="D34" s="33" t="str">
        <f>VLOOKUP(B34,'✈ Flights (2)'!$A$2:$P$502,3,FALSE)</f>
        <v>Delta</v>
      </c>
      <c r="E34" s="33">
        <v>232920.98</v>
      </c>
      <c r="F34" s="33">
        <f t="shared" si="0"/>
        <v>83.694207689543703</v>
      </c>
      <c r="G34" s="33">
        <v>7550.67</v>
      </c>
      <c r="H34" s="33">
        <v>8975.2999999999993</v>
      </c>
      <c r="I34" s="33">
        <v>35457</v>
      </c>
      <c r="J34" s="33">
        <v>196039.35</v>
      </c>
      <c r="K34" s="33" t="s">
        <v>1502</v>
      </c>
      <c r="L34" s="40">
        <f>VLOOKUP(B34,'✈ Flights (2)'!$A$2:$R$501,13,FALSE)</f>
        <v>1182.3399999999999</v>
      </c>
      <c r="M34">
        <f>VLOOKUP(B34,'✈ Flights (2)'!$A$2:$R$501,16,FALSE)</f>
        <v>197</v>
      </c>
      <c r="N34" t="str">
        <f>VLOOKUP(B34,'✈ Flights (2)'!$A$2:$R$501,14,FALSE)</f>
        <v>Economy</v>
      </c>
      <c r="O34">
        <f>VLOOKUP(B34,'✈ Flights (2)'!$A$2:$P$502,12,FALSE)</f>
        <v>2783</v>
      </c>
    </row>
    <row r="35" spans="1:15">
      <c r="A35" s="38" t="s">
        <v>1538</v>
      </c>
      <c r="B35" s="38" t="s">
        <v>200</v>
      </c>
      <c r="C35" s="38" t="s">
        <v>175</v>
      </c>
      <c r="D35" s="33" t="str">
        <f>VLOOKUP(B35,'✈ Flights (2)'!$A$2:$P$502,3,FALSE)</f>
        <v>Spirit</v>
      </c>
      <c r="E35" s="38">
        <v>34683.03</v>
      </c>
      <c r="F35" s="33">
        <f t="shared" si="0"/>
        <v>16.787526621490802</v>
      </c>
      <c r="G35" s="38">
        <v>7436.12</v>
      </c>
      <c r="H35" s="38">
        <v>3840.68</v>
      </c>
      <c r="I35" s="38">
        <v>6290.72</v>
      </c>
      <c r="J35" s="38">
        <v>31987.75</v>
      </c>
      <c r="K35" s="38" t="s">
        <v>1504</v>
      </c>
      <c r="L35" s="40">
        <f>VLOOKUP(B35,'✈ Flights (2)'!$A$2:$R$501,13,FALSE)</f>
        <v>158.37</v>
      </c>
      <c r="M35">
        <f>VLOOKUP(B35,'✈ Flights (2)'!$A$2:$R$501,16,FALSE)</f>
        <v>219</v>
      </c>
      <c r="N35" t="str">
        <f>VLOOKUP(B35,'✈ Flights (2)'!$A$2:$R$501,14,FALSE)</f>
        <v>First Class</v>
      </c>
      <c r="O35">
        <f>VLOOKUP(B35,'✈ Flights (2)'!$A$2:$P$502,12,FALSE)</f>
        <v>2066</v>
      </c>
    </row>
    <row r="36" spans="1:15">
      <c r="A36" s="33" t="s">
        <v>1539</v>
      </c>
      <c r="B36" s="33" t="s">
        <v>204</v>
      </c>
      <c r="C36" s="33" t="s">
        <v>117</v>
      </c>
      <c r="D36" s="33" t="str">
        <f>VLOOKUP(B36,'✈ Flights (2)'!$A$2:$P$502,3,FALSE)</f>
        <v>Jetblue</v>
      </c>
      <c r="E36" s="33">
        <v>63704.38</v>
      </c>
      <c r="F36" s="33">
        <f t="shared" si="0"/>
        <v>32.702453798767998</v>
      </c>
      <c r="G36" s="33">
        <v>4034.15</v>
      </c>
      <c r="H36" s="33">
        <v>2595.42</v>
      </c>
      <c r="I36" s="33">
        <v>37130.67</v>
      </c>
      <c r="J36" s="33">
        <v>28012.44</v>
      </c>
      <c r="K36" s="33" t="s">
        <v>1502</v>
      </c>
      <c r="L36" s="40">
        <f>VLOOKUP(B36,'✈ Flights (2)'!$A$2:$R$501,13,FALSE)</f>
        <v>860.87</v>
      </c>
      <c r="M36">
        <f>VLOOKUP(B36,'✈ Flights (2)'!$A$2:$R$501,16,FALSE)</f>
        <v>74</v>
      </c>
      <c r="N36" t="str">
        <f>VLOOKUP(B36,'✈ Flights (2)'!$A$2:$R$501,14,FALSE)</f>
        <v>First Class</v>
      </c>
      <c r="O36">
        <f>VLOOKUP(B36,'✈ Flights (2)'!$A$2:$P$502,12,FALSE)</f>
        <v>1948</v>
      </c>
    </row>
    <row r="37" spans="1:15">
      <c r="A37" s="38" t="s">
        <v>1540</v>
      </c>
      <c r="B37" s="38" t="s">
        <v>208</v>
      </c>
      <c r="C37" s="38" t="s">
        <v>49</v>
      </c>
      <c r="D37" s="33" t="str">
        <f>VLOOKUP(B37,'✈ Flights (2)'!$A$2:$P$502,3,FALSE)</f>
        <v>American</v>
      </c>
      <c r="E37" s="38">
        <v>83227.320000000007</v>
      </c>
      <c r="F37" s="33">
        <f t="shared" si="0"/>
        <v>276.50272425249199</v>
      </c>
      <c r="G37" s="38">
        <v>607.74</v>
      </c>
      <c r="H37" s="38">
        <v>13760.61</v>
      </c>
      <c r="I37" s="38">
        <v>27143.15</v>
      </c>
      <c r="J37" s="38">
        <v>42931.3</v>
      </c>
      <c r="K37" s="38" t="s">
        <v>1504</v>
      </c>
      <c r="L37" s="40">
        <f>VLOOKUP(B37,'✈ Flights (2)'!$A$2:$R$501,13,FALSE)</f>
        <v>420.34</v>
      </c>
      <c r="M37">
        <f>VLOOKUP(B37,'✈ Flights (2)'!$A$2:$R$501,16,FALSE)</f>
        <v>198</v>
      </c>
      <c r="N37" t="str">
        <f>VLOOKUP(B37,'✈ Flights (2)'!$A$2:$R$501,14,FALSE)</f>
        <v>Economy</v>
      </c>
      <c r="O37">
        <f>VLOOKUP(B37,'✈ Flights (2)'!$A$2:$P$502,12,FALSE)</f>
        <v>301</v>
      </c>
    </row>
    <row r="38" spans="1:15">
      <c r="A38" s="33" t="s">
        <v>1541</v>
      </c>
      <c r="B38" s="33" t="s">
        <v>211</v>
      </c>
      <c r="C38" s="33" t="s">
        <v>41</v>
      </c>
      <c r="D38" s="33" t="str">
        <f>VLOOKUP(B38,'✈ Flights (2)'!$A$2:$P$502,3,FALSE)</f>
        <v>Frontier</v>
      </c>
      <c r="E38" s="33">
        <v>129843.32</v>
      </c>
      <c r="F38" s="33">
        <f t="shared" si="0"/>
        <v>58.017569258266299</v>
      </c>
      <c r="G38" s="33">
        <v>3921.38</v>
      </c>
      <c r="H38" s="33">
        <v>9683.5499999999993</v>
      </c>
      <c r="I38" s="33">
        <v>10974.13</v>
      </c>
      <c r="J38" s="33">
        <v>113107.02</v>
      </c>
      <c r="K38" s="33" t="s">
        <v>1504</v>
      </c>
      <c r="L38" s="40">
        <f>VLOOKUP(B38,'✈ Flights (2)'!$A$2:$R$501,13,FALSE)</f>
        <v>968.98</v>
      </c>
      <c r="M38">
        <f>VLOOKUP(B38,'✈ Flights (2)'!$A$2:$R$501,16,FALSE)</f>
        <v>134</v>
      </c>
      <c r="N38" t="str">
        <f>VLOOKUP(B38,'✈ Flights (2)'!$A$2:$R$501,14,FALSE)</f>
        <v>First Class</v>
      </c>
      <c r="O38">
        <f>VLOOKUP(B38,'✈ Flights (2)'!$A$2:$P$502,12,FALSE)</f>
        <v>2238</v>
      </c>
    </row>
    <row r="39" spans="1:15">
      <c r="A39" s="38" t="s">
        <v>1542</v>
      </c>
      <c r="B39" s="38" t="s">
        <v>214</v>
      </c>
      <c r="C39" s="38" t="s">
        <v>55</v>
      </c>
      <c r="D39" s="33" t="str">
        <f>VLOOKUP(B39,'✈ Flights (2)'!$A$2:$P$502,3,FALSE)</f>
        <v>Alaska</v>
      </c>
      <c r="E39" s="38">
        <v>26954.400000000001</v>
      </c>
      <c r="F39" s="33">
        <f t="shared" si="0"/>
        <v>24.174349775784801</v>
      </c>
      <c r="G39" s="38">
        <v>1356.35</v>
      </c>
      <c r="H39" s="38">
        <v>10003.17</v>
      </c>
      <c r="I39" s="38">
        <v>25824.21</v>
      </c>
      <c r="J39" s="38">
        <v>-7516.63</v>
      </c>
      <c r="K39" s="38" t="s">
        <v>1504</v>
      </c>
      <c r="L39" s="40">
        <f>VLOOKUP(B39,'✈ Flights (2)'!$A$2:$R$501,13,FALSE)</f>
        <v>245.04</v>
      </c>
      <c r="M39">
        <f>VLOOKUP(B39,'✈ Flights (2)'!$A$2:$R$501,16,FALSE)</f>
        <v>110</v>
      </c>
      <c r="N39" t="str">
        <f>VLOOKUP(B39,'✈ Flights (2)'!$A$2:$R$501,14,FALSE)</f>
        <v>Economy</v>
      </c>
      <c r="O39">
        <f>VLOOKUP(B39,'✈ Flights (2)'!$A$2:$P$502,12,FALSE)</f>
        <v>1115</v>
      </c>
    </row>
    <row r="40" spans="1:15">
      <c r="A40" s="33" t="s">
        <v>1543</v>
      </c>
      <c r="B40" s="33" t="s">
        <v>218</v>
      </c>
      <c r="C40" s="33" t="s">
        <v>130</v>
      </c>
      <c r="D40" s="33" t="str">
        <f>VLOOKUP(B40,'✈ Flights (2)'!$A$2:$P$502,3,FALSE)</f>
        <v>Frontier</v>
      </c>
      <c r="E40" s="33">
        <v>18016.259999999998</v>
      </c>
      <c r="F40" s="33">
        <f t="shared" si="0"/>
        <v>9.3059194214875998</v>
      </c>
      <c r="G40" s="33">
        <v>6533.4</v>
      </c>
      <c r="H40" s="33">
        <v>12549.77</v>
      </c>
      <c r="I40" s="33">
        <v>19917.400000000001</v>
      </c>
      <c r="J40" s="33">
        <v>-7917.51</v>
      </c>
      <c r="K40" s="33" t="s">
        <v>1509</v>
      </c>
      <c r="L40" s="40">
        <f>VLOOKUP(B40,'✈ Flights (2)'!$A$2:$R$501,13,FALSE)</f>
        <v>353.26</v>
      </c>
      <c r="M40">
        <f>VLOOKUP(B40,'✈ Flights (2)'!$A$2:$R$501,16,FALSE)</f>
        <v>51</v>
      </c>
      <c r="N40" t="str">
        <f>VLOOKUP(B40,'✈ Flights (2)'!$A$2:$R$501,14,FALSE)</f>
        <v>First Class</v>
      </c>
      <c r="O40">
        <f>VLOOKUP(B40,'✈ Flights (2)'!$A$2:$P$502,12,FALSE)</f>
        <v>1936</v>
      </c>
    </row>
    <row r="41" spans="1:15">
      <c r="A41" s="38" t="s">
        <v>1544</v>
      </c>
      <c r="B41" s="38" t="s">
        <v>221</v>
      </c>
      <c r="C41" s="38" t="s">
        <v>39</v>
      </c>
      <c r="D41" s="33" t="str">
        <f>VLOOKUP(B41,'✈ Flights (2)'!$A$2:$P$502,3,FALSE)</f>
        <v>Southwest</v>
      </c>
      <c r="E41" s="38">
        <v>93035.88</v>
      </c>
      <c r="F41" s="33">
        <f t="shared" si="0"/>
        <v>70.481727272727298</v>
      </c>
      <c r="G41" s="38">
        <v>2931.76</v>
      </c>
      <c r="H41" s="38">
        <v>9487.57</v>
      </c>
      <c r="I41" s="38">
        <v>39154.86</v>
      </c>
      <c r="J41" s="38">
        <v>47325.21</v>
      </c>
      <c r="K41" s="38" t="s">
        <v>1502</v>
      </c>
      <c r="L41" s="40">
        <f>VLOOKUP(B41,'✈ Flights (2)'!$A$2:$R$501,13,FALSE)</f>
        <v>1107.57</v>
      </c>
      <c r="M41">
        <f>VLOOKUP(B41,'✈ Flights (2)'!$A$2:$R$501,16,FALSE)</f>
        <v>84</v>
      </c>
      <c r="N41" t="str">
        <f>VLOOKUP(B41,'✈ Flights (2)'!$A$2:$R$501,14,FALSE)</f>
        <v>Economy</v>
      </c>
      <c r="O41">
        <f>VLOOKUP(B41,'✈ Flights (2)'!$A$2:$P$502,12,FALSE)</f>
        <v>1320</v>
      </c>
    </row>
    <row r="42" spans="1:15">
      <c r="A42" s="33" t="s">
        <v>1545</v>
      </c>
      <c r="B42" s="33" t="s">
        <v>224</v>
      </c>
      <c r="C42" s="33" t="s">
        <v>49</v>
      </c>
      <c r="D42" s="33" t="str">
        <f>VLOOKUP(B42,'✈ Flights (2)'!$A$2:$P$502,3,FALSE)</f>
        <v>Frontier</v>
      </c>
      <c r="E42" s="33">
        <v>111559.28</v>
      </c>
      <c r="F42" s="33">
        <f t="shared" si="0"/>
        <v>49.714474153297701</v>
      </c>
      <c r="G42" s="33">
        <v>2911.92</v>
      </c>
      <c r="H42" s="33">
        <v>4772.01</v>
      </c>
      <c r="I42" s="33">
        <v>38764.230000000003</v>
      </c>
      <c r="J42" s="33">
        <v>70934.960000000006</v>
      </c>
      <c r="K42" s="33" t="s">
        <v>1504</v>
      </c>
      <c r="L42" s="40">
        <f>VLOOKUP(B42,'✈ Flights (2)'!$A$2:$R$501,13,FALSE)</f>
        <v>584.08000000000004</v>
      </c>
      <c r="M42">
        <f>VLOOKUP(B42,'✈ Flights (2)'!$A$2:$R$501,16,FALSE)</f>
        <v>191</v>
      </c>
      <c r="N42" t="str">
        <f>VLOOKUP(B42,'✈ Flights (2)'!$A$2:$R$501,14,FALSE)</f>
        <v>Economy</v>
      </c>
      <c r="O42">
        <f>VLOOKUP(B42,'✈ Flights (2)'!$A$2:$P$502,12,FALSE)</f>
        <v>2244</v>
      </c>
    </row>
    <row r="43" spans="1:15">
      <c r="A43" s="38" t="s">
        <v>1546</v>
      </c>
      <c r="B43" s="38" t="s">
        <v>228</v>
      </c>
      <c r="C43" s="38" t="s">
        <v>22</v>
      </c>
      <c r="D43" s="33" t="str">
        <f>VLOOKUP(B43,'✈ Flights (2)'!$A$2:$P$502,3,FALSE)</f>
        <v>Southwest</v>
      </c>
      <c r="E43" s="38">
        <v>30562.05</v>
      </c>
      <c r="F43" s="33">
        <f t="shared" si="0"/>
        <v>21.6445113314448</v>
      </c>
      <c r="G43" s="38">
        <v>4948.1400000000003</v>
      </c>
      <c r="H43" s="38">
        <v>3569.69</v>
      </c>
      <c r="I43" s="38">
        <v>16742.63</v>
      </c>
      <c r="J43" s="38">
        <v>15197.87</v>
      </c>
      <c r="K43" s="38" t="s">
        <v>1502</v>
      </c>
      <c r="L43" s="40">
        <f>VLOOKUP(B43,'✈ Flights (2)'!$A$2:$R$501,13,FALSE)</f>
        <v>456.15</v>
      </c>
      <c r="M43">
        <f>VLOOKUP(B43,'✈ Flights (2)'!$A$2:$R$501,16,FALSE)</f>
        <v>67</v>
      </c>
      <c r="N43" t="str">
        <f>VLOOKUP(B43,'✈ Flights (2)'!$A$2:$R$501,14,FALSE)</f>
        <v>First Class</v>
      </c>
      <c r="O43">
        <f>VLOOKUP(B43,'✈ Flights (2)'!$A$2:$P$502,12,FALSE)</f>
        <v>1412</v>
      </c>
    </row>
    <row r="44" spans="1:15">
      <c r="A44" s="33" t="s">
        <v>1547</v>
      </c>
      <c r="B44" s="33" t="s">
        <v>232</v>
      </c>
      <c r="C44" s="33" t="s">
        <v>184</v>
      </c>
      <c r="D44" s="33" t="str">
        <f>VLOOKUP(B44,'✈ Flights (2)'!$A$2:$P$502,3,FALSE)</f>
        <v>American</v>
      </c>
      <c r="E44" s="33">
        <v>61989.52</v>
      </c>
      <c r="F44" s="33">
        <f t="shared" si="0"/>
        <v>24.579508326724799</v>
      </c>
      <c r="G44" s="33">
        <v>6181.63</v>
      </c>
      <c r="H44" s="33">
        <v>6809.06</v>
      </c>
      <c r="I44" s="33">
        <v>10881.78</v>
      </c>
      <c r="J44" s="33">
        <v>50480.31</v>
      </c>
      <c r="K44" s="33" t="s">
        <v>1502</v>
      </c>
      <c r="L44" s="40">
        <f>VLOOKUP(B44,'✈ Flights (2)'!$A$2:$R$501,13,FALSE)</f>
        <v>601.84</v>
      </c>
      <c r="M44">
        <f>VLOOKUP(B44,'✈ Flights (2)'!$A$2:$R$501,16,FALSE)</f>
        <v>103</v>
      </c>
      <c r="N44" t="str">
        <f>VLOOKUP(B44,'✈ Flights (2)'!$A$2:$R$501,14,FALSE)</f>
        <v>Unknown</v>
      </c>
      <c r="O44">
        <f>VLOOKUP(B44,'✈ Flights (2)'!$A$2:$P$502,12,FALSE)</f>
        <v>2522</v>
      </c>
    </row>
    <row r="45" spans="1:15">
      <c r="A45" s="38" t="s">
        <v>1548</v>
      </c>
      <c r="B45" s="38" t="s">
        <v>235</v>
      </c>
      <c r="C45" s="38" t="s">
        <v>80</v>
      </c>
      <c r="D45" s="33" t="str">
        <f>VLOOKUP(B45,'✈ Flights (2)'!$A$2:$P$502,3,FALSE)</f>
        <v>Spirit</v>
      </c>
      <c r="E45" s="38">
        <v>195777.54</v>
      </c>
      <c r="F45" s="33">
        <f t="shared" si="0"/>
        <v>103.20376383763799</v>
      </c>
      <c r="G45" s="38">
        <v>3789.96</v>
      </c>
      <c r="H45" s="38">
        <v>2529.09</v>
      </c>
      <c r="I45" s="38">
        <v>37398.639999999999</v>
      </c>
      <c r="J45" s="38">
        <v>159639.76999999999</v>
      </c>
      <c r="K45" s="38" t="s">
        <v>1504</v>
      </c>
      <c r="L45" s="40">
        <f>VLOOKUP(B45,'✈ Flights (2)'!$A$2:$R$501,13,FALSE)</f>
        <v>1035.8599999999999</v>
      </c>
      <c r="M45">
        <f>VLOOKUP(B45,'✈ Flights (2)'!$A$2:$R$501,16,FALSE)</f>
        <v>189</v>
      </c>
      <c r="N45" t="str">
        <f>VLOOKUP(B45,'✈ Flights (2)'!$A$2:$R$501,14,FALSE)</f>
        <v>Business</v>
      </c>
      <c r="O45">
        <f>VLOOKUP(B45,'✈ Flights (2)'!$A$2:$P$502,12,FALSE)</f>
        <v>1897</v>
      </c>
    </row>
    <row r="46" spans="1:15">
      <c r="A46" s="33" t="s">
        <v>1549</v>
      </c>
      <c r="B46" s="33" t="s">
        <v>238</v>
      </c>
      <c r="C46" s="33" t="s">
        <v>22</v>
      </c>
      <c r="D46" s="33" t="str">
        <f>VLOOKUP(B46,'✈ Flights (2)'!$A$2:$P$502,3,FALSE)</f>
        <v>Southwest</v>
      </c>
      <c r="E46" s="33">
        <v>76280.88</v>
      </c>
      <c r="F46" s="33">
        <f t="shared" si="0"/>
        <v>45.513651551312698</v>
      </c>
      <c r="G46" s="33">
        <v>6432.89</v>
      </c>
      <c r="H46" s="33">
        <v>6889.7</v>
      </c>
      <c r="I46" s="33">
        <v>27126.81</v>
      </c>
      <c r="J46" s="33">
        <v>48697.26</v>
      </c>
      <c r="K46" s="33" t="s">
        <v>1502</v>
      </c>
      <c r="L46" s="40">
        <f>VLOOKUP(B46,'✈ Flights (2)'!$A$2:$R$501,13,FALSE)</f>
        <v>829.14</v>
      </c>
      <c r="M46">
        <f>VLOOKUP(B46,'✈ Flights (2)'!$A$2:$R$501,16,FALSE)</f>
        <v>92</v>
      </c>
      <c r="N46" t="str">
        <f>VLOOKUP(B46,'✈ Flights (2)'!$A$2:$R$501,14,FALSE)</f>
        <v>Business</v>
      </c>
      <c r="O46">
        <f>VLOOKUP(B46,'✈ Flights (2)'!$A$2:$P$502,12,FALSE)</f>
        <v>1676</v>
      </c>
    </row>
    <row r="47" spans="1:15">
      <c r="A47" s="38" t="s">
        <v>1550</v>
      </c>
      <c r="B47" s="38" t="s">
        <v>242</v>
      </c>
      <c r="C47" s="38" t="s">
        <v>67</v>
      </c>
      <c r="D47" s="33" t="str">
        <f>VLOOKUP(B47,'✈ Flights (2)'!$A$2:$P$502,3,FALSE)</f>
        <v>Delta</v>
      </c>
      <c r="E47" s="38">
        <v>31362.799999999999</v>
      </c>
      <c r="F47" s="33">
        <f t="shared" si="0"/>
        <v>10.6967257844475</v>
      </c>
      <c r="G47" s="38">
        <v>617.23</v>
      </c>
      <c r="H47" s="38">
        <v>2082.54</v>
      </c>
      <c r="I47" s="38">
        <v>22043.86</v>
      </c>
      <c r="J47" s="38">
        <v>7853.63</v>
      </c>
      <c r="K47" s="38" t="s">
        <v>1502</v>
      </c>
      <c r="L47" s="40">
        <f>VLOOKUP(B47,'✈ Flights (2)'!$A$2:$R$501,13,FALSE)</f>
        <v>560.04999999999995</v>
      </c>
      <c r="M47">
        <f>VLOOKUP(B47,'✈ Flights (2)'!$A$2:$R$501,16,FALSE)</f>
        <v>56</v>
      </c>
      <c r="N47" t="str">
        <f>VLOOKUP(B47,'✈ Flights (2)'!$A$2:$R$501,14,FALSE)</f>
        <v>Business</v>
      </c>
      <c r="O47">
        <f>VLOOKUP(B47,'✈ Flights (2)'!$A$2:$P$502,12,FALSE)</f>
        <v>2932</v>
      </c>
    </row>
    <row r="48" spans="1:15">
      <c r="A48" s="33" t="s">
        <v>1551</v>
      </c>
      <c r="B48" s="33" t="s">
        <v>246</v>
      </c>
      <c r="C48" s="33" t="s">
        <v>41</v>
      </c>
      <c r="D48" s="33" t="str">
        <f>VLOOKUP(B48,'✈ Flights (2)'!$A$2:$P$502,3,FALSE)</f>
        <v>Southwest</v>
      </c>
      <c r="E48" s="33">
        <v>19577.16</v>
      </c>
      <c r="F48" s="33">
        <f t="shared" si="0"/>
        <v>9.66296150049358</v>
      </c>
      <c r="G48" s="33">
        <v>7446.03</v>
      </c>
      <c r="H48" s="33">
        <v>9718.5</v>
      </c>
      <c r="I48" s="33">
        <v>29735.94</v>
      </c>
      <c r="J48" s="33">
        <v>-12431.25</v>
      </c>
      <c r="K48" s="33" t="s">
        <v>1511</v>
      </c>
      <c r="L48" s="40">
        <f>VLOOKUP(B48,'✈ Flights (2)'!$A$2:$R$501,13,FALSE)</f>
        <v>362.54</v>
      </c>
      <c r="M48">
        <f>VLOOKUP(B48,'✈ Flights (2)'!$A$2:$R$501,16,FALSE)</f>
        <v>54</v>
      </c>
      <c r="N48" t="str">
        <f>VLOOKUP(B48,'✈ Flights (2)'!$A$2:$R$501,14,FALSE)</f>
        <v>Economy</v>
      </c>
      <c r="O48">
        <f>VLOOKUP(B48,'✈ Flights (2)'!$A$2:$P$502,12,FALSE)</f>
        <v>2026</v>
      </c>
    </row>
    <row r="49" spans="1:15">
      <c r="A49" s="38" t="s">
        <v>1552</v>
      </c>
      <c r="B49" s="38" t="s">
        <v>250</v>
      </c>
      <c r="C49" s="38" t="s">
        <v>55</v>
      </c>
      <c r="D49" s="33" t="str">
        <f>VLOOKUP(B49,'✈ Flights (2)'!$A$2:$P$502,3,FALSE)</f>
        <v>Southwest</v>
      </c>
      <c r="E49" s="38">
        <v>106298.3</v>
      </c>
      <c r="F49" s="33">
        <f t="shared" si="0"/>
        <v>277.54125326370797</v>
      </c>
      <c r="G49" s="38">
        <v>3621.67</v>
      </c>
      <c r="H49" s="38">
        <v>12043.32</v>
      </c>
      <c r="I49" s="38">
        <v>33259.410000000003</v>
      </c>
      <c r="J49" s="38">
        <v>43667.94</v>
      </c>
      <c r="K49" s="38" t="s">
        <v>1502</v>
      </c>
      <c r="L49" s="40">
        <f>VLOOKUP(B49,'✈ Flights (2)'!$A$2:$R$501,13,FALSE)</f>
        <v>775.9</v>
      </c>
      <c r="M49">
        <f>VLOOKUP(B49,'✈ Flights (2)'!$A$2:$R$501,16,FALSE)</f>
        <v>137</v>
      </c>
      <c r="N49" t="str">
        <f>VLOOKUP(B49,'✈ Flights (2)'!$A$2:$R$501,14,FALSE)</f>
        <v>Unknown</v>
      </c>
      <c r="O49">
        <f>VLOOKUP(B49,'✈ Flights (2)'!$A$2:$P$502,12,FALSE)</f>
        <v>383</v>
      </c>
    </row>
    <row r="50" spans="1:15">
      <c r="A50" s="33" t="s">
        <v>1553</v>
      </c>
      <c r="B50" s="33" t="s">
        <v>254</v>
      </c>
      <c r="C50" s="33" t="s">
        <v>22</v>
      </c>
      <c r="D50" s="33" t="str">
        <f>VLOOKUP(B50,'✈ Flights (2)'!$A$2:$P$502,3,FALSE)</f>
        <v>Frontier</v>
      </c>
      <c r="E50" s="33">
        <v>42023.63</v>
      </c>
      <c r="F50" s="33">
        <f t="shared" si="0"/>
        <v>26.698621346886899</v>
      </c>
      <c r="G50" s="33">
        <v>2046.2</v>
      </c>
      <c r="H50" s="33">
        <v>8800.1299999999992</v>
      </c>
      <c r="I50" s="33">
        <v>27393.9</v>
      </c>
      <c r="J50" s="33">
        <v>7875.8</v>
      </c>
      <c r="K50" s="33" t="s">
        <v>1509</v>
      </c>
      <c r="L50" s="40">
        <f>VLOOKUP(B50,'✈ Flights (2)'!$A$2:$R$501,13,FALSE)</f>
        <v>201.07</v>
      </c>
      <c r="M50">
        <f>VLOOKUP(B50,'✈ Flights (2)'!$A$2:$R$501,16,FALSE)</f>
        <v>209</v>
      </c>
      <c r="N50" t="str">
        <f>VLOOKUP(B50,'✈ Flights (2)'!$A$2:$R$501,14,FALSE)</f>
        <v>Economy</v>
      </c>
      <c r="O50">
        <f>VLOOKUP(B50,'✈ Flights (2)'!$A$2:$P$502,12,FALSE)</f>
        <v>1574</v>
      </c>
    </row>
    <row r="51" spans="1:15">
      <c r="A51" s="38" t="s">
        <v>1554</v>
      </c>
      <c r="B51" s="38" t="s">
        <v>257</v>
      </c>
      <c r="C51" s="38" t="s">
        <v>184</v>
      </c>
      <c r="D51" s="33" t="str">
        <f>VLOOKUP(B51,'✈ Flights (2)'!$A$2:$P$502,3,FALSE)</f>
        <v>Spirit</v>
      </c>
      <c r="E51" s="38">
        <v>114588.63</v>
      </c>
      <c r="F51" s="33">
        <f t="shared" si="0"/>
        <v>74.650573289902297</v>
      </c>
      <c r="G51" s="38">
        <v>2294.4</v>
      </c>
      <c r="H51" s="38">
        <v>10991.76</v>
      </c>
      <c r="I51" s="38">
        <v>11109.21</v>
      </c>
      <c r="J51" s="38">
        <v>94782.06</v>
      </c>
      <c r="K51" s="38" t="s">
        <v>1502</v>
      </c>
      <c r="L51" s="40">
        <f>VLOOKUP(B51,'✈ Flights (2)'!$A$2:$R$501,13,FALSE)</f>
        <v>1032.33</v>
      </c>
      <c r="M51">
        <f>VLOOKUP(B51,'✈ Flights (2)'!$A$2:$R$501,16,FALSE)</f>
        <v>111</v>
      </c>
      <c r="N51" t="str">
        <f>VLOOKUP(B51,'✈ Flights (2)'!$A$2:$R$501,14,FALSE)</f>
        <v>First Class</v>
      </c>
      <c r="O51">
        <f>VLOOKUP(B51,'✈ Flights (2)'!$A$2:$P$502,12,FALSE)</f>
        <v>1535</v>
      </c>
    </row>
    <row r="52" spans="1:15">
      <c r="A52" s="33" t="s">
        <v>1555</v>
      </c>
      <c r="B52" s="33" t="s">
        <v>261</v>
      </c>
      <c r="C52" s="33" t="s">
        <v>33</v>
      </c>
      <c r="D52" s="33" t="str">
        <f>VLOOKUP(B52,'✈ Flights (2)'!$A$2:$P$502,3,FALSE)</f>
        <v>Alaska</v>
      </c>
      <c r="E52" s="33">
        <v>213391.25</v>
      </c>
      <c r="F52" s="33">
        <f t="shared" si="0"/>
        <v>89.962584317031997</v>
      </c>
      <c r="G52" s="33">
        <v>5878.99</v>
      </c>
      <c r="H52" s="33">
        <v>3144.28</v>
      </c>
      <c r="I52" s="33">
        <v>26421.74</v>
      </c>
      <c r="J52" s="33">
        <v>189704.22</v>
      </c>
      <c r="K52" s="33" t="s">
        <v>1511</v>
      </c>
      <c r="L52" s="40">
        <f>VLOOKUP(B52,'✈ Flights (2)'!$A$2:$R$501,13,FALSE)</f>
        <v>805.25</v>
      </c>
      <c r="M52">
        <f>VLOOKUP(B52,'✈ Flights (2)'!$A$2:$R$501,16,FALSE)</f>
        <v>265</v>
      </c>
      <c r="N52" t="str">
        <f>VLOOKUP(B52,'✈ Flights (2)'!$A$2:$R$501,14,FALSE)</f>
        <v>Economy</v>
      </c>
      <c r="O52">
        <f>VLOOKUP(B52,'✈ Flights (2)'!$A$2:$P$502,12,FALSE)</f>
        <v>2372</v>
      </c>
    </row>
    <row r="53" spans="1:15">
      <c r="A53" s="38" t="s">
        <v>1556</v>
      </c>
      <c r="B53" s="38" t="s">
        <v>264</v>
      </c>
      <c r="C53" s="38" t="s">
        <v>41</v>
      </c>
      <c r="D53" s="33" t="str">
        <f>VLOOKUP(B53,'✈ Flights (2)'!$A$2:$P$502,3,FALSE)</f>
        <v>Alaska</v>
      </c>
      <c r="E53" s="38">
        <v>297300.47999999998</v>
      </c>
      <c r="F53" s="33">
        <f t="shared" si="0"/>
        <v>121.994452195322</v>
      </c>
      <c r="G53" s="38">
        <v>3108.9</v>
      </c>
      <c r="H53" s="38">
        <v>5063.3100000000004</v>
      </c>
      <c r="I53" s="38">
        <v>5159.95</v>
      </c>
      <c r="J53" s="38">
        <v>290186.12</v>
      </c>
      <c r="K53" s="38" t="s">
        <v>1504</v>
      </c>
      <c r="L53" s="40">
        <f>VLOOKUP(B53,'✈ Flights (2)'!$A$2:$R$501,13,FALSE)</f>
        <v>1161.33</v>
      </c>
      <c r="M53">
        <f>VLOOKUP(B53,'✈ Flights (2)'!$A$2:$R$501,16,FALSE)</f>
        <v>256</v>
      </c>
      <c r="N53" t="str">
        <f>VLOOKUP(B53,'✈ Flights (2)'!$A$2:$R$501,14,FALSE)</f>
        <v>Business</v>
      </c>
      <c r="O53">
        <f>VLOOKUP(B53,'✈ Flights (2)'!$A$2:$P$502,12,FALSE)</f>
        <v>2437</v>
      </c>
    </row>
    <row r="54" spans="1:15">
      <c r="A54" s="33" t="s">
        <v>1557</v>
      </c>
      <c r="B54" s="33" t="s">
        <v>267</v>
      </c>
      <c r="C54" s="33" t="s">
        <v>74</v>
      </c>
      <c r="D54" s="33" t="str">
        <f>VLOOKUP(B54,'✈ Flights (2)'!$A$2:$P$502,3,FALSE)</f>
        <v>Spirit</v>
      </c>
      <c r="E54" s="33">
        <v>179328.24</v>
      </c>
      <c r="F54" s="33">
        <f t="shared" si="0"/>
        <v>124.360776699029</v>
      </c>
      <c r="G54" s="33">
        <v>7899.53</v>
      </c>
      <c r="H54" s="33">
        <v>10045.969999999999</v>
      </c>
      <c r="I54" s="33">
        <v>39187.699999999997</v>
      </c>
      <c r="J54" s="33">
        <v>137994.1</v>
      </c>
      <c r="K54" s="33" t="s">
        <v>1502</v>
      </c>
      <c r="L54" s="40">
        <f>VLOOKUP(B54,'✈ Flights (2)'!$A$2:$R$501,13,FALSE)</f>
        <v>1067.43</v>
      </c>
      <c r="M54">
        <f>VLOOKUP(B54,'✈ Flights (2)'!$A$2:$R$501,16,FALSE)</f>
        <v>168</v>
      </c>
      <c r="N54" t="str">
        <f>VLOOKUP(B54,'✈ Flights (2)'!$A$2:$R$501,14,FALSE)</f>
        <v>Economy</v>
      </c>
      <c r="O54">
        <f>VLOOKUP(B54,'✈ Flights (2)'!$A$2:$P$502,12,FALSE)</f>
        <v>1442</v>
      </c>
    </row>
    <row r="55" spans="1:15">
      <c r="A55" s="38" t="s">
        <v>1558</v>
      </c>
      <c r="B55" s="38" t="s">
        <v>271</v>
      </c>
      <c r="C55" s="38" t="s">
        <v>175</v>
      </c>
      <c r="D55" s="33" t="str">
        <f>VLOOKUP(B55,'✈ Flights (2)'!$A$2:$P$502,3,FALSE)</f>
        <v>Alaska</v>
      </c>
      <c r="E55" s="38">
        <v>57765.4</v>
      </c>
      <c r="F55" s="33">
        <f t="shared" si="0"/>
        <v>49.4566780821918</v>
      </c>
      <c r="G55" s="38">
        <v>3981.62</v>
      </c>
      <c r="H55" s="38">
        <v>4705.41</v>
      </c>
      <c r="I55" s="38">
        <v>26926.25</v>
      </c>
      <c r="J55" s="38">
        <v>30115.360000000001</v>
      </c>
      <c r="K55" s="38" t="s">
        <v>1504</v>
      </c>
      <c r="L55" s="40">
        <f>VLOOKUP(B55,'✈ Flights (2)'!$A$2:$R$501,13,FALSE)</f>
        <v>477.4</v>
      </c>
      <c r="M55">
        <f>VLOOKUP(B55,'✈ Flights (2)'!$A$2:$R$501,16,FALSE)</f>
        <v>121</v>
      </c>
      <c r="N55" t="str">
        <f>VLOOKUP(B55,'✈ Flights (2)'!$A$2:$R$501,14,FALSE)</f>
        <v>Business</v>
      </c>
      <c r="O55">
        <f>VLOOKUP(B55,'✈ Flights (2)'!$A$2:$P$502,12,FALSE)</f>
        <v>1168</v>
      </c>
    </row>
    <row r="56" spans="1:15">
      <c r="A56" s="33" t="s">
        <v>1559</v>
      </c>
      <c r="B56" s="33" t="s">
        <v>273</v>
      </c>
      <c r="C56" s="33" t="s">
        <v>55</v>
      </c>
      <c r="D56" s="33" t="str">
        <f>VLOOKUP(B56,'✈ Flights (2)'!$A$2:$P$502,3,FALSE)</f>
        <v>Southwest</v>
      </c>
      <c r="E56" s="33">
        <v>199765.1</v>
      </c>
      <c r="F56" s="33">
        <f t="shared" si="0"/>
        <v>77.608818958819</v>
      </c>
      <c r="G56" s="33">
        <v>1952.89</v>
      </c>
      <c r="H56" s="33">
        <v>10908.17</v>
      </c>
      <c r="I56" s="33">
        <v>32881.449999999997</v>
      </c>
      <c r="J56" s="33">
        <v>157928.37</v>
      </c>
      <c r="K56" s="33" t="s">
        <v>1509</v>
      </c>
      <c r="L56" s="40">
        <f>VLOOKUP(B56,'✈ Flights (2)'!$A$2:$R$501,13,FALSE)</f>
        <v>929.14</v>
      </c>
      <c r="M56">
        <f>VLOOKUP(B56,'✈ Flights (2)'!$A$2:$R$501,16,FALSE)</f>
        <v>215</v>
      </c>
      <c r="N56" t="str">
        <f>VLOOKUP(B56,'✈ Flights (2)'!$A$2:$R$501,14,FALSE)</f>
        <v>First Class</v>
      </c>
      <c r="O56">
        <f>VLOOKUP(B56,'✈ Flights (2)'!$A$2:$P$502,12,FALSE)</f>
        <v>2574</v>
      </c>
    </row>
    <row r="57" spans="1:15">
      <c r="A57" s="38" t="s">
        <v>1560</v>
      </c>
      <c r="B57" s="38" t="s">
        <v>277</v>
      </c>
      <c r="C57" s="38" t="s">
        <v>96</v>
      </c>
      <c r="D57" s="33" t="str">
        <f>VLOOKUP(B57,'✈ Flights (2)'!$A$2:$P$502,3,FALSE)</f>
        <v>United</v>
      </c>
      <c r="E57" s="38">
        <v>68075.399999999994</v>
      </c>
      <c r="F57" s="33">
        <f t="shared" si="0"/>
        <v>25.382326621923902</v>
      </c>
      <c r="G57" s="38">
        <v>4231.3599999999997</v>
      </c>
      <c r="H57" s="38">
        <v>13994.75</v>
      </c>
      <c r="I57" s="38">
        <v>10591.59</v>
      </c>
      <c r="J57" s="38">
        <v>47720.42</v>
      </c>
      <c r="K57" s="38" t="s">
        <v>1504</v>
      </c>
      <c r="L57" s="40">
        <f>VLOOKUP(B57,'✈ Flights (2)'!$A$2:$R$501,13,FALSE)</f>
        <v>493.3</v>
      </c>
      <c r="M57">
        <f>VLOOKUP(B57,'✈ Flights (2)'!$A$2:$R$501,16,FALSE)</f>
        <v>138</v>
      </c>
      <c r="N57" t="str">
        <f>VLOOKUP(B57,'✈ Flights (2)'!$A$2:$R$501,14,FALSE)</f>
        <v>First Class</v>
      </c>
      <c r="O57">
        <f>VLOOKUP(B57,'✈ Flights (2)'!$A$2:$P$502,12,FALSE)</f>
        <v>2682</v>
      </c>
    </row>
    <row r="58" spans="1:15">
      <c r="A58" s="33" t="s">
        <v>1561</v>
      </c>
      <c r="B58" s="33" t="s">
        <v>281</v>
      </c>
      <c r="C58" s="33" t="s">
        <v>41</v>
      </c>
      <c r="D58" s="33" t="str">
        <f>VLOOKUP(B58,'✈ Flights (2)'!$A$2:$P$502,3,FALSE)</f>
        <v>Alaska</v>
      </c>
      <c r="E58" s="33">
        <v>104765.12</v>
      </c>
      <c r="F58" s="33">
        <f t="shared" si="0"/>
        <v>131.94599496221699</v>
      </c>
      <c r="G58" s="33">
        <v>0</v>
      </c>
      <c r="H58" s="33">
        <v>5705.84</v>
      </c>
      <c r="I58" s="33">
        <v>27570.13</v>
      </c>
      <c r="J58" s="33">
        <v>-33275.97</v>
      </c>
      <c r="K58" s="33" t="s">
        <v>1509</v>
      </c>
      <c r="L58" s="40">
        <f>VLOOKUP(B58,'✈ Flights (2)'!$A$2:$R$501,13,FALSE)</f>
        <v>887.84</v>
      </c>
      <c r="M58">
        <f>VLOOKUP(B58,'✈ Flights (2)'!$A$2:$R$501,16,FALSE)</f>
        <v>118</v>
      </c>
      <c r="N58" t="str">
        <f>VLOOKUP(B58,'✈ Flights (2)'!$A$2:$R$501,14,FALSE)</f>
        <v>Unknown</v>
      </c>
      <c r="O58">
        <f>VLOOKUP(B58,'✈ Flights (2)'!$A$2:$P$502,12,FALSE)</f>
        <v>794</v>
      </c>
    </row>
    <row r="59" spans="1:15">
      <c r="A59" s="38" t="s">
        <v>1562</v>
      </c>
      <c r="B59" s="38" t="s">
        <v>285</v>
      </c>
      <c r="C59" s="38" t="s">
        <v>184</v>
      </c>
      <c r="D59" s="33" t="str">
        <f>VLOOKUP(B59,'✈ Flights (2)'!$A$2:$P$502,3,FALSE)</f>
        <v>Southwest</v>
      </c>
      <c r="E59" s="38">
        <v>36238.400000000001</v>
      </c>
      <c r="F59" s="33">
        <f t="shared" si="0"/>
        <v>33.094429223744299</v>
      </c>
      <c r="G59" s="38">
        <v>2385.36</v>
      </c>
      <c r="H59" s="38">
        <v>13571.03</v>
      </c>
      <c r="I59" s="38">
        <v>26588.68</v>
      </c>
      <c r="J59" s="38">
        <v>-1535.95</v>
      </c>
      <c r="K59" s="38" t="s">
        <v>1509</v>
      </c>
      <c r="L59" s="40">
        <f>VLOOKUP(B59,'✈ Flights (2)'!$A$2:$R$501,13,FALSE)</f>
        <v>411.8</v>
      </c>
      <c r="M59">
        <f>VLOOKUP(B59,'✈ Flights (2)'!$A$2:$R$501,16,FALSE)</f>
        <v>88</v>
      </c>
      <c r="N59" t="str">
        <f>VLOOKUP(B59,'✈ Flights (2)'!$A$2:$R$501,14,FALSE)</f>
        <v>Business</v>
      </c>
      <c r="O59">
        <f>VLOOKUP(B59,'✈ Flights (2)'!$A$2:$P$502,12,FALSE)</f>
        <v>1095</v>
      </c>
    </row>
    <row r="60" spans="1:15">
      <c r="A60" s="33" t="s">
        <v>1563</v>
      </c>
      <c r="B60" s="33" t="s">
        <v>289</v>
      </c>
      <c r="C60" s="33" t="s">
        <v>22</v>
      </c>
      <c r="D60" s="33" t="str">
        <f>VLOOKUP(B60,'✈ Flights (2)'!$A$2:$P$502,3,FALSE)</f>
        <v>American</v>
      </c>
      <c r="E60" s="33">
        <v>40514.910000000003</v>
      </c>
      <c r="F60" s="33">
        <f t="shared" si="0"/>
        <v>49.589853121174997</v>
      </c>
      <c r="G60" s="33">
        <v>824.88</v>
      </c>
      <c r="H60" s="33">
        <v>14023.2</v>
      </c>
      <c r="I60" s="33">
        <v>30914.59</v>
      </c>
      <c r="J60" s="33">
        <v>-3598</v>
      </c>
      <c r="K60" s="33" t="s">
        <v>1502</v>
      </c>
      <c r="L60" s="40">
        <f>VLOOKUP(B60,'✈ Flights (2)'!$A$2:$R$501,13,FALSE)</f>
        <v>794.41</v>
      </c>
      <c r="M60">
        <f>VLOOKUP(B60,'✈ Flights (2)'!$A$2:$R$501,16,FALSE)</f>
        <v>51</v>
      </c>
      <c r="N60" t="str">
        <f>VLOOKUP(B60,'✈ Flights (2)'!$A$2:$R$501,14,FALSE)</f>
        <v>Business</v>
      </c>
      <c r="O60">
        <f>VLOOKUP(B60,'✈ Flights (2)'!$A$2:$P$502,12,FALSE)</f>
        <v>817</v>
      </c>
    </row>
    <row r="61" spans="1:15">
      <c r="A61" s="38" t="s">
        <v>1564</v>
      </c>
      <c r="B61" s="38" t="s">
        <v>291</v>
      </c>
      <c r="C61" s="38" t="s">
        <v>41</v>
      </c>
      <c r="D61" s="33" t="str">
        <f>VLOOKUP(B61,'✈ Flights (2)'!$A$2:$P$502,3,FALSE)</f>
        <v>Frontier</v>
      </c>
      <c r="E61" s="38">
        <v>36361.5</v>
      </c>
      <c r="F61" s="33">
        <f t="shared" si="0"/>
        <v>16.117686170212799</v>
      </c>
      <c r="G61" s="38">
        <v>1685.34</v>
      </c>
      <c r="H61" s="38">
        <v>8693.75</v>
      </c>
      <c r="I61" s="38">
        <v>6017.28</v>
      </c>
      <c r="J61" s="38">
        <v>23335.81</v>
      </c>
      <c r="K61" s="38" t="s">
        <v>1504</v>
      </c>
      <c r="L61" s="40">
        <f>VLOOKUP(B61,'✈ Flights (2)'!$A$2:$R$501,13,FALSE)</f>
        <v>207.78</v>
      </c>
      <c r="M61">
        <f>VLOOKUP(B61,'✈ Flights (2)'!$A$2:$R$501,16,FALSE)</f>
        <v>175</v>
      </c>
      <c r="N61" t="str">
        <f>VLOOKUP(B61,'✈ Flights (2)'!$A$2:$R$501,14,FALSE)</f>
        <v>Economy</v>
      </c>
      <c r="O61">
        <f>VLOOKUP(B61,'✈ Flights (2)'!$A$2:$P$502,12,FALSE)</f>
        <v>2256</v>
      </c>
    </row>
    <row r="62" spans="1:15">
      <c r="A62" s="33" t="s">
        <v>1565</v>
      </c>
      <c r="B62" s="33" t="s">
        <v>294</v>
      </c>
      <c r="C62" s="33" t="s">
        <v>102</v>
      </c>
      <c r="D62" s="33" t="str">
        <f>VLOOKUP(B62,'✈ Flights (2)'!$A$2:$P$502,3,FALSE)</f>
        <v>American</v>
      </c>
      <c r="E62" s="33">
        <v>142418.07999999999</v>
      </c>
      <c r="F62" s="33">
        <f t="shared" si="0"/>
        <v>181.42430573248399</v>
      </c>
      <c r="G62" s="33">
        <v>7213.09</v>
      </c>
      <c r="H62" s="33">
        <v>9705.19</v>
      </c>
      <c r="I62" s="33">
        <v>30249.11</v>
      </c>
      <c r="J62" s="33">
        <v>109676.87</v>
      </c>
      <c r="K62" s="33" t="s">
        <v>1511</v>
      </c>
      <c r="L62" s="40">
        <f>VLOOKUP(B62,'✈ Flights (2)'!$A$2:$R$501,13,FALSE)</f>
        <v>705.04</v>
      </c>
      <c r="M62">
        <f>VLOOKUP(B62,'✈ Flights (2)'!$A$2:$R$501,16,FALSE)</f>
        <v>202</v>
      </c>
      <c r="N62" t="str">
        <f>VLOOKUP(B62,'✈ Flights (2)'!$A$2:$R$501,14,FALSE)</f>
        <v>Business</v>
      </c>
      <c r="O62">
        <f>VLOOKUP(B62,'✈ Flights (2)'!$A$2:$P$502,12,FALSE)</f>
        <v>785</v>
      </c>
    </row>
    <row r="63" spans="1:15">
      <c r="A63" s="38" t="s">
        <v>1566</v>
      </c>
      <c r="B63" s="38" t="s">
        <v>298</v>
      </c>
      <c r="C63" s="38" t="s">
        <v>41</v>
      </c>
      <c r="D63" s="33" t="str">
        <f>VLOOKUP(B63,'✈ Flights (2)'!$A$2:$P$502,3,FALSE)</f>
        <v>Spirit</v>
      </c>
      <c r="E63" s="38">
        <v>77555</v>
      </c>
      <c r="F63" s="33">
        <f t="shared" si="0"/>
        <v>29.499809813617301</v>
      </c>
      <c r="G63" s="38">
        <v>0</v>
      </c>
      <c r="H63" s="38">
        <v>11712.13</v>
      </c>
      <c r="I63" s="38">
        <v>22778.588495934899</v>
      </c>
      <c r="J63" s="38">
        <v>-31379.45</v>
      </c>
      <c r="K63" s="38" t="s">
        <v>1511</v>
      </c>
      <c r="L63" s="40">
        <f>VLOOKUP(B63,'✈ Flights (2)'!$A$2:$R$501,13,FALSE)</f>
        <v>775.55</v>
      </c>
      <c r="M63">
        <f>VLOOKUP(B63,'✈ Flights (2)'!$A$2:$R$501,16,FALSE)</f>
        <v>100</v>
      </c>
      <c r="N63" t="str">
        <f>VLOOKUP(B63,'✈ Flights (2)'!$A$2:$R$501,14,FALSE)</f>
        <v>First Class</v>
      </c>
      <c r="O63">
        <f>VLOOKUP(B63,'✈ Flights (2)'!$A$2:$P$502,12,FALSE)</f>
        <v>2629</v>
      </c>
    </row>
    <row r="64" spans="1:15">
      <c r="A64" s="33" t="s">
        <v>1567</v>
      </c>
      <c r="B64" s="33" t="s">
        <v>301</v>
      </c>
      <c r="C64" s="33" t="s">
        <v>22</v>
      </c>
      <c r="D64" s="33" t="str">
        <f>VLOOKUP(B64,'✈ Flights (2)'!$A$2:$P$502,3,FALSE)</f>
        <v>Southwest</v>
      </c>
      <c r="E64" s="33">
        <v>27071.55</v>
      </c>
      <c r="F64" s="33">
        <f t="shared" si="0"/>
        <v>10.574824218750001</v>
      </c>
      <c r="G64" s="33">
        <v>2225.4699999999998</v>
      </c>
      <c r="H64" s="33">
        <v>4961.17</v>
      </c>
      <c r="I64" s="33">
        <v>8854.65</v>
      </c>
      <c r="J64" s="33">
        <v>15481.2</v>
      </c>
      <c r="K64" s="33" t="s">
        <v>1502</v>
      </c>
      <c r="L64" s="40">
        <f>VLOOKUP(B64,'✈ Flights (2)'!$A$2:$R$501,13,FALSE)</f>
        <v>164.07</v>
      </c>
      <c r="M64">
        <f>VLOOKUP(B64,'✈ Flights (2)'!$A$2:$R$501,16,FALSE)</f>
        <v>165</v>
      </c>
      <c r="N64" t="str">
        <f>VLOOKUP(B64,'✈ Flights (2)'!$A$2:$R$501,14,FALSE)</f>
        <v>Economy</v>
      </c>
      <c r="O64">
        <f>VLOOKUP(B64,'✈ Flights (2)'!$A$2:$P$502,12,FALSE)</f>
        <v>2560</v>
      </c>
    </row>
    <row r="65" spans="1:15">
      <c r="A65" s="38" t="s">
        <v>1568</v>
      </c>
      <c r="B65" s="38" t="s">
        <v>305</v>
      </c>
      <c r="C65" s="38" t="s">
        <v>24</v>
      </c>
      <c r="D65" s="33" t="str">
        <f>VLOOKUP(B65,'✈ Flights (2)'!$A$2:$P$502,3,FALSE)</f>
        <v>Delta</v>
      </c>
      <c r="E65" s="38">
        <v>29548.2</v>
      </c>
      <c r="F65" s="33">
        <f t="shared" si="0"/>
        <v>13.686058360352</v>
      </c>
      <c r="G65" s="38">
        <v>6033.11</v>
      </c>
      <c r="H65" s="38">
        <v>6881.92</v>
      </c>
      <c r="I65" s="38">
        <v>35446.019999999997</v>
      </c>
      <c r="J65" s="38">
        <v>-6746.63</v>
      </c>
      <c r="K65" s="38" t="s">
        <v>1502</v>
      </c>
      <c r="L65" s="40">
        <f>VLOOKUP(B65,'✈ Flights (2)'!$A$2:$R$501,13,FALSE)</f>
        <v>159.72</v>
      </c>
      <c r="M65">
        <f>VLOOKUP(B65,'✈ Flights (2)'!$A$2:$R$501,16,FALSE)</f>
        <v>185</v>
      </c>
      <c r="N65" t="str">
        <f>VLOOKUP(B65,'✈ Flights (2)'!$A$2:$R$501,14,FALSE)</f>
        <v>Economy</v>
      </c>
      <c r="O65">
        <f>VLOOKUP(B65,'✈ Flights (2)'!$A$2:$P$502,12,FALSE)</f>
        <v>2159</v>
      </c>
    </row>
    <row r="66" spans="1:15">
      <c r="A66" s="33" t="s">
        <v>1569</v>
      </c>
      <c r="B66" s="33" t="s">
        <v>309</v>
      </c>
      <c r="C66" s="33" t="s">
        <v>198</v>
      </c>
      <c r="D66" s="33" t="str">
        <f>VLOOKUP(B66,'✈ Flights (2)'!$A$2:$P$502,3,FALSE)</f>
        <v>Spirit</v>
      </c>
      <c r="E66" s="33">
        <v>20477.439999999999</v>
      </c>
      <c r="F66" s="33">
        <f t="shared" si="0"/>
        <v>23.217052154194999</v>
      </c>
      <c r="G66" s="33">
        <v>1051.47</v>
      </c>
      <c r="H66" s="33">
        <v>2706.41</v>
      </c>
      <c r="I66" s="33">
        <v>25478.23</v>
      </c>
      <c r="J66" s="33">
        <v>-6655.73</v>
      </c>
      <c r="K66" s="33" t="s">
        <v>1509</v>
      </c>
      <c r="L66" s="40">
        <f>VLOOKUP(B66,'✈ Flights (2)'!$A$2:$R$501,13,FALSE)</f>
        <v>159.97999999999999</v>
      </c>
      <c r="M66">
        <f>VLOOKUP(B66,'✈ Flights (2)'!$A$2:$R$501,16,FALSE)</f>
        <v>128</v>
      </c>
      <c r="N66" t="str">
        <f>VLOOKUP(B66,'✈ Flights (2)'!$A$2:$R$501,14,FALSE)</f>
        <v>Economy</v>
      </c>
      <c r="O66">
        <f>VLOOKUP(B66,'✈ Flights (2)'!$A$2:$P$502,12,FALSE)</f>
        <v>882</v>
      </c>
    </row>
    <row r="67" spans="1:15">
      <c r="A67" s="38" t="s">
        <v>1570</v>
      </c>
      <c r="B67" s="38" t="s">
        <v>312</v>
      </c>
      <c r="C67" s="38" t="s">
        <v>198</v>
      </c>
      <c r="D67" s="33" t="str">
        <f>VLOOKUP(B67,'✈ Flights (2)'!$A$2:$P$502,3,FALSE)</f>
        <v>Frontier</v>
      </c>
      <c r="E67" s="38">
        <v>199900.79999999999</v>
      </c>
      <c r="F67" s="33">
        <f t="shared" ref="F67:F130" si="1">E67/O67</f>
        <v>102.61848049281301</v>
      </c>
      <c r="G67" s="38">
        <v>1587.06</v>
      </c>
      <c r="H67" s="38">
        <v>7914.88</v>
      </c>
      <c r="I67" s="38">
        <v>37476.050000000003</v>
      </c>
      <c r="J67" s="38">
        <v>156096.93</v>
      </c>
      <c r="K67" s="38" t="s">
        <v>1509</v>
      </c>
      <c r="L67" s="40">
        <f>VLOOKUP(B67,'✈ Flights (2)'!$A$2:$R$501,13,FALSE)</f>
        <v>1135.8</v>
      </c>
      <c r="M67">
        <f>VLOOKUP(B67,'✈ Flights (2)'!$A$2:$R$501,16,FALSE)</f>
        <v>176</v>
      </c>
      <c r="N67" t="str">
        <f>VLOOKUP(B67,'✈ Flights (2)'!$A$2:$R$501,14,FALSE)</f>
        <v>First Class</v>
      </c>
      <c r="O67">
        <f>VLOOKUP(B67,'✈ Flights (2)'!$A$2:$P$502,12,FALSE)</f>
        <v>1948</v>
      </c>
    </row>
    <row r="68" spans="1:15">
      <c r="A68" s="33" t="s">
        <v>1571</v>
      </c>
      <c r="B68" s="33" t="s">
        <v>315</v>
      </c>
      <c r="C68" s="33" t="s">
        <v>157</v>
      </c>
      <c r="D68" s="33" t="str">
        <f>VLOOKUP(B68,'✈ Flights (2)'!$A$2:$P$502,3,FALSE)</f>
        <v>Spirit</v>
      </c>
      <c r="E68" s="33">
        <v>163742.76</v>
      </c>
      <c r="F68" s="33">
        <f t="shared" si="1"/>
        <v>61.650135542168698</v>
      </c>
      <c r="G68" s="33">
        <v>3301.14</v>
      </c>
      <c r="H68" s="33">
        <v>4524.01</v>
      </c>
      <c r="I68" s="33">
        <v>21020.91</v>
      </c>
      <c r="J68" s="33">
        <v>141498.98000000001</v>
      </c>
      <c r="K68" s="33" t="s">
        <v>1511</v>
      </c>
      <c r="L68" s="40">
        <f>VLOOKUP(B68,'✈ Flights (2)'!$A$2:$R$501,13,FALSE)</f>
        <v>737.58</v>
      </c>
      <c r="M68">
        <f>VLOOKUP(B68,'✈ Flights (2)'!$A$2:$R$501,16,FALSE)</f>
        <v>222</v>
      </c>
      <c r="N68" t="str">
        <f>VLOOKUP(B68,'✈ Flights (2)'!$A$2:$R$501,14,FALSE)</f>
        <v>Economy</v>
      </c>
      <c r="O68">
        <f>VLOOKUP(B68,'✈ Flights (2)'!$A$2:$P$502,12,FALSE)</f>
        <v>2656</v>
      </c>
    </row>
    <row r="69" spans="1:15">
      <c r="A69" s="38" t="s">
        <v>1572</v>
      </c>
      <c r="B69" s="38" t="s">
        <v>318</v>
      </c>
      <c r="C69" s="38" t="s">
        <v>80</v>
      </c>
      <c r="D69" s="33" t="str">
        <f>VLOOKUP(B69,'✈ Flights (2)'!$A$2:$P$502,3,FALSE)</f>
        <v>American</v>
      </c>
      <c r="E69" s="38">
        <v>308717.64</v>
      </c>
      <c r="F69" s="33">
        <f t="shared" si="1"/>
        <v>295.99006711409402</v>
      </c>
      <c r="G69" s="38">
        <v>7816.67</v>
      </c>
      <c r="H69" s="38">
        <v>3653.75</v>
      </c>
      <c r="I69" s="38">
        <v>12077.38</v>
      </c>
      <c r="J69" s="38">
        <v>300803.18</v>
      </c>
      <c r="K69" s="38" t="s">
        <v>1504</v>
      </c>
      <c r="L69" s="40">
        <f>VLOOKUP(B69,'✈ Flights (2)'!$A$2:$R$501,13,FALSE)</f>
        <v>1196.58</v>
      </c>
      <c r="M69">
        <f>VLOOKUP(B69,'✈ Flights (2)'!$A$2:$R$501,16,FALSE)</f>
        <v>258</v>
      </c>
      <c r="N69" t="str">
        <f>VLOOKUP(B69,'✈ Flights (2)'!$A$2:$R$501,14,FALSE)</f>
        <v>Business</v>
      </c>
      <c r="O69">
        <f>VLOOKUP(B69,'✈ Flights (2)'!$A$2:$P$502,12,FALSE)</f>
        <v>1043</v>
      </c>
    </row>
    <row r="70" spans="1:15">
      <c r="A70" s="33" t="s">
        <v>1573</v>
      </c>
      <c r="B70" s="33" t="s">
        <v>321</v>
      </c>
      <c r="C70" s="33" t="s">
        <v>65</v>
      </c>
      <c r="D70" s="33" t="str">
        <f>VLOOKUP(B70,'✈ Flights (2)'!$A$2:$P$502,3,FALSE)</f>
        <v>Frontier</v>
      </c>
      <c r="E70" s="33">
        <v>87422.28</v>
      </c>
      <c r="F70" s="33">
        <f t="shared" si="1"/>
        <v>120.085549450549</v>
      </c>
      <c r="G70" s="33">
        <v>2604.5300000000002</v>
      </c>
      <c r="H70" s="33">
        <v>8051.95</v>
      </c>
      <c r="I70" s="33">
        <v>8888.82</v>
      </c>
      <c r="J70" s="33">
        <v>168819.92</v>
      </c>
      <c r="K70" s="33" t="s">
        <v>1509</v>
      </c>
      <c r="L70" s="40">
        <f>VLOOKUP(B70,'✈ Flights (2)'!$A$2:$R$501,13,FALSE)</f>
        <v>496.71749999999997</v>
      </c>
      <c r="M70">
        <f>VLOOKUP(B70,'✈ Flights (2)'!$A$2:$R$501,16,FALSE)</f>
        <v>176</v>
      </c>
      <c r="N70" t="str">
        <f>VLOOKUP(B70,'✈ Flights (2)'!$A$2:$R$501,14,FALSE)</f>
        <v>Business</v>
      </c>
      <c r="O70">
        <f>VLOOKUP(B70,'✈ Flights (2)'!$A$2:$P$502,12,FALSE)</f>
        <v>728</v>
      </c>
    </row>
    <row r="71" spans="1:15">
      <c r="A71" s="38" t="s">
        <v>1574</v>
      </c>
      <c r="B71" s="38" t="s">
        <v>324</v>
      </c>
      <c r="C71" s="38" t="s">
        <v>41</v>
      </c>
      <c r="D71" s="33" t="str">
        <f>VLOOKUP(B71,'✈ Flights (2)'!$A$2:$P$502,3,FALSE)</f>
        <v>Delta</v>
      </c>
      <c r="E71" s="38">
        <v>365148.93</v>
      </c>
      <c r="F71" s="33">
        <f t="shared" si="1"/>
        <v>471.76864341085297</v>
      </c>
      <c r="G71" s="38">
        <v>1784.01</v>
      </c>
      <c r="H71" s="38">
        <v>13523.32</v>
      </c>
      <c r="I71" s="38">
        <v>17025.16</v>
      </c>
      <c r="J71" s="38">
        <v>336384.46</v>
      </c>
      <c r="K71" s="38" t="s">
        <v>1502</v>
      </c>
      <c r="L71" s="40">
        <f>VLOOKUP(B71,'✈ Flights (2)'!$A$2:$R$501,13,FALSE)</f>
        <v>1166.6099999999999</v>
      </c>
      <c r="M71">
        <f>VLOOKUP(B71,'✈ Flights (2)'!$A$2:$R$501,16,FALSE)</f>
        <v>313</v>
      </c>
      <c r="N71" t="str">
        <f>VLOOKUP(B71,'✈ Flights (2)'!$A$2:$R$501,14,FALSE)</f>
        <v>Business</v>
      </c>
      <c r="O71">
        <f>VLOOKUP(B71,'✈ Flights (2)'!$A$2:$P$502,12,FALSE)</f>
        <v>774</v>
      </c>
    </row>
    <row r="72" spans="1:15">
      <c r="A72" s="33" t="s">
        <v>1575</v>
      </c>
      <c r="B72" s="33" t="s">
        <v>327</v>
      </c>
      <c r="C72" s="33" t="s">
        <v>57</v>
      </c>
      <c r="D72" s="33" t="str">
        <f>VLOOKUP(B72,'✈ Flights (2)'!$A$2:$P$502,3,FALSE)</f>
        <v>Spirit</v>
      </c>
      <c r="E72" s="33">
        <v>65558.64</v>
      </c>
      <c r="F72" s="33">
        <f t="shared" si="1"/>
        <v>28.004545066211001</v>
      </c>
      <c r="G72" s="33">
        <v>6421.6</v>
      </c>
      <c r="H72" s="33">
        <v>9949.8700000000008</v>
      </c>
      <c r="I72" s="33">
        <v>27329.97</v>
      </c>
      <c r="J72" s="33">
        <v>34700.400000000001</v>
      </c>
      <c r="K72" s="33" t="s">
        <v>1502</v>
      </c>
      <c r="L72" s="40">
        <f>VLOOKUP(B72,'✈ Flights (2)'!$A$2:$R$501,13,FALSE)</f>
        <v>780.46</v>
      </c>
      <c r="M72">
        <f>VLOOKUP(B72,'✈ Flights (2)'!$A$2:$R$501,16,FALSE)</f>
        <v>84</v>
      </c>
      <c r="N72" t="str">
        <f>VLOOKUP(B72,'✈ Flights (2)'!$A$2:$R$501,14,FALSE)</f>
        <v>Economy</v>
      </c>
      <c r="O72">
        <f>VLOOKUP(B72,'✈ Flights (2)'!$A$2:$P$502,12,FALSE)</f>
        <v>2341</v>
      </c>
    </row>
    <row r="73" spans="1:15">
      <c r="A73" s="38" t="s">
        <v>1576</v>
      </c>
      <c r="B73" s="38" t="s">
        <v>329</v>
      </c>
      <c r="C73" s="38" t="s">
        <v>80</v>
      </c>
      <c r="D73" s="33" t="str">
        <f>VLOOKUP(B73,'✈ Flights (2)'!$A$2:$P$502,3,FALSE)</f>
        <v>Frontier</v>
      </c>
      <c r="E73" s="38">
        <v>65918.16</v>
      </c>
      <c r="F73" s="33">
        <f t="shared" si="1"/>
        <v>69.533924050632905</v>
      </c>
      <c r="G73" s="38">
        <v>4835.91</v>
      </c>
      <c r="H73" s="38">
        <v>4986.13</v>
      </c>
      <c r="I73" s="38">
        <v>24346.45</v>
      </c>
      <c r="J73" s="38">
        <v>41421.49</v>
      </c>
      <c r="K73" s="38" t="s">
        <v>1509</v>
      </c>
      <c r="L73" s="40">
        <f>VLOOKUP(B73,'✈ Flights (2)'!$A$2:$R$501,13,FALSE)</f>
        <v>428.04</v>
      </c>
      <c r="M73">
        <f>VLOOKUP(B73,'✈ Flights (2)'!$A$2:$R$501,16,FALSE)</f>
        <v>154</v>
      </c>
      <c r="N73" t="str">
        <f>VLOOKUP(B73,'✈ Flights (2)'!$A$2:$R$501,14,FALSE)</f>
        <v>Economy</v>
      </c>
      <c r="O73">
        <f>VLOOKUP(B73,'✈ Flights (2)'!$A$2:$P$502,12,FALSE)</f>
        <v>948</v>
      </c>
    </row>
    <row r="74" spans="1:15">
      <c r="A74" s="33" t="s">
        <v>1577</v>
      </c>
      <c r="B74" s="33" t="s">
        <v>332</v>
      </c>
      <c r="C74" s="33" t="s">
        <v>198</v>
      </c>
      <c r="D74" s="33" t="str">
        <f>VLOOKUP(B74,'✈ Flights (2)'!$A$2:$P$502,3,FALSE)</f>
        <v>Frontier</v>
      </c>
      <c r="E74" s="33">
        <v>158696.85</v>
      </c>
      <c r="F74" s="33">
        <f t="shared" si="1"/>
        <v>111.83710359408001</v>
      </c>
      <c r="G74" s="33">
        <v>6927.3</v>
      </c>
      <c r="H74" s="33">
        <v>14943.64</v>
      </c>
      <c r="I74" s="33">
        <v>22122.47</v>
      </c>
      <c r="J74" s="33">
        <v>128558.04</v>
      </c>
      <c r="K74" s="33" t="s">
        <v>1509</v>
      </c>
      <c r="L74" s="40">
        <f>VLOOKUP(B74,'✈ Flights (2)'!$A$2:$R$501,13,FALSE)</f>
        <v>545.35</v>
      </c>
      <c r="M74">
        <f>VLOOKUP(B74,'✈ Flights (2)'!$A$2:$R$501,16,FALSE)</f>
        <v>291</v>
      </c>
      <c r="N74" t="str">
        <f>VLOOKUP(B74,'✈ Flights (2)'!$A$2:$R$501,14,FALSE)</f>
        <v>Business</v>
      </c>
      <c r="O74">
        <f>VLOOKUP(B74,'✈ Flights (2)'!$A$2:$P$502,12,FALSE)</f>
        <v>1419</v>
      </c>
    </row>
    <row r="75" spans="1:15">
      <c r="A75" s="38" t="s">
        <v>1578</v>
      </c>
      <c r="B75" s="38" t="s">
        <v>336</v>
      </c>
      <c r="C75" s="38" t="s">
        <v>184</v>
      </c>
      <c r="D75" s="33" t="str">
        <f>VLOOKUP(B75,'✈ Flights (2)'!$A$2:$P$502,3,FALSE)</f>
        <v>Spirit</v>
      </c>
      <c r="E75" s="38">
        <v>105107.01</v>
      </c>
      <c r="F75" s="33">
        <f t="shared" si="1"/>
        <v>73.450041928721205</v>
      </c>
      <c r="G75" s="38">
        <v>6777.42</v>
      </c>
      <c r="H75" s="38">
        <v>11490.23</v>
      </c>
      <c r="I75" s="38">
        <v>14770.98</v>
      </c>
      <c r="J75" s="38">
        <v>149742.81</v>
      </c>
      <c r="K75" s="38" t="s">
        <v>1502</v>
      </c>
      <c r="L75" s="40">
        <f>VLOOKUP(B75,'✈ Flights (2)'!$A$2:$R$501,13,FALSE)</f>
        <v>587.19000000000005</v>
      </c>
      <c r="M75">
        <f>VLOOKUP(B75,'✈ Flights (2)'!$A$2:$R$501,16,FALSE)</f>
        <v>179</v>
      </c>
      <c r="N75" t="str">
        <f>VLOOKUP(B75,'✈ Flights (2)'!$A$2:$R$501,14,FALSE)</f>
        <v>Business</v>
      </c>
      <c r="O75">
        <f>VLOOKUP(B75,'✈ Flights (2)'!$A$2:$P$502,12,FALSE)</f>
        <v>1431</v>
      </c>
    </row>
    <row r="76" spans="1:15">
      <c r="A76" s="33" t="s">
        <v>1579</v>
      </c>
      <c r="B76" s="33" t="s">
        <v>340</v>
      </c>
      <c r="C76" s="33" t="s">
        <v>96</v>
      </c>
      <c r="D76" s="33" t="str">
        <f>VLOOKUP(B76,'✈ Flights (2)'!$A$2:$P$502,3,FALSE)</f>
        <v>Jetblue</v>
      </c>
      <c r="E76" s="33">
        <v>99748.66</v>
      </c>
      <c r="F76" s="33">
        <f t="shared" si="1"/>
        <v>46.852353217473002</v>
      </c>
      <c r="G76" s="33">
        <v>2358.7399999999998</v>
      </c>
      <c r="H76" s="33">
        <v>4891.29</v>
      </c>
      <c r="I76" s="33">
        <v>20198.71</v>
      </c>
      <c r="J76" s="33">
        <v>77017.399999999994</v>
      </c>
      <c r="K76" s="33" t="s">
        <v>1502</v>
      </c>
      <c r="L76" s="40">
        <f>VLOOKUP(B76,'✈ Flights (2)'!$A$2:$R$501,13,FALSE)</f>
        <v>683.21</v>
      </c>
      <c r="M76">
        <f>VLOOKUP(B76,'✈ Flights (2)'!$A$2:$R$501,16,FALSE)</f>
        <v>146</v>
      </c>
      <c r="N76" t="str">
        <f>VLOOKUP(B76,'✈ Flights (2)'!$A$2:$R$501,14,FALSE)</f>
        <v>Business</v>
      </c>
      <c r="O76">
        <f>VLOOKUP(B76,'✈ Flights (2)'!$A$2:$P$502,12,FALSE)</f>
        <v>2129</v>
      </c>
    </row>
    <row r="77" spans="1:15">
      <c r="A77" s="38" t="s">
        <v>1580</v>
      </c>
      <c r="B77" s="38" t="s">
        <v>344</v>
      </c>
      <c r="C77" s="38" t="s">
        <v>24</v>
      </c>
      <c r="D77" s="33" t="str">
        <f>VLOOKUP(B77,'✈ Flights (2)'!$A$2:$P$502,3,FALSE)</f>
        <v>Southwest</v>
      </c>
      <c r="E77" s="38">
        <v>112144.52</v>
      </c>
      <c r="F77" s="33">
        <f t="shared" si="1"/>
        <v>234.61196652719701</v>
      </c>
      <c r="G77" s="38">
        <v>7353.16</v>
      </c>
      <c r="H77" s="38">
        <v>7431.03</v>
      </c>
      <c r="I77" s="38">
        <v>36438.81</v>
      </c>
      <c r="J77" s="38">
        <v>75627.839999999997</v>
      </c>
      <c r="K77" s="38" t="s">
        <v>1504</v>
      </c>
      <c r="L77" s="40">
        <f>VLOOKUP(B77,'✈ Flights (2)'!$A$2:$R$501,13,FALSE)</f>
        <v>436.36</v>
      </c>
      <c r="M77">
        <f>VLOOKUP(B77,'✈ Flights (2)'!$A$2:$R$501,16,FALSE)</f>
        <v>257</v>
      </c>
      <c r="N77" t="str">
        <f>VLOOKUP(B77,'✈ Flights (2)'!$A$2:$R$501,14,FALSE)</f>
        <v>Business</v>
      </c>
      <c r="O77">
        <f>VLOOKUP(B77,'✈ Flights (2)'!$A$2:$P$502,12,FALSE)</f>
        <v>478</v>
      </c>
    </row>
    <row r="78" spans="1:15">
      <c r="A78" s="33" t="s">
        <v>1581</v>
      </c>
      <c r="B78" s="33" t="s">
        <v>345</v>
      </c>
      <c r="C78" s="33" t="s">
        <v>57</v>
      </c>
      <c r="D78" s="33" t="str">
        <f>VLOOKUP(B78,'✈ Flights (2)'!$A$2:$P$502,3,FALSE)</f>
        <v>Frontier</v>
      </c>
      <c r="E78" s="33">
        <v>27218.560000000001</v>
      </c>
      <c r="F78" s="33">
        <f t="shared" si="1"/>
        <v>12.9427294341417</v>
      </c>
      <c r="G78" s="33">
        <v>800.44</v>
      </c>
      <c r="H78" s="33">
        <v>11991.88</v>
      </c>
      <c r="I78" s="33">
        <v>21472.84</v>
      </c>
      <c r="J78" s="33">
        <v>-14263</v>
      </c>
      <c r="K78" s="33" t="s">
        <v>1504</v>
      </c>
      <c r="L78" s="40">
        <f>VLOOKUP(B78,'✈ Flights (2)'!$A$2:$R$501,13,FALSE)</f>
        <v>191.68</v>
      </c>
      <c r="M78">
        <f>VLOOKUP(B78,'✈ Flights (2)'!$A$2:$R$501,16,FALSE)</f>
        <v>142</v>
      </c>
      <c r="N78" t="str">
        <f>VLOOKUP(B78,'✈ Flights (2)'!$A$2:$R$501,14,FALSE)</f>
        <v>Business</v>
      </c>
      <c r="O78">
        <f>VLOOKUP(B78,'✈ Flights (2)'!$A$2:$P$502,12,FALSE)</f>
        <v>2103</v>
      </c>
    </row>
    <row r="79" spans="1:15">
      <c r="A79" s="38" t="s">
        <v>1582</v>
      </c>
      <c r="B79" s="38" t="s">
        <v>348</v>
      </c>
      <c r="C79" s="38" t="s">
        <v>80</v>
      </c>
      <c r="D79" s="33" t="str">
        <f>VLOOKUP(B79,'✈ Flights (2)'!$A$2:$P$502,3,FALSE)</f>
        <v>United</v>
      </c>
      <c r="E79" s="38">
        <v>252291.12</v>
      </c>
      <c r="F79" s="33">
        <f t="shared" si="1"/>
        <v>401.73745222929898</v>
      </c>
      <c r="G79" s="38">
        <v>0</v>
      </c>
      <c r="H79" s="38">
        <v>7126.16</v>
      </c>
      <c r="I79" s="38">
        <v>19899.419999999998</v>
      </c>
      <c r="J79" s="38">
        <v>-27025.58</v>
      </c>
      <c r="K79" s="38" t="s">
        <v>1504</v>
      </c>
      <c r="L79" s="40">
        <f>VLOOKUP(B79,'✈ Flights (2)'!$A$2:$R$501,13,FALSE)</f>
        <v>1033.98</v>
      </c>
      <c r="M79">
        <f>VLOOKUP(B79,'✈ Flights (2)'!$A$2:$R$501,16,FALSE)</f>
        <v>244</v>
      </c>
      <c r="N79" t="str">
        <f>VLOOKUP(B79,'✈ Flights (2)'!$A$2:$R$501,14,FALSE)</f>
        <v>First Class</v>
      </c>
      <c r="O79">
        <f>VLOOKUP(B79,'✈ Flights (2)'!$A$2:$P$502,12,FALSE)</f>
        <v>628</v>
      </c>
    </row>
    <row r="80" spans="1:15">
      <c r="A80" s="33" t="s">
        <v>1583</v>
      </c>
      <c r="B80" s="33" t="s">
        <v>351</v>
      </c>
      <c r="C80" s="33" t="s">
        <v>49</v>
      </c>
      <c r="D80" s="33" t="str">
        <f>VLOOKUP(B80,'✈ Flights (2)'!$A$2:$P$502,3,FALSE)</f>
        <v>Delta</v>
      </c>
      <c r="E80" s="33">
        <v>76982.8</v>
      </c>
      <c r="F80" s="33">
        <f t="shared" si="1"/>
        <v>114.89970149253701</v>
      </c>
      <c r="G80" s="33">
        <v>3893.31</v>
      </c>
      <c r="H80" s="33">
        <v>9260.33</v>
      </c>
      <c r="I80" s="33">
        <v>13417.9</v>
      </c>
      <c r="J80" s="33">
        <v>101217.68</v>
      </c>
      <c r="K80" s="33" t="s">
        <v>1504</v>
      </c>
      <c r="L80" s="40">
        <f>VLOOKUP(B80,'✈ Flights (2)'!$A$2:$R$501,13,FALSE)</f>
        <v>566.04999999999995</v>
      </c>
      <c r="M80">
        <f>VLOOKUP(B80,'✈ Flights (2)'!$A$2:$R$501,16,FALSE)</f>
        <v>136</v>
      </c>
      <c r="N80" t="str">
        <f>VLOOKUP(B80,'✈ Flights (2)'!$A$2:$R$501,14,FALSE)</f>
        <v>Economy</v>
      </c>
      <c r="O80">
        <f>VLOOKUP(B80,'✈ Flights (2)'!$A$2:$P$502,12,FALSE)</f>
        <v>670</v>
      </c>
    </row>
    <row r="81" spans="1:15">
      <c r="A81" s="38" t="s">
        <v>1584</v>
      </c>
      <c r="B81" s="38" t="s">
        <v>353</v>
      </c>
      <c r="C81" s="38" t="s">
        <v>96</v>
      </c>
      <c r="D81" s="33" t="str">
        <f>VLOOKUP(B81,'✈ Flights (2)'!$A$2:$P$502,3,FALSE)</f>
        <v>American</v>
      </c>
      <c r="E81" s="38">
        <v>38999.879999999997</v>
      </c>
      <c r="F81" s="33">
        <f t="shared" si="1"/>
        <v>25.982598267821501</v>
      </c>
      <c r="G81" s="38">
        <v>5698.7</v>
      </c>
      <c r="H81" s="38">
        <v>4834.08</v>
      </c>
      <c r="I81" s="38">
        <v>19231.63</v>
      </c>
      <c r="J81" s="38">
        <v>20632.87</v>
      </c>
      <c r="K81" s="38" t="s">
        <v>1511</v>
      </c>
      <c r="L81" s="40">
        <f>VLOOKUP(B81,'✈ Flights (2)'!$A$2:$R$501,13,FALSE)</f>
        <v>481.48</v>
      </c>
      <c r="M81">
        <f>VLOOKUP(B81,'✈ Flights (2)'!$A$2:$R$501,16,FALSE)</f>
        <v>81</v>
      </c>
      <c r="N81" t="str">
        <f>VLOOKUP(B81,'✈ Flights (2)'!$A$2:$R$501,14,FALSE)</f>
        <v>Business</v>
      </c>
      <c r="O81">
        <f>VLOOKUP(B81,'✈ Flights (2)'!$A$2:$P$502,12,FALSE)</f>
        <v>1501</v>
      </c>
    </row>
    <row r="82" spans="1:15">
      <c r="A82" s="33" t="s">
        <v>1585</v>
      </c>
      <c r="B82" s="33" t="s">
        <v>356</v>
      </c>
      <c r="C82" s="33" t="s">
        <v>39</v>
      </c>
      <c r="D82" s="33" t="str">
        <f>VLOOKUP(B82,'✈ Flights (2)'!$A$2:$P$502,3,FALSE)</f>
        <v>American</v>
      </c>
      <c r="E82" s="33">
        <v>50353.81</v>
      </c>
      <c r="F82" s="33">
        <f t="shared" si="1"/>
        <v>39.155373250388799</v>
      </c>
      <c r="G82" s="33">
        <v>2718.43</v>
      </c>
      <c r="H82" s="33">
        <v>3179.48</v>
      </c>
      <c r="I82" s="33">
        <v>27667.41</v>
      </c>
      <c r="J82" s="33">
        <v>22225.35</v>
      </c>
      <c r="K82" s="33" t="s">
        <v>1509</v>
      </c>
      <c r="L82" s="40">
        <f>VLOOKUP(B82,'✈ Flights (2)'!$A$2:$R$501,13,FALSE)</f>
        <v>637.39</v>
      </c>
      <c r="M82">
        <f>VLOOKUP(B82,'✈ Flights (2)'!$A$2:$R$501,16,FALSE)</f>
        <v>79</v>
      </c>
      <c r="N82" t="str">
        <f>VLOOKUP(B82,'✈ Flights (2)'!$A$2:$R$501,14,FALSE)</f>
        <v>First Class</v>
      </c>
      <c r="O82">
        <f>VLOOKUP(B82,'✈ Flights (2)'!$A$2:$P$502,12,FALSE)</f>
        <v>1286</v>
      </c>
    </row>
    <row r="83" spans="1:15">
      <c r="A83" s="38" t="s">
        <v>1586</v>
      </c>
      <c r="B83" s="38" t="s">
        <v>359</v>
      </c>
      <c r="C83" s="38" t="s">
        <v>22</v>
      </c>
      <c r="D83" s="33" t="str">
        <f>VLOOKUP(B83,'✈ Flights (2)'!$A$2:$P$502,3,FALSE)</f>
        <v>Frontier</v>
      </c>
      <c r="E83" s="38">
        <v>58066.18</v>
      </c>
      <c r="F83" s="33">
        <f t="shared" si="1"/>
        <v>22.8787155240347</v>
      </c>
      <c r="G83" s="38">
        <v>0</v>
      </c>
      <c r="H83" s="38">
        <v>4103.4399999999996</v>
      </c>
      <c r="I83" s="38">
        <v>28416.25</v>
      </c>
      <c r="J83" s="38">
        <v>-32519.69</v>
      </c>
      <c r="K83" s="38" t="s">
        <v>1509</v>
      </c>
      <c r="L83" s="40">
        <f>VLOOKUP(B83,'✈ Flights (2)'!$A$2:$R$501,13,FALSE)</f>
        <v>256.93</v>
      </c>
      <c r="M83">
        <f>VLOOKUP(B83,'✈ Flights (2)'!$A$2:$R$501,16,FALSE)</f>
        <v>226</v>
      </c>
      <c r="N83" t="str">
        <f>VLOOKUP(B83,'✈ Flights (2)'!$A$2:$R$501,14,FALSE)</f>
        <v>Business</v>
      </c>
      <c r="O83">
        <f>VLOOKUP(B83,'✈ Flights (2)'!$A$2:$P$502,12,FALSE)</f>
        <v>2538</v>
      </c>
    </row>
    <row r="84" spans="1:15">
      <c r="A84" s="33" t="s">
        <v>1587</v>
      </c>
      <c r="B84" s="33" t="s">
        <v>363</v>
      </c>
      <c r="C84" s="33" t="s">
        <v>22</v>
      </c>
      <c r="D84" s="33" t="str">
        <f>VLOOKUP(B84,'✈ Flights (2)'!$A$2:$P$502,3,FALSE)</f>
        <v>Spirit</v>
      </c>
      <c r="E84" s="33">
        <v>28122.45</v>
      </c>
      <c r="F84" s="33">
        <f t="shared" si="1"/>
        <v>12.3398200965336</v>
      </c>
      <c r="G84" s="33">
        <v>6934.42</v>
      </c>
      <c r="H84" s="33">
        <v>2317.38</v>
      </c>
      <c r="I84" s="33">
        <v>31155.03</v>
      </c>
      <c r="J84" s="33">
        <v>1584.46</v>
      </c>
      <c r="K84" s="33" t="s">
        <v>1509</v>
      </c>
      <c r="L84" s="40">
        <f>VLOOKUP(B84,'✈ Flights (2)'!$A$2:$R$501,13,FALSE)</f>
        <v>199.45</v>
      </c>
      <c r="M84">
        <f>VLOOKUP(B84,'✈ Flights (2)'!$A$2:$R$501,16,FALSE)</f>
        <v>141</v>
      </c>
      <c r="N84" t="str">
        <f>VLOOKUP(B84,'✈ Flights (2)'!$A$2:$R$501,14,FALSE)</f>
        <v>Unknown</v>
      </c>
      <c r="O84">
        <f>VLOOKUP(B84,'✈ Flights (2)'!$A$2:$P$502,12,FALSE)</f>
        <v>2279</v>
      </c>
    </row>
    <row r="85" spans="1:15">
      <c r="A85" s="38" t="s">
        <v>1588</v>
      </c>
      <c r="B85" s="38" t="s">
        <v>366</v>
      </c>
      <c r="C85" s="38" t="s">
        <v>67</v>
      </c>
      <c r="D85" s="33" t="str">
        <f>VLOOKUP(B85,'✈ Flights (2)'!$A$2:$P$502,3,FALSE)</f>
        <v>Delta</v>
      </c>
      <c r="E85" s="38">
        <v>257246.12</v>
      </c>
      <c r="F85" s="33">
        <f t="shared" si="1"/>
        <v>110.216846615253</v>
      </c>
      <c r="G85" s="38">
        <v>3978.2</v>
      </c>
      <c r="H85" s="38">
        <v>11140.75</v>
      </c>
      <c r="I85" s="38">
        <v>9851.84</v>
      </c>
      <c r="J85" s="38">
        <v>240231.73</v>
      </c>
      <c r="K85" s="38" t="s">
        <v>1502</v>
      </c>
      <c r="L85" s="40">
        <f>VLOOKUP(B85,'✈ Flights (2)'!$A$2:$R$501,13,FALSE)</f>
        <v>1012.78</v>
      </c>
      <c r="M85">
        <f>VLOOKUP(B85,'✈ Flights (2)'!$A$2:$R$501,16,FALSE)</f>
        <v>254</v>
      </c>
      <c r="N85" t="str">
        <f>VLOOKUP(B85,'✈ Flights (2)'!$A$2:$R$501,14,FALSE)</f>
        <v>Business</v>
      </c>
      <c r="O85">
        <f>VLOOKUP(B85,'✈ Flights (2)'!$A$2:$P$502,12,FALSE)</f>
        <v>2334</v>
      </c>
    </row>
    <row r="86" spans="1:15">
      <c r="A86" s="33" t="s">
        <v>1589</v>
      </c>
      <c r="B86" s="33" t="s">
        <v>368</v>
      </c>
      <c r="C86" s="33" t="s">
        <v>184</v>
      </c>
      <c r="D86" s="33" t="str">
        <f>VLOOKUP(B86,'✈ Flights (2)'!$A$2:$P$502,3,FALSE)</f>
        <v>Southwest</v>
      </c>
      <c r="E86" s="33">
        <v>46761.644999999997</v>
      </c>
      <c r="F86" s="33">
        <f t="shared" si="1"/>
        <v>67.089878048780506</v>
      </c>
      <c r="G86" s="33">
        <v>6423.94</v>
      </c>
      <c r="H86" s="33">
        <v>8035.85</v>
      </c>
      <c r="I86" s="33">
        <v>17964.72</v>
      </c>
      <c r="J86" s="33">
        <v>55758.26</v>
      </c>
      <c r="K86" s="33" t="s">
        <v>1504</v>
      </c>
      <c r="L86" s="40">
        <f>VLOOKUP(B86,'✈ Flights (2)'!$A$2:$R$501,13,FALSE)</f>
        <v>677.70500000000004</v>
      </c>
      <c r="M86">
        <f>VLOOKUP(B86,'✈ Flights (2)'!$A$2:$R$501,16,FALSE)</f>
        <v>69</v>
      </c>
      <c r="N86" t="str">
        <f>VLOOKUP(B86,'✈ Flights (2)'!$A$2:$R$501,14,FALSE)</f>
        <v>First Class</v>
      </c>
      <c r="O86">
        <f>VLOOKUP(B86,'✈ Flights (2)'!$A$2:$P$502,12,FALSE)</f>
        <v>697</v>
      </c>
    </row>
    <row r="87" spans="1:15">
      <c r="A87" s="38" t="s">
        <v>1590</v>
      </c>
      <c r="B87" s="38" t="s">
        <v>371</v>
      </c>
      <c r="C87" s="38" t="s">
        <v>55</v>
      </c>
      <c r="D87" s="33" t="str">
        <f>VLOOKUP(B87,'✈ Flights (2)'!$A$2:$P$502,3,FALSE)</f>
        <v>American</v>
      </c>
      <c r="E87" s="38">
        <v>54040.74</v>
      </c>
      <c r="F87" s="33">
        <f t="shared" si="1"/>
        <v>48.164652406417098</v>
      </c>
      <c r="G87" s="38">
        <v>6952.87</v>
      </c>
      <c r="H87" s="38">
        <v>13614.65</v>
      </c>
      <c r="I87" s="38">
        <v>7474.45</v>
      </c>
      <c r="J87" s="38">
        <v>39904.51</v>
      </c>
      <c r="K87" s="38" t="s">
        <v>1511</v>
      </c>
      <c r="L87" s="40">
        <f>VLOOKUP(B87,'✈ Flights (2)'!$A$2:$R$501,13,FALSE)</f>
        <v>228.02</v>
      </c>
      <c r="M87">
        <f>VLOOKUP(B87,'✈ Flights (2)'!$A$2:$R$501,16,FALSE)</f>
        <v>237</v>
      </c>
      <c r="N87" t="str">
        <f>VLOOKUP(B87,'✈ Flights (2)'!$A$2:$R$501,14,FALSE)</f>
        <v>First Class</v>
      </c>
      <c r="O87">
        <f>VLOOKUP(B87,'✈ Flights (2)'!$A$2:$P$502,12,FALSE)</f>
        <v>1122</v>
      </c>
    </row>
    <row r="88" spans="1:15">
      <c r="A88" s="33" t="s">
        <v>1591</v>
      </c>
      <c r="B88" s="33" t="s">
        <v>373</v>
      </c>
      <c r="C88" s="33" t="s">
        <v>22</v>
      </c>
      <c r="D88" s="33" t="str">
        <f>VLOOKUP(B88,'✈ Flights (2)'!$A$2:$P$502,3,FALSE)</f>
        <v>American</v>
      </c>
      <c r="E88" s="33">
        <v>123953.08</v>
      </c>
      <c r="F88" s="33">
        <f t="shared" si="1"/>
        <v>55.885067628494099</v>
      </c>
      <c r="G88" s="33">
        <v>4481.8999999999996</v>
      </c>
      <c r="H88" s="33">
        <v>11787.54</v>
      </c>
      <c r="I88" s="33">
        <v>15380.65</v>
      </c>
      <c r="J88" s="33">
        <v>101266.79</v>
      </c>
      <c r="K88" s="33" t="s">
        <v>1502</v>
      </c>
      <c r="L88" s="40">
        <f>VLOOKUP(B88,'✈ Flights (2)'!$A$2:$R$501,13,FALSE)</f>
        <v>1158.44</v>
      </c>
      <c r="M88">
        <f>VLOOKUP(B88,'✈ Flights (2)'!$A$2:$R$501,16,FALSE)</f>
        <v>107</v>
      </c>
      <c r="N88" t="str">
        <f>VLOOKUP(B88,'✈ Flights (2)'!$A$2:$R$501,14,FALSE)</f>
        <v>Economy</v>
      </c>
      <c r="O88">
        <f>VLOOKUP(B88,'✈ Flights (2)'!$A$2:$P$502,12,FALSE)</f>
        <v>2218</v>
      </c>
    </row>
    <row r="89" spans="1:15">
      <c r="A89" s="38" t="s">
        <v>1592</v>
      </c>
      <c r="B89" s="38" t="s">
        <v>376</v>
      </c>
      <c r="C89" s="38" t="s">
        <v>67</v>
      </c>
      <c r="D89" s="33" t="str">
        <f>VLOOKUP(B89,'✈ Flights (2)'!$A$2:$P$502,3,FALSE)</f>
        <v>United</v>
      </c>
      <c r="E89" s="38">
        <v>103362.68</v>
      </c>
      <c r="F89" s="33">
        <f t="shared" si="1"/>
        <v>57.138021006080699</v>
      </c>
      <c r="G89" s="38">
        <v>6407.69</v>
      </c>
      <c r="H89" s="38">
        <v>13451.01</v>
      </c>
      <c r="I89" s="38">
        <v>7833.57</v>
      </c>
      <c r="J89" s="38">
        <v>88485.79</v>
      </c>
      <c r="K89" s="38" t="s">
        <v>1504</v>
      </c>
      <c r="L89" s="40">
        <f>VLOOKUP(B89,'✈ Flights (2)'!$A$2:$R$501,13,FALSE)</f>
        <v>833.57</v>
      </c>
      <c r="M89">
        <f>VLOOKUP(B89,'✈ Flights (2)'!$A$2:$R$501,16,FALSE)</f>
        <v>124</v>
      </c>
      <c r="N89" t="str">
        <f>VLOOKUP(B89,'✈ Flights (2)'!$A$2:$R$501,14,FALSE)</f>
        <v>First Class</v>
      </c>
      <c r="O89">
        <f>VLOOKUP(B89,'✈ Flights (2)'!$A$2:$P$502,12,FALSE)</f>
        <v>1809</v>
      </c>
    </row>
    <row r="90" spans="1:15">
      <c r="A90" s="33" t="s">
        <v>1593</v>
      </c>
      <c r="B90" s="33" t="s">
        <v>380</v>
      </c>
      <c r="C90" s="33" t="s">
        <v>24</v>
      </c>
      <c r="D90" s="33" t="str">
        <f>VLOOKUP(B90,'✈ Flights (2)'!$A$2:$P$502,3,FALSE)</f>
        <v>United</v>
      </c>
      <c r="E90" s="33">
        <v>231141.19</v>
      </c>
      <c r="F90" s="33">
        <f t="shared" si="1"/>
        <v>191.65936152570501</v>
      </c>
      <c r="G90" s="33">
        <v>4360.5200000000004</v>
      </c>
      <c r="H90" s="33">
        <v>6731.88</v>
      </c>
      <c r="I90" s="33">
        <v>36850.14</v>
      </c>
      <c r="J90" s="33">
        <v>191919.69</v>
      </c>
      <c r="K90" s="33" t="s">
        <v>1504</v>
      </c>
      <c r="L90" s="40">
        <f>VLOOKUP(B90,'✈ Flights (2)'!$A$2:$R$501,13,FALSE)</f>
        <v>805.37</v>
      </c>
      <c r="M90">
        <f>VLOOKUP(B90,'✈ Flights (2)'!$A$2:$R$501,16,FALSE)</f>
        <v>287</v>
      </c>
      <c r="N90" t="str">
        <f>VLOOKUP(B90,'✈ Flights (2)'!$A$2:$R$501,14,FALSE)</f>
        <v>First Class</v>
      </c>
      <c r="O90">
        <f>VLOOKUP(B90,'✈ Flights (2)'!$A$2:$P$502,12,FALSE)</f>
        <v>1206</v>
      </c>
    </row>
    <row r="91" spans="1:15">
      <c r="A91" s="38" t="s">
        <v>1594</v>
      </c>
      <c r="B91" s="38" t="s">
        <v>384</v>
      </c>
      <c r="C91" s="38" t="s">
        <v>102</v>
      </c>
      <c r="D91" s="33" t="str">
        <f>VLOOKUP(B91,'✈ Flights (2)'!$A$2:$P$502,3,FALSE)</f>
        <v>United</v>
      </c>
      <c r="E91" s="38">
        <v>18697.14</v>
      </c>
      <c r="F91" s="33">
        <f t="shared" si="1"/>
        <v>24.125341935483899</v>
      </c>
      <c r="G91" s="38">
        <v>1332.25</v>
      </c>
      <c r="H91" s="38">
        <v>10048.73</v>
      </c>
      <c r="I91" s="38">
        <v>17795.68</v>
      </c>
      <c r="J91" s="38">
        <v>-7815.02</v>
      </c>
      <c r="K91" s="38" t="s">
        <v>1511</v>
      </c>
      <c r="L91" s="40">
        <f>VLOOKUP(B91,'✈ Flights (2)'!$A$2:$R$501,13,FALSE)</f>
        <v>188.86</v>
      </c>
      <c r="M91">
        <f>VLOOKUP(B91,'✈ Flights (2)'!$A$2:$R$501,16,FALSE)</f>
        <v>99</v>
      </c>
      <c r="N91" t="str">
        <f>VLOOKUP(B91,'✈ Flights (2)'!$A$2:$R$501,14,FALSE)</f>
        <v>First Class</v>
      </c>
      <c r="O91">
        <f>VLOOKUP(B91,'✈ Flights (2)'!$A$2:$P$502,12,FALSE)</f>
        <v>775</v>
      </c>
    </row>
    <row r="92" spans="1:15">
      <c r="A92" s="33" t="s">
        <v>1595</v>
      </c>
      <c r="B92" s="33" t="s">
        <v>386</v>
      </c>
      <c r="C92" s="33" t="s">
        <v>130</v>
      </c>
      <c r="D92" s="33" t="str">
        <f>VLOOKUP(B92,'✈ Flights (2)'!$A$2:$P$502,3,FALSE)</f>
        <v>American</v>
      </c>
      <c r="E92" s="33">
        <v>116022.96</v>
      </c>
      <c r="F92" s="33">
        <f t="shared" si="1"/>
        <v>267.33400921659</v>
      </c>
      <c r="G92" s="33">
        <v>0</v>
      </c>
      <c r="H92" s="33">
        <v>10426.24</v>
      </c>
      <c r="I92" s="33">
        <v>17825.150000000001</v>
      </c>
      <c r="J92" s="33">
        <v>-28251.39</v>
      </c>
      <c r="K92" s="33" t="s">
        <v>1504</v>
      </c>
      <c r="L92" s="40">
        <f>VLOOKUP(B92,'✈ Flights (2)'!$A$2:$R$501,13,FALSE)</f>
        <v>853.11</v>
      </c>
      <c r="M92">
        <f>VLOOKUP(B92,'✈ Flights (2)'!$A$2:$R$501,16,FALSE)</f>
        <v>136</v>
      </c>
      <c r="N92" t="str">
        <f>VLOOKUP(B92,'✈ Flights (2)'!$A$2:$R$501,14,FALSE)</f>
        <v>Economy</v>
      </c>
      <c r="O92">
        <f>VLOOKUP(B92,'✈ Flights (2)'!$A$2:$P$502,12,FALSE)</f>
        <v>434</v>
      </c>
    </row>
    <row r="93" spans="1:15">
      <c r="A93" s="38" t="s">
        <v>1596</v>
      </c>
      <c r="B93" s="38" t="s">
        <v>391</v>
      </c>
      <c r="C93" s="38" t="s">
        <v>65</v>
      </c>
      <c r="D93" s="33" t="str">
        <f>VLOOKUP(B93,'✈ Flights (2)'!$A$2:$P$502,3,FALSE)</f>
        <v>United</v>
      </c>
      <c r="E93" s="38">
        <v>109695.18</v>
      </c>
      <c r="F93" s="33">
        <f t="shared" si="1"/>
        <v>56.836880829015499</v>
      </c>
      <c r="G93" s="38">
        <v>4705.6899999999996</v>
      </c>
      <c r="H93" s="38">
        <v>3799.28</v>
      </c>
      <c r="I93" s="38">
        <v>22778.588495934899</v>
      </c>
      <c r="J93" s="38">
        <v>78526.45</v>
      </c>
      <c r="K93" s="38" t="s">
        <v>1511</v>
      </c>
      <c r="L93" s="40">
        <f>VLOOKUP(B93,'✈ Flights (2)'!$A$2:$R$501,13,FALSE)</f>
        <v>388.99</v>
      </c>
      <c r="M93">
        <f>VLOOKUP(B93,'✈ Flights (2)'!$A$2:$R$501,16,FALSE)</f>
        <v>282</v>
      </c>
      <c r="N93" t="str">
        <f>VLOOKUP(B93,'✈ Flights (2)'!$A$2:$R$501,14,FALSE)</f>
        <v>Economy</v>
      </c>
      <c r="O93">
        <f>VLOOKUP(B93,'✈ Flights (2)'!$A$2:$P$502,12,FALSE)</f>
        <v>1930</v>
      </c>
    </row>
    <row r="94" spans="1:15">
      <c r="A94" s="33" t="s">
        <v>1597</v>
      </c>
      <c r="B94" s="33" t="s">
        <v>395</v>
      </c>
      <c r="C94" s="33" t="s">
        <v>57</v>
      </c>
      <c r="D94" s="33" t="str">
        <f>VLOOKUP(B94,'✈ Flights (2)'!$A$2:$P$502,3,FALSE)</f>
        <v>Delta</v>
      </c>
      <c r="E94" s="33">
        <v>19605</v>
      </c>
      <c r="F94" s="33">
        <f t="shared" si="1"/>
        <v>17.197368421052602</v>
      </c>
      <c r="G94" s="33">
        <v>2289.75</v>
      </c>
      <c r="H94" s="33">
        <v>8220.42</v>
      </c>
      <c r="I94" s="33">
        <v>8974.52</v>
      </c>
      <c r="J94" s="33">
        <v>4699.8100000000004</v>
      </c>
      <c r="K94" s="33" t="s">
        <v>1502</v>
      </c>
      <c r="L94" s="40">
        <f>VLOOKUP(B94,'✈ Flights (2)'!$A$2:$R$501,13,FALSE)</f>
        <v>156.84</v>
      </c>
      <c r="M94">
        <f>VLOOKUP(B94,'✈ Flights (2)'!$A$2:$R$501,16,FALSE)</f>
        <v>125</v>
      </c>
      <c r="N94" t="str">
        <f>VLOOKUP(B94,'✈ Flights (2)'!$A$2:$R$501,14,FALSE)</f>
        <v>First Class</v>
      </c>
      <c r="O94">
        <f>VLOOKUP(B94,'✈ Flights (2)'!$A$2:$P$502,12,FALSE)</f>
        <v>1140</v>
      </c>
    </row>
    <row r="95" spans="1:15">
      <c r="A95" s="38" t="s">
        <v>1598</v>
      </c>
      <c r="B95" s="38" t="s">
        <v>398</v>
      </c>
      <c r="C95" s="38" t="s">
        <v>102</v>
      </c>
      <c r="D95" s="33" t="str">
        <f>VLOOKUP(B95,'✈ Flights (2)'!$A$2:$P$502,3,FALSE)</f>
        <v>Alaska</v>
      </c>
      <c r="E95" s="38">
        <v>19118.689999999999</v>
      </c>
      <c r="F95" s="33">
        <f t="shared" si="1"/>
        <v>7.6109434713375803</v>
      </c>
      <c r="G95" s="38">
        <v>6148.8</v>
      </c>
      <c r="H95" s="38">
        <v>6166.03</v>
      </c>
      <c r="I95" s="38">
        <v>31631.01</v>
      </c>
      <c r="J95" s="38">
        <v>-12529.55</v>
      </c>
      <c r="K95" s="38" t="s">
        <v>1511</v>
      </c>
      <c r="L95" s="40">
        <f>VLOOKUP(B95,'✈ Flights (2)'!$A$2:$R$501,13,FALSE)</f>
        <v>360.73</v>
      </c>
      <c r="M95">
        <f>VLOOKUP(B95,'✈ Flights (2)'!$A$2:$R$501,16,FALSE)</f>
        <v>53</v>
      </c>
      <c r="N95" t="str">
        <f>VLOOKUP(B95,'✈ Flights (2)'!$A$2:$R$501,14,FALSE)</f>
        <v>Economy</v>
      </c>
      <c r="O95">
        <f>VLOOKUP(B95,'✈ Flights (2)'!$A$2:$P$502,12,FALSE)</f>
        <v>2512</v>
      </c>
    </row>
    <row r="96" spans="1:15">
      <c r="A96" s="33" t="s">
        <v>1599</v>
      </c>
      <c r="B96" s="33" t="s">
        <v>401</v>
      </c>
      <c r="C96" s="33" t="s">
        <v>74</v>
      </c>
      <c r="D96" s="33" t="str">
        <f>VLOOKUP(B96,'✈ Flights (2)'!$A$2:$P$502,3,FALSE)</f>
        <v>Southwest</v>
      </c>
      <c r="E96" s="33">
        <v>17535.63</v>
      </c>
      <c r="F96" s="33">
        <f t="shared" si="1"/>
        <v>34.116011673151803</v>
      </c>
      <c r="G96" s="33">
        <v>4276.74</v>
      </c>
      <c r="H96" s="33">
        <v>2707.98</v>
      </c>
      <c r="I96" s="33">
        <v>19802.52</v>
      </c>
      <c r="J96" s="33">
        <v>-698.13</v>
      </c>
      <c r="K96" s="33" t="s">
        <v>1511</v>
      </c>
      <c r="L96" s="40">
        <f>VLOOKUP(B96,'✈ Flights (2)'!$A$2:$R$501,13,FALSE)</f>
        <v>221.97</v>
      </c>
      <c r="M96">
        <f>VLOOKUP(B96,'✈ Flights (2)'!$A$2:$R$501,16,FALSE)</f>
        <v>79</v>
      </c>
      <c r="N96" t="str">
        <f>VLOOKUP(B96,'✈ Flights (2)'!$A$2:$R$501,14,FALSE)</f>
        <v>Business</v>
      </c>
      <c r="O96">
        <f>VLOOKUP(B96,'✈ Flights (2)'!$A$2:$P$502,12,FALSE)</f>
        <v>514</v>
      </c>
    </row>
    <row r="97" spans="1:15">
      <c r="A97" s="38" t="s">
        <v>1600</v>
      </c>
      <c r="B97" s="38" t="s">
        <v>404</v>
      </c>
      <c r="C97" s="38" t="s">
        <v>117</v>
      </c>
      <c r="D97" s="33" t="str">
        <f>VLOOKUP(B97,'✈ Flights (2)'!$A$2:$P$502,3,FALSE)</f>
        <v>Alaska</v>
      </c>
      <c r="E97" s="38">
        <v>284717.5</v>
      </c>
      <c r="F97" s="33">
        <f t="shared" si="1"/>
        <v>235.88856669428301</v>
      </c>
      <c r="G97" s="38">
        <v>3089.2</v>
      </c>
      <c r="H97" s="38">
        <v>8846.8700000000008</v>
      </c>
      <c r="I97" s="38">
        <v>22017.94</v>
      </c>
      <c r="J97" s="38">
        <v>256941.89</v>
      </c>
      <c r="K97" s="38" t="s">
        <v>1504</v>
      </c>
      <c r="L97" s="40">
        <f>VLOOKUP(B97,'✈ Flights (2)'!$A$2:$R$501,13,FALSE)</f>
        <v>1138.8699999999999</v>
      </c>
      <c r="M97">
        <f>VLOOKUP(B97,'✈ Flights (2)'!$A$2:$R$501,16,FALSE)</f>
        <v>250</v>
      </c>
      <c r="N97" t="str">
        <f>VLOOKUP(B97,'✈ Flights (2)'!$A$2:$R$501,14,FALSE)</f>
        <v>Economy</v>
      </c>
      <c r="O97">
        <f>VLOOKUP(B97,'✈ Flights (2)'!$A$2:$P$502,12,FALSE)</f>
        <v>1207</v>
      </c>
    </row>
    <row r="98" spans="1:15">
      <c r="A98" s="33" t="s">
        <v>1601</v>
      </c>
      <c r="B98" s="33" t="s">
        <v>409</v>
      </c>
      <c r="C98" s="33" t="s">
        <v>175</v>
      </c>
      <c r="D98" s="33" t="str">
        <f>VLOOKUP(B98,'✈ Flights (2)'!$A$2:$P$502,3,FALSE)</f>
        <v>Frontier</v>
      </c>
      <c r="E98" s="33">
        <v>37746</v>
      </c>
      <c r="F98" s="33">
        <f t="shared" si="1"/>
        <v>50.870619946091601</v>
      </c>
      <c r="G98" s="33">
        <v>4026.23</v>
      </c>
      <c r="H98" s="33">
        <v>12729.93</v>
      </c>
      <c r="I98" s="33">
        <v>23616.66</v>
      </c>
      <c r="J98" s="33">
        <v>5425.64</v>
      </c>
      <c r="K98" s="33" t="s">
        <v>1511</v>
      </c>
      <c r="L98" s="40">
        <f>VLOOKUP(B98,'✈ Flights (2)'!$A$2:$R$501,13,FALSE)</f>
        <v>629.1</v>
      </c>
      <c r="M98">
        <f>VLOOKUP(B98,'✈ Flights (2)'!$A$2:$R$501,16,FALSE)</f>
        <v>60</v>
      </c>
      <c r="N98" t="str">
        <f>VLOOKUP(B98,'✈ Flights (2)'!$A$2:$R$501,14,FALSE)</f>
        <v>Business</v>
      </c>
      <c r="O98">
        <f>VLOOKUP(B98,'✈ Flights (2)'!$A$2:$P$502,12,FALSE)</f>
        <v>742</v>
      </c>
    </row>
    <row r="99" spans="1:15">
      <c r="A99" s="38" t="s">
        <v>1602</v>
      </c>
      <c r="B99" s="38" t="s">
        <v>412</v>
      </c>
      <c r="C99" s="38" t="s">
        <v>102</v>
      </c>
      <c r="D99" s="33" t="str">
        <f>VLOOKUP(B99,'✈ Flights (2)'!$A$2:$P$502,3,FALSE)</f>
        <v>United</v>
      </c>
      <c r="E99" s="38">
        <v>137540.88</v>
      </c>
      <c r="F99" s="33">
        <f t="shared" si="1"/>
        <v>50.087720320466097</v>
      </c>
      <c r="G99" s="38">
        <v>3889.84</v>
      </c>
      <c r="H99" s="38">
        <v>10752.98</v>
      </c>
      <c r="I99" s="38">
        <v>17885.099999999999</v>
      </c>
      <c r="J99" s="38">
        <v>112792.64</v>
      </c>
      <c r="K99" s="38" t="s">
        <v>1504</v>
      </c>
      <c r="L99" s="40">
        <f>VLOOKUP(B99,'✈ Flights (2)'!$A$2:$R$501,13,FALSE)</f>
        <v>674.22</v>
      </c>
      <c r="M99">
        <f>VLOOKUP(B99,'✈ Flights (2)'!$A$2:$R$501,16,FALSE)</f>
        <v>204</v>
      </c>
      <c r="N99" t="str">
        <f>VLOOKUP(B99,'✈ Flights (2)'!$A$2:$R$501,14,FALSE)</f>
        <v>Business</v>
      </c>
      <c r="O99">
        <f>VLOOKUP(B99,'✈ Flights (2)'!$A$2:$P$502,12,FALSE)</f>
        <v>2746</v>
      </c>
    </row>
    <row r="100" spans="1:15">
      <c r="A100" s="33" t="s">
        <v>1603</v>
      </c>
      <c r="B100" s="33" t="s">
        <v>415</v>
      </c>
      <c r="C100" s="33" t="s">
        <v>130</v>
      </c>
      <c r="D100" s="33" t="str">
        <f>VLOOKUP(B100,'✈ Flights (2)'!$A$2:$P$502,3,FALSE)</f>
        <v>Southwest</v>
      </c>
      <c r="E100" s="33">
        <v>47392.2</v>
      </c>
      <c r="F100" s="33">
        <f t="shared" si="1"/>
        <v>21.971349095966598</v>
      </c>
      <c r="G100" s="33">
        <v>1912.65</v>
      </c>
      <c r="H100" s="33">
        <v>3135.01</v>
      </c>
      <c r="I100" s="33">
        <v>35939.26</v>
      </c>
      <c r="J100" s="33">
        <v>10230.58</v>
      </c>
      <c r="K100" s="33" t="s">
        <v>1509</v>
      </c>
      <c r="L100" s="40">
        <f>VLOOKUP(B100,'✈ Flights (2)'!$A$2:$R$501,13,FALSE)</f>
        <v>526.58000000000004</v>
      </c>
      <c r="M100">
        <f>VLOOKUP(B100,'✈ Flights (2)'!$A$2:$R$501,16,FALSE)</f>
        <v>90</v>
      </c>
      <c r="N100" t="str">
        <f>VLOOKUP(B100,'✈ Flights (2)'!$A$2:$R$501,14,FALSE)</f>
        <v>First Class</v>
      </c>
      <c r="O100">
        <f>VLOOKUP(B100,'✈ Flights (2)'!$A$2:$P$502,12,FALSE)</f>
        <v>2157</v>
      </c>
    </row>
    <row r="101" spans="1:15">
      <c r="A101" s="38" t="s">
        <v>1604</v>
      </c>
      <c r="B101" s="38" t="s">
        <v>419</v>
      </c>
      <c r="C101" s="38" t="s">
        <v>102</v>
      </c>
      <c r="D101" s="33" t="str">
        <f>VLOOKUP(B101,'✈ Flights (2)'!$A$2:$P$502,3,FALSE)</f>
        <v>Alaska</v>
      </c>
      <c r="E101" s="38">
        <v>81736.5</v>
      </c>
      <c r="F101" s="33">
        <f t="shared" si="1"/>
        <v>120.02422907489</v>
      </c>
      <c r="G101" s="38">
        <v>7234.59</v>
      </c>
      <c r="H101" s="38">
        <v>14436.15</v>
      </c>
      <c r="I101" s="38">
        <v>15093.04</v>
      </c>
      <c r="J101" s="38">
        <v>59441.9</v>
      </c>
      <c r="K101" s="38" t="s">
        <v>1504</v>
      </c>
      <c r="L101" s="40">
        <f>VLOOKUP(B101,'✈ Flights (2)'!$A$2:$R$501,13,FALSE)</f>
        <v>563.70000000000005</v>
      </c>
      <c r="M101">
        <f>VLOOKUP(B101,'✈ Flights (2)'!$A$2:$R$501,16,FALSE)</f>
        <v>145</v>
      </c>
      <c r="N101" t="str">
        <f>VLOOKUP(B101,'✈ Flights (2)'!$A$2:$R$501,14,FALSE)</f>
        <v>First Class</v>
      </c>
      <c r="O101">
        <f>VLOOKUP(B101,'✈ Flights (2)'!$A$2:$P$502,12,FALSE)</f>
        <v>681</v>
      </c>
    </row>
    <row r="102" spans="1:15">
      <c r="A102" s="33" t="s">
        <v>1605</v>
      </c>
      <c r="B102" s="33" t="s">
        <v>422</v>
      </c>
      <c r="C102" s="33" t="s">
        <v>198</v>
      </c>
      <c r="D102" s="33" t="str">
        <f>VLOOKUP(B102,'✈ Flights (2)'!$A$2:$P$502,3,FALSE)</f>
        <v>Alaska</v>
      </c>
      <c r="E102" s="33">
        <v>163045.4</v>
      </c>
      <c r="F102" s="33">
        <f t="shared" si="1"/>
        <v>319.69686274509797</v>
      </c>
      <c r="G102" s="33">
        <v>1735.75</v>
      </c>
      <c r="H102" s="33">
        <v>3923.4</v>
      </c>
      <c r="I102" s="33">
        <v>8920.86</v>
      </c>
      <c r="J102" s="33">
        <v>151936.89000000001</v>
      </c>
      <c r="K102" s="33" t="s">
        <v>1502</v>
      </c>
      <c r="L102" s="40">
        <f>VLOOKUP(B102,'✈ Flights (2)'!$A$2:$R$501,13,FALSE)</f>
        <v>1164.6099999999999</v>
      </c>
      <c r="M102">
        <f>VLOOKUP(B102,'✈ Flights (2)'!$A$2:$R$501,16,FALSE)</f>
        <v>140</v>
      </c>
      <c r="N102" t="str">
        <f>VLOOKUP(B102,'✈ Flights (2)'!$A$2:$R$501,14,FALSE)</f>
        <v>First Class</v>
      </c>
      <c r="O102">
        <f>VLOOKUP(B102,'✈ Flights (2)'!$A$2:$P$502,12,FALSE)</f>
        <v>510</v>
      </c>
    </row>
    <row r="103" spans="1:15">
      <c r="A103" s="38" t="s">
        <v>1606</v>
      </c>
      <c r="B103" s="38" t="s">
        <v>425</v>
      </c>
      <c r="C103" s="38" t="s">
        <v>102</v>
      </c>
      <c r="D103" s="33" t="str">
        <f>VLOOKUP(B103,'✈ Flights (2)'!$A$2:$P$502,3,FALSE)</f>
        <v>Southwest</v>
      </c>
      <c r="E103" s="38">
        <v>69817.14</v>
      </c>
      <c r="F103" s="33">
        <f t="shared" si="1"/>
        <v>27.081900698215701</v>
      </c>
      <c r="G103" s="38">
        <v>7062.45</v>
      </c>
      <c r="H103" s="38">
        <v>10154.59</v>
      </c>
      <c r="I103" s="38">
        <v>23224.07</v>
      </c>
      <c r="J103" s="38">
        <v>26292.48</v>
      </c>
      <c r="K103" s="38" t="s">
        <v>1511</v>
      </c>
      <c r="L103" s="40">
        <f>VLOOKUP(B103,'✈ Flights (2)'!$A$2:$R$501,13,FALSE)</f>
        <v>491.67</v>
      </c>
      <c r="M103">
        <f>VLOOKUP(B103,'✈ Flights (2)'!$A$2:$R$501,16,FALSE)</f>
        <v>142</v>
      </c>
      <c r="N103" t="str">
        <f>VLOOKUP(B103,'✈ Flights (2)'!$A$2:$R$501,14,FALSE)</f>
        <v>Business</v>
      </c>
      <c r="O103">
        <f>VLOOKUP(B103,'✈ Flights (2)'!$A$2:$P$502,12,FALSE)</f>
        <v>2578</v>
      </c>
    </row>
    <row r="104" spans="1:15">
      <c r="A104" s="33" t="s">
        <v>1607</v>
      </c>
      <c r="B104" s="33" t="s">
        <v>428</v>
      </c>
      <c r="C104" s="33" t="s">
        <v>175</v>
      </c>
      <c r="D104" s="33" t="str">
        <f>VLOOKUP(B104,'✈ Flights (2)'!$A$2:$P$502,3,FALSE)</f>
        <v>Jetblue</v>
      </c>
      <c r="E104" s="33">
        <v>18931.12</v>
      </c>
      <c r="F104" s="33">
        <f t="shared" si="1"/>
        <v>10.898744962579199</v>
      </c>
      <c r="G104" s="33">
        <v>3624.02</v>
      </c>
      <c r="H104" s="33">
        <v>14112.38</v>
      </c>
      <c r="I104" s="33">
        <v>28884.12</v>
      </c>
      <c r="J104" s="33">
        <v>-20441.36</v>
      </c>
      <c r="K104" s="33" t="s">
        <v>1509</v>
      </c>
      <c r="L104" s="40">
        <f>VLOOKUP(B104,'✈ Flights (2)'!$A$2:$R$501,13,FALSE)</f>
        <v>86.84</v>
      </c>
      <c r="M104">
        <f>VLOOKUP(B104,'✈ Flights (2)'!$A$2:$R$501,16,FALSE)</f>
        <v>218</v>
      </c>
      <c r="N104" t="str">
        <f>VLOOKUP(B104,'✈ Flights (2)'!$A$2:$R$501,14,FALSE)</f>
        <v>Economy</v>
      </c>
      <c r="O104">
        <f>VLOOKUP(B104,'✈ Flights (2)'!$A$2:$P$502,12,FALSE)</f>
        <v>1737</v>
      </c>
    </row>
    <row r="105" spans="1:15">
      <c r="A105" s="38" t="s">
        <v>1608</v>
      </c>
      <c r="B105" s="38" t="s">
        <v>431</v>
      </c>
      <c r="C105" s="38" t="s">
        <v>55</v>
      </c>
      <c r="D105" s="33" t="str">
        <f>VLOOKUP(B105,'✈ Flights (2)'!$A$2:$P$502,3,FALSE)</f>
        <v>Delta</v>
      </c>
      <c r="E105" s="38">
        <v>61419.4</v>
      </c>
      <c r="F105" s="33">
        <f t="shared" si="1"/>
        <v>28.461260426320699</v>
      </c>
      <c r="G105" s="38">
        <v>3100.25</v>
      </c>
      <c r="H105" s="38">
        <v>10380.9</v>
      </c>
      <c r="I105" s="38">
        <v>20535.099999999999</v>
      </c>
      <c r="J105" s="38">
        <v>33603.65</v>
      </c>
      <c r="K105" s="38" t="s">
        <v>1511</v>
      </c>
      <c r="L105" s="40">
        <f>VLOOKUP(B105,'✈ Flights (2)'!$A$2:$R$501,13,FALSE)</f>
        <v>461.8</v>
      </c>
      <c r="M105">
        <f>VLOOKUP(B105,'✈ Flights (2)'!$A$2:$R$501,16,FALSE)</f>
        <v>133</v>
      </c>
      <c r="N105" t="str">
        <f>VLOOKUP(B105,'✈ Flights (2)'!$A$2:$R$501,14,FALSE)</f>
        <v>Business</v>
      </c>
      <c r="O105">
        <f>VLOOKUP(B105,'✈ Flights (2)'!$A$2:$P$502,12,FALSE)</f>
        <v>2158</v>
      </c>
    </row>
    <row r="106" spans="1:15">
      <c r="A106" s="33" t="s">
        <v>1609</v>
      </c>
      <c r="B106" s="33" t="s">
        <v>434</v>
      </c>
      <c r="C106" s="33" t="s">
        <v>102</v>
      </c>
      <c r="D106" s="33" t="str">
        <f>VLOOKUP(B106,'✈ Flights (2)'!$A$2:$P$502,3,FALSE)</f>
        <v>Delta</v>
      </c>
      <c r="E106" s="33">
        <v>100875.63</v>
      </c>
      <c r="F106" s="33">
        <f t="shared" si="1"/>
        <v>159.10982649842299</v>
      </c>
      <c r="G106" s="33">
        <v>1917.95</v>
      </c>
      <c r="H106" s="33">
        <v>12425.86</v>
      </c>
      <c r="I106" s="33">
        <v>5771.28</v>
      </c>
      <c r="J106" s="33">
        <v>50669.05</v>
      </c>
      <c r="K106" s="33" t="s">
        <v>1511</v>
      </c>
      <c r="L106" s="40">
        <f>VLOOKUP(B106,'✈ Flights (2)'!$A$2:$R$501,13,FALSE)</f>
        <v>579.745</v>
      </c>
      <c r="M106">
        <f>VLOOKUP(B106,'✈ Flights (2)'!$A$2:$R$501,16,FALSE)</f>
        <v>174</v>
      </c>
      <c r="N106" t="str">
        <f>VLOOKUP(B106,'✈ Flights (2)'!$A$2:$R$501,14,FALSE)</f>
        <v>First Class</v>
      </c>
      <c r="O106">
        <f>VLOOKUP(B106,'✈ Flights (2)'!$A$2:$P$502,12,FALSE)</f>
        <v>634</v>
      </c>
    </row>
    <row r="107" spans="1:15">
      <c r="A107" s="38" t="s">
        <v>1610</v>
      </c>
      <c r="B107" s="38" t="s">
        <v>436</v>
      </c>
      <c r="C107" s="38" t="s">
        <v>184</v>
      </c>
      <c r="D107" s="33" t="str">
        <f>VLOOKUP(B107,'✈ Flights (2)'!$A$2:$P$502,3,FALSE)</f>
        <v>Jetblue</v>
      </c>
      <c r="E107" s="38">
        <v>69119.759999999995</v>
      </c>
      <c r="F107" s="33">
        <f t="shared" si="1"/>
        <v>91.670769230769196</v>
      </c>
      <c r="G107" s="38">
        <v>3587.69</v>
      </c>
      <c r="H107" s="38">
        <v>10398.67</v>
      </c>
      <c r="I107" s="38">
        <v>16997.740000000002</v>
      </c>
      <c r="J107" s="38">
        <v>45311.040000000001</v>
      </c>
      <c r="K107" s="38" t="s">
        <v>1511</v>
      </c>
      <c r="L107" s="40">
        <f>VLOOKUP(B107,'✈ Flights (2)'!$A$2:$R$501,13,FALSE)</f>
        <v>397.24</v>
      </c>
      <c r="M107">
        <f>VLOOKUP(B107,'✈ Flights (2)'!$A$2:$R$501,16,FALSE)</f>
        <v>174</v>
      </c>
      <c r="N107" t="str">
        <f>VLOOKUP(B107,'✈ Flights (2)'!$A$2:$R$501,14,FALSE)</f>
        <v>First Class</v>
      </c>
      <c r="O107">
        <f>VLOOKUP(B107,'✈ Flights (2)'!$A$2:$P$502,12,FALSE)</f>
        <v>754</v>
      </c>
    </row>
    <row r="108" spans="1:15">
      <c r="A108" s="33" t="s">
        <v>1611</v>
      </c>
      <c r="B108" s="33" t="s">
        <v>440</v>
      </c>
      <c r="C108" s="33" t="s">
        <v>24</v>
      </c>
      <c r="D108" s="33" t="str">
        <f>VLOOKUP(B108,'✈ Flights (2)'!$A$2:$P$502,3,FALSE)</f>
        <v>Delta</v>
      </c>
      <c r="E108" s="33">
        <v>35495.15</v>
      </c>
      <c r="F108" s="33">
        <f t="shared" si="1"/>
        <v>31.218249780123099</v>
      </c>
      <c r="G108" s="33">
        <v>4146.1099999999997</v>
      </c>
      <c r="H108" s="33">
        <v>8892.16</v>
      </c>
      <c r="I108" s="33">
        <v>28304.94</v>
      </c>
      <c r="J108" s="33">
        <v>2444.16</v>
      </c>
      <c r="K108" s="33" t="s">
        <v>1509</v>
      </c>
      <c r="L108" s="40">
        <f>VLOOKUP(B108,'✈ Flights (2)'!$A$2:$R$501,13,FALSE)</f>
        <v>417.59</v>
      </c>
      <c r="M108">
        <f>VLOOKUP(B108,'✈ Flights (2)'!$A$2:$R$501,16,FALSE)</f>
        <v>85</v>
      </c>
      <c r="N108" t="str">
        <f>VLOOKUP(B108,'✈ Flights (2)'!$A$2:$R$501,14,FALSE)</f>
        <v>Economy</v>
      </c>
      <c r="O108">
        <f>VLOOKUP(B108,'✈ Flights (2)'!$A$2:$P$502,12,FALSE)</f>
        <v>1137</v>
      </c>
    </row>
    <row r="109" spans="1:15">
      <c r="A109" s="38" t="s">
        <v>1612</v>
      </c>
      <c r="B109" s="38" t="s">
        <v>443</v>
      </c>
      <c r="C109" s="38" t="s">
        <v>175</v>
      </c>
      <c r="D109" s="33" t="str">
        <f>VLOOKUP(B109,'✈ Flights (2)'!$A$2:$P$502,3,FALSE)</f>
        <v>United</v>
      </c>
      <c r="E109" s="38">
        <v>57664.62</v>
      </c>
      <c r="F109" s="33">
        <f t="shared" si="1"/>
        <v>69.559252110977098</v>
      </c>
      <c r="G109" s="38">
        <v>3935.05</v>
      </c>
      <c r="H109" s="38">
        <v>13677.66</v>
      </c>
      <c r="I109" s="38">
        <v>24853.81</v>
      </c>
      <c r="J109" s="38">
        <v>23068.2</v>
      </c>
      <c r="K109" s="38" t="s">
        <v>1511</v>
      </c>
      <c r="L109" s="40">
        <f>VLOOKUP(B109,'✈ Flights (2)'!$A$2:$R$501,13,FALSE)</f>
        <v>505.83</v>
      </c>
      <c r="M109">
        <f>VLOOKUP(B109,'✈ Flights (2)'!$A$2:$R$501,16,FALSE)</f>
        <v>114</v>
      </c>
      <c r="N109" t="str">
        <f>VLOOKUP(B109,'✈ Flights (2)'!$A$2:$R$501,14,FALSE)</f>
        <v>First Class</v>
      </c>
      <c r="O109">
        <f>VLOOKUP(B109,'✈ Flights (2)'!$A$2:$P$502,12,FALSE)</f>
        <v>829</v>
      </c>
    </row>
    <row r="110" spans="1:15">
      <c r="A110" s="33" t="s">
        <v>1613</v>
      </c>
      <c r="B110" s="33" t="s">
        <v>446</v>
      </c>
      <c r="C110" s="33" t="s">
        <v>67</v>
      </c>
      <c r="D110" s="33" t="str">
        <f>VLOOKUP(B110,'✈ Flights (2)'!$A$2:$P$502,3,FALSE)</f>
        <v>United</v>
      </c>
      <c r="E110" s="33">
        <v>204929.76</v>
      </c>
      <c r="F110" s="33">
        <f t="shared" si="1"/>
        <v>331.601553398058</v>
      </c>
      <c r="G110" s="33">
        <v>1788.03</v>
      </c>
      <c r="H110" s="33">
        <v>8295.16</v>
      </c>
      <c r="I110" s="33">
        <v>14100.26</v>
      </c>
      <c r="J110" s="33">
        <v>184322.37</v>
      </c>
      <c r="K110" s="33" t="s">
        <v>1511</v>
      </c>
      <c r="L110" s="40">
        <f>VLOOKUP(B110,'✈ Flights (2)'!$A$2:$R$501,13,FALSE)</f>
        <v>1045.56</v>
      </c>
      <c r="M110">
        <f>VLOOKUP(B110,'✈ Flights (2)'!$A$2:$R$501,16,FALSE)</f>
        <v>196</v>
      </c>
      <c r="N110" t="str">
        <f>VLOOKUP(B110,'✈ Flights (2)'!$A$2:$R$501,14,FALSE)</f>
        <v>First Class</v>
      </c>
      <c r="O110">
        <f>VLOOKUP(B110,'✈ Flights (2)'!$A$2:$P$502,12,FALSE)</f>
        <v>618</v>
      </c>
    </row>
    <row r="111" spans="1:15">
      <c r="A111" s="38" t="s">
        <v>1614</v>
      </c>
      <c r="B111" s="38" t="s">
        <v>449</v>
      </c>
      <c r="C111" s="38" t="s">
        <v>198</v>
      </c>
      <c r="D111" s="33" t="str">
        <f>VLOOKUP(B111,'✈ Flights (2)'!$A$2:$P$502,3,FALSE)</f>
        <v>Jetblue</v>
      </c>
      <c r="E111" s="38">
        <v>139897.85</v>
      </c>
      <c r="F111" s="33">
        <f t="shared" si="1"/>
        <v>49.416407629812802</v>
      </c>
      <c r="G111" s="38">
        <v>6273.12</v>
      </c>
      <c r="H111" s="38">
        <v>6590.57</v>
      </c>
      <c r="I111" s="38">
        <v>6656.16</v>
      </c>
      <c r="J111" s="38">
        <v>132924.24</v>
      </c>
      <c r="K111" s="38" t="s">
        <v>1509</v>
      </c>
      <c r="L111" s="40">
        <f>VLOOKUP(B111,'✈ Flights (2)'!$A$2:$R$501,13,FALSE)</f>
        <v>595.30999999999995</v>
      </c>
      <c r="M111">
        <f>VLOOKUP(B111,'✈ Flights (2)'!$A$2:$R$501,16,FALSE)</f>
        <v>235</v>
      </c>
      <c r="N111" t="str">
        <f>VLOOKUP(B111,'✈ Flights (2)'!$A$2:$R$501,14,FALSE)</f>
        <v>First Class</v>
      </c>
      <c r="O111">
        <f>VLOOKUP(B111,'✈ Flights (2)'!$A$2:$P$502,12,FALSE)</f>
        <v>2831</v>
      </c>
    </row>
    <row r="112" spans="1:15">
      <c r="A112" s="33" t="s">
        <v>1615</v>
      </c>
      <c r="B112" s="33" t="s">
        <v>451</v>
      </c>
      <c r="C112" s="33" t="s">
        <v>130</v>
      </c>
      <c r="D112" s="33" t="str">
        <f>VLOOKUP(B112,'✈ Flights (2)'!$A$2:$P$502,3,FALSE)</f>
        <v>Southwest</v>
      </c>
      <c r="E112" s="33">
        <v>85122.9</v>
      </c>
      <c r="F112" s="33">
        <f t="shared" si="1"/>
        <v>54.218407643312098</v>
      </c>
      <c r="G112" s="33">
        <v>7671.6</v>
      </c>
      <c r="H112" s="33">
        <v>4090.27</v>
      </c>
      <c r="I112" s="33">
        <v>26652.06</v>
      </c>
      <c r="J112" s="33">
        <v>62052.17</v>
      </c>
      <c r="K112" s="33" t="s">
        <v>1511</v>
      </c>
      <c r="L112" s="40">
        <f>VLOOKUP(B112,'✈ Flights (2)'!$A$2:$R$501,13,FALSE)</f>
        <v>915.3</v>
      </c>
      <c r="M112">
        <f>VLOOKUP(B112,'✈ Flights (2)'!$A$2:$R$501,16,FALSE)</f>
        <v>93</v>
      </c>
      <c r="N112" t="str">
        <f>VLOOKUP(B112,'✈ Flights (2)'!$A$2:$R$501,14,FALSE)</f>
        <v>Economy</v>
      </c>
      <c r="O112">
        <f>VLOOKUP(B112,'✈ Flights (2)'!$A$2:$P$502,12,FALSE)</f>
        <v>1570</v>
      </c>
    </row>
    <row r="113" spans="1:15">
      <c r="A113" s="38" t="s">
        <v>1616</v>
      </c>
      <c r="B113" s="38" t="s">
        <v>455</v>
      </c>
      <c r="C113" s="38" t="s">
        <v>65</v>
      </c>
      <c r="D113" s="33" t="str">
        <f>VLOOKUP(B113,'✈ Flights (2)'!$A$2:$P$502,3,FALSE)</f>
        <v>Southwest</v>
      </c>
      <c r="E113" s="38">
        <v>30990.54</v>
      </c>
      <c r="F113" s="33">
        <f t="shared" si="1"/>
        <v>42.982718446601901</v>
      </c>
      <c r="G113" s="38">
        <v>1867.1</v>
      </c>
      <c r="H113" s="38">
        <v>11205.45</v>
      </c>
      <c r="I113" s="38">
        <v>11137.58</v>
      </c>
      <c r="J113" s="38">
        <v>10514.61</v>
      </c>
      <c r="K113" s="38" t="s">
        <v>1502</v>
      </c>
      <c r="L113" s="40">
        <f>VLOOKUP(B113,'✈ Flights (2)'!$A$2:$R$501,13,FALSE)</f>
        <v>244.02</v>
      </c>
      <c r="M113">
        <f>VLOOKUP(B113,'✈ Flights (2)'!$A$2:$R$501,16,FALSE)</f>
        <v>127</v>
      </c>
      <c r="N113" t="str">
        <f>VLOOKUP(B113,'✈ Flights (2)'!$A$2:$R$501,14,FALSE)</f>
        <v>Economy</v>
      </c>
      <c r="O113">
        <f>VLOOKUP(B113,'✈ Flights (2)'!$A$2:$P$502,12,FALSE)</f>
        <v>721</v>
      </c>
    </row>
    <row r="114" spans="1:15">
      <c r="A114" s="33" t="s">
        <v>1617</v>
      </c>
      <c r="B114" s="33" t="s">
        <v>457</v>
      </c>
      <c r="C114" s="33" t="s">
        <v>80</v>
      </c>
      <c r="D114" s="33" t="str">
        <f>VLOOKUP(B114,'✈ Flights (2)'!$A$2:$P$502,3,FALSE)</f>
        <v>American</v>
      </c>
      <c r="E114" s="33">
        <v>104019.5</v>
      </c>
      <c r="F114" s="33">
        <f t="shared" si="1"/>
        <v>39.823698315467098</v>
      </c>
      <c r="G114" s="33">
        <v>1709.41</v>
      </c>
      <c r="H114" s="33">
        <v>14919.05</v>
      </c>
      <c r="I114" s="33">
        <v>9092.11</v>
      </c>
      <c r="J114" s="33">
        <v>81717.75</v>
      </c>
      <c r="K114" s="33" t="s">
        <v>1502</v>
      </c>
      <c r="L114" s="40">
        <f>VLOOKUP(B114,'✈ Flights (2)'!$A$2:$R$501,13,FALSE)</f>
        <v>800.15</v>
      </c>
      <c r="M114">
        <f>VLOOKUP(B114,'✈ Flights (2)'!$A$2:$R$501,16,FALSE)</f>
        <v>130</v>
      </c>
      <c r="N114" t="str">
        <f>VLOOKUP(B114,'✈ Flights (2)'!$A$2:$R$501,14,FALSE)</f>
        <v>First Class</v>
      </c>
      <c r="O114">
        <f>VLOOKUP(B114,'✈ Flights (2)'!$A$2:$P$502,12,FALSE)</f>
        <v>2612</v>
      </c>
    </row>
    <row r="115" spans="1:15">
      <c r="A115" s="38" t="s">
        <v>1618</v>
      </c>
      <c r="B115" s="38" t="s">
        <v>460</v>
      </c>
      <c r="C115" s="38" t="s">
        <v>41</v>
      </c>
      <c r="D115" s="33" t="str">
        <f>VLOOKUP(B115,'✈ Flights (2)'!$A$2:$P$502,3,FALSE)</f>
        <v>Frontier</v>
      </c>
      <c r="E115" s="38">
        <v>9622.31</v>
      </c>
      <c r="F115" s="33">
        <f t="shared" si="1"/>
        <v>4.04638772077376</v>
      </c>
      <c r="G115" s="38">
        <v>3806.66</v>
      </c>
      <c r="H115" s="38">
        <v>4667.0200000000004</v>
      </c>
      <c r="I115" s="38">
        <v>17938.53</v>
      </c>
      <c r="J115" s="38">
        <v>-9176.58</v>
      </c>
      <c r="K115" s="38" t="s">
        <v>1504</v>
      </c>
      <c r="L115" s="40">
        <f>VLOOKUP(B115,'✈ Flights (2)'!$A$2:$R$501,13,FALSE)</f>
        <v>163.09</v>
      </c>
      <c r="M115">
        <f>VLOOKUP(B115,'✈ Flights (2)'!$A$2:$R$501,16,FALSE)</f>
        <v>59</v>
      </c>
      <c r="N115" t="str">
        <f>VLOOKUP(B115,'✈ Flights (2)'!$A$2:$R$501,14,FALSE)</f>
        <v>Business</v>
      </c>
      <c r="O115">
        <f>VLOOKUP(B115,'✈ Flights (2)'!$A$2:$P$502,12,FALSE)</f>
        <v>2378</v>
      </c>
    </row>
    <row r="116" spans="1:15">
      <c r="A116" s="33" t="s">
        <v>1619</v>
      </c>
      <c r="B116" s="33" t="s">
        <v>463</v>
      </c>
      <c r="C116" s="33" t="s">
        <v>55</v>
      </c>
      <c r="D116" s="33" t="str">
        <f>VLOOKUP(B116,'✈ Flights (2)'!$A$2:$P$502,3,FALSE)</f>
        <v>United</v>
      </c>
      <c r="E116" s="33">
        <v>81560.539999999994</v>
      </c>
      <c r="F116" s="33">
        <f t="shared" si="1"/>
        <v>31.735618677042801</v>
      </c>
      <c r="G116" s="33">
        <v>5491.65</v>
      </c>
      <c r="H116" s="33">
        <v>3923.27</v>
      </c>
      <c r="I116" s="33">
        <v>39230.79</v>
      </c>
      <c r="J116" s="33">
        <v>43898.13</v>
      </c>
      <c r="K116" s="33" t="s">
        <v>1509</v>
      </c>
      <c r="L116" s="40">
        <f>VLOOKUP(B116,'✈ Flights (2)'!$A$2:$R$501,13,FALSE)</f>
        <v>1148.74</v>
      </c>
      <c r="M116">
        <f>VLOOKUP(B116,'✈ Flights (2)'!$A$2:$R$501,16,FALSE)</f>
        <v>71</v>
      </c>
      <c r="N116" t="str">
        <f>VLOOKUP(B116,'✈ Flights (2)'!$A$2:$R$501,14,FALSE)</f>
        <v>First Class</v>
      </c>
      <c r="O116">
        <f>VLOOKUP(B116,'✈ Flights (2)'!$A$2:$P$502,12,FALSE)</f>
        <v>2570</v>
      </c>
    </row>
    <row r="117" spans="1:15">
      <c r="A117" s="38" t="s">
        <v>1620</v>
      </c>
      <c r="B117" s="38" t="s">
        <v>467</v>
      </c>
      <c r="C117" s="38" t="s">
        <v>49</v>
      </c>
      <c r="D117" s="33" t="str">
        <f>VLOOKUP(B117,'✈ Flights (2)'!$A$2:$P$502,3,FALSE)</f>
        <v>Alaska</v>
      </c>
      <c r="E117" s="38">
        <v>27820.639999999999</v>
      </c>
      <c r="F117" s="33">
        <f t="shared" si="1"/>
        <v>12.9699953379953</v>
      </c>
      <c r="G117" s="38">
        <v>4549</v>
      </c>
      <c r="H117" s="38">
        <v>5920.28</v>
      </c>
      <c r="I117" s="38">
        <v>10690.92</v>
      </c>
      <c r="J117" s="38">
        <v>1848.12</v>
      </c>
      <c r="K117" s="38" t="s">
        <v>1504</v>
      </c>
      <c r="L117" s="40">
        <f>VLOOKUP(B117,'✈ Flights (2)'!$A$2:$R$501,13,FALSE)</f>
        <v>195.92</v>
      </c>
      <c r="M117">
        <f>VLOOKUP(B117,'✈ Flights (2)'!$A$2:$R$501,16,FALSE)</f>
        <v>142</v>
      </c>
      <c r="N117" t="str">
        <f>VLOOKUP(B117,'✈ Flights (2)'!$A$2:$R$501,14,FALSE)</f>
        <v>Business</v>
      </c>
      <c r="O117">
        <f>VLOOKUP(B117,'✈ Flights (2)'!$A$2:$P$502,12,FALSE)</f>
        <v>2145</v>
      </c>
    </row>
    <row r="118" spans="1:15">
      <c r="A118" s="33" t="s">
        <v>1621</v>
      </c>
      <c r="B118" s="33" t="s">
        <v>471</v>
      </c>
      <c r="C118" s="33" t="s">
        <v>24</v>
      </c>
      <c r="D118" s="33" t="str">
        <f>VLOOKUP(B118,'✈ Flights (2)'!$A$2:$P$502,3,FALSE)</f>
        <v>Delta</v>
      </c>
      <c r="E118" s="33">
        <v>150700.24</v>
      </c>
      <c r="F118" s="33">
        <f t="shared" si="1"/>
        <v>82.4850793650794</v>
      </c>
      <c r="G118" s="33">
        <v>3534.22</v>
      </c>
      <c r="H118" s="33">
        <v>3889.99</v>
      </c>
      <c r="I118" s="33">
        <v>22479.59</v>
      </c>
      <c r="J118" s="33">
        <v>127864.88</v>
      </c>
      <c r="K118" s="33" t="s">
        <v>1509</v>
      </c>
      <c r="L118" s="40">
        <f>VLOOKUP(B118,'✈ Flights (2)'!$A$2:$R$501,13,FALSE)</f>
        <v>1108.0899999999999</v>
      </c>
      <c r="M118">
        <f>VLOOKUP(B118,'✈ Flights (2)'!$A$2:$R$501,16,FALSE)</f>
        <v>136</v>
      </c>
      <c r="N118" t="str">
        <f>VLOOKUP(B118,'✈ Flights (2)'!$A$2:$R$501,14,FALSE)</f>
        <v>Business</v>
      </c>
      <c r="O118">
        <f>VLOOKUP(B118,'✈ Flights (2)'!$A$2:$P$502,12,FALSE)</f>
        <v>1827</v>
      </c>
    </row>
    <row r="119" spans="1:15">
      <c r="A119" s="38" t="s">
        <v>1622</v>
      </c>
      <c r="B119" s="38" t="s">
        <v>474</v>
      </c>
      <c r="C119" s="38" t="s">
        <v>157</v>
      </c>
      <c r="D119" s="33" t="str">
        <f>VLOOKUP(B119,'✈ Flights (2)'!$A$2:$P$502,3,FALSE)</f>
        <v>United</v>
      </c>
      <c r="E119" s="38">
        <v>112213.08</v>
      </c>
      <c r="F119" s="33">
        <f t="shared" si="1"/>
        <v>84.244054054054104</v>
      </c>
      <c r="G119" s="38">
        <v>7458.58</v>
      </c>
      <c r="H119" s="38">
        <v>14611.95</v>
      </c>
      <c r="I119" s="38">
        <v>10461.86</v>
      </c>
      <c r="J119" s="38">
        <v>94597.85</v>
      </c>
      <c r="K119" s="38" t="s">
        <v>1511</v>
      </c>
      <c r="L119" s="40">
        <f>VLOOKUP(B119,'✈ Flights (2)'!$A$2:$R$501,13,FALSE)</f>
        <v>890.58</v>
      </c>
      <c r="M119">
        <f>VLOOKUP(B119,'✈ Flights (2)'!$A$2:$R$501,16,FALSE)</f>
        <v>126</v>
      </c>
      <c r="N119" t="str">
        <f>VLOOKUP(B119,'✈ Flights (2)'!$A$2:$R$501,14,FALSE)</f>
        <v>First Class</v>
      </c>
      <c r="O119">
        <f>VLOOKUP(B119,'✈ Flights (2)'!$A$2:$P$502,12,FALSE)</f>
        <v>1332</v>
      </c>
    </row>
    <row r="120" spans="1:15">
      <c r="A120" s="33" t="s">
        <v>1623</v>
      </c>
      <c r="B120" s="33" t="s">
        <v>478</v>
      </c>
      <c r="C120" s="33" t="s">
        <v>96</v>
      </c>
      <c r="D120" s="33" t="str">
        <f>VLOOKUP(B120,'✈ Flights (2)'!$A$2:$P$502,3,FALSE)</f>
        <v>Alaska</v>
      </c>
      <c r="E120" s="33">
        <v>57716.2</v>
      </c>
      <c r="F120" s="33">
        <f t="shared" si="1"/>
        <v>22.292854383931999</v>
      </c>
      <c r="G120" s="33">
        <v>5354.33</v>
      </c>
      <c r="H120" s="33">
        <v>13647.71</v>
      </c>
      <c r="I120" s="33">
        <v>15344.49</v>
      </c>
      <c r="J120" s="33">
        <v>34078.33</v>
      </c>
      <c r="K120" s="33" t="s">
        <v>1502</v>
      </c>
      <c r="L120" s="40">
        <f>VLOOKUP(B120,'✈ Flights (2)'!$A$2:$R$501,13,FALSE)</f>
        <v>501.88</v>
      </c>
      <c r="M120">
        <f>VLOOKUP(B120,'✈ Flights (2)'!$A$2:$R$501,16,FALSE)</f>
        <v>115</v>
      </c>
      <c r="N120" t="str">
        <f>VLOOKUP(B120,'✈ Flights (2)'!$A$2:$R$501,14,FALSE)</f>
        <v>Business</v>
      </c>
      <c r="O120">
        <f>VLOOKUP(B120,'✈ Flights (2)'!$A$2:$P$502,12,FALSE)</f>
        <v>2589</v>
      </c>
    </row>
    <row r="121" spans="1:15">
      <c r="A121" s="38" t="s">
        <v>1624</v>
      </c>
      <c r="B121" s="38" t="s">
        <v>481</v>
      </c>
      <c r="C121" s="38" t="s">
        <v>117</v>
      </c>
      <c r="D121" s="33" t="str">
        <f>VLOOKUP(B121,'✈ Flights (2)'!$A$2:$P$502,3,FALSE)</f>
        <v>Spirit</v>
      </c>
      <c r="E121" s="38">
        <v>341302.38</v>
      </c>
      <c r="F121" s="33">
        <f t="shared" si="1"/>
        <v>328.80768786127197</v>
      </c>
      <c r="G121" s="38">
        <v>6496.82</v>
      </c>
      <c r="H121" s="38">
        <v>13989.8</v>
      </c>
      <c r="I121" s="38">
        <v>30499.03</v>
      </c>
      <c r="J121" s="38">
        <v>303310.37</v>
      </c>
      <c r="K121" s="38" t="s">
        <v>1511</v>
      </c>
      <c r="L121" s="40">
        <f>VLOOKUP(B121,'✈ Flights (2)'!$A$2:$R$501,13,FALSE)</f>
        <v>1145.31</v>
      </c>
      <c r="M121">
        <f>VLOOKUP(B121,'✈ Flights (2)'!$A$2:$R$501,16,FALSE)</f>
        <v>298</v>
      </c>
      <c r="N121" t="str">
        <f>VLOOKUP(B121,'✈ Flights (2)'!$A$2:$R$501,14,FALSE)</f>
        <v>Business</v>
      </c>
      <c r="O121">
        <f>VLOOKUP(B121,'✈ Flights (2)'!$A$2:$P$502,12,FALSE)</f>
        <v>1038</v>
      </c>
    </row>
    <row r="122" spans="1:15">
      <c r="A122" s="33" t="s">
        <v>1625</v>
      </c>
      <c r="B122" s="33" t="s">
        <v>483</v>
      </c>
      <c r="C122" s="33" t="s">
        <v>55</v>
      </c>
      <c r="D122" s="33" t="str">
        <f>VLOOKUP(B122,'✈ Flights (2)'!$A$2:$P$502,3,FALSE)</f>
        <v>American</v>
      </c>
      <c r="E122" s="33">
        <v>133756.56</v>
      </c>
      <c r="F122" s="33">
        <f t="shared" si="1"/>
        <v>79.664419297200695</v>
      </c>
      <c r="G122" s="33">
        <v>5668.6</v>
      </c>
      <c r="H122" s="33">
        <v>13702.27</v>
      </c>
      <c r="I122" s="33">
        <v>30607.42</v>
      </c>
      <c r="J122" s="33">
        <v>95115.47</v>
      </c>
      <c r="K122" s="33" t="s">
        <v>1502</v>
      </c>
      <c r="L122" s="40">
        <f>VLOOKUP(B122,'✈ Flights (2)'!$A$2:$R$501,13,FALSE)</f>
        <v>1061.56</v>
      </c>
      <c r="M122">
        <f>VLOOKUP(B122,'✈ Flights (2)'!$A$2:$R$501,16,FALSE)</f>
        <v>126</v>
      </c>
      <c r="N122" t="str">
        <f>VLOOKUP(B122,'✈ Flights (2)'!$A$2:$R$501,14,FALSE)</f>
        <v>First Class</v>
      </c>
      <c r="O122">
        <f>VLOOKUP(B122,'✈ Flights (2)'!$A$2:$P$502,12,FALSE)</f>
        <v>1679</v>
      </c>
    </row>
    <row r="123" spans="1:15">
      <c r="A123" s="38" t="s">
        <v>1626</v>
      </c>
      <c r="B123" s="38" t="s">
        <v>486</v>
      </c>
      <c r="C123" s="38" t="s">
        <v>49</v>
      </c>
      <c r="D123" s="33" t="str">
        <f>VLOOKUP(B123,'✈ Flights (2)'!$A$2:$P$502,3,FALSE)</f>
        <v>American</v>
      </c>
      <c r="E123" s="38">
        <v>51730.12</v>
      </c>
      <c r="F123" s="33">
        <f t="shared" si="1"/>
        <v>26.099959636730599</v>
      </c>
      <c r="G123" s="38">
        <v>5585.06</v>
      </c>
      <c r="H123" s="38">
        <v>2322.34</v>
      </c>
      <c r="I123" s="38">
        <v>9090.66</v>
      </c>
      <c r="J123" s="38">
        <v>45902.18</v>
      </c>
      <c r="K123" s="38" t="s">
        <v>1502</v>
      </c>
      <c r="L123" s="40">
        <f>VLOOKUP(B123,'✈ Flights (2)'!$A$2:$R$501,13,FALSE)</f>
        <v>488.02</v>
      </c>
      <c r="M123">
        <f>VLOOKUP(B123,'✈ Flights (2)'!$A$2:$R$501,16,FALSE)</f>
        <v>106</v>
      </c>
      <c r="N123" t="str">
        <f>VLOOKUP(B123,'✈ Flights (2)'!$A$2:$R$501,14,FALSE)</f>
        <v>First Class</v>
      </c>
      <c r="O123">
        <f>VLOOKUP(B123,'✈ Flights (2)'!$A$2:$P$502,12,FALSE)</f>
        <v>1982</v>
      </c>
    </row>
    <row r="124" spans="1:15">
      <c r="A124" s="33" t="s">
        <v>1627</v>
      </c>
      <c r="B124" s="33" t="s">
        <v>489</v>
      </c>
      <c r="C124" s="33" t="s">
        <v>33</v>
      </c>
      <c r="D124" s="33" t="str">
        <f>VLOOKUP(B124,'✈ Flights (2)'!$A$2:$P$502,3,FALSE)</f>
        <v>Southwest</v>
      </c>
      <c r="E124" s="33">
        <v>141069.6</v>
      </c>
      <c r="F124" s="33">
        <f t="shared" si="1"/>
        <v>78.111627906976693</v>
      </c>
      <c r="G124" s="33">
        <v>3844.8</v>
      </c>
      <c r="H124" s="33">
        <v>2715.44</v>
      </c>
      <c r="I124" s="33">
        <v>8236.84</v>
      </c>
      <c r="J124" s="33">
        <v>133962.12</v>
      </c>
      <c r="K124" s="33" t="s">
        <v>1502</v>
      </c>
      <c r="L124" s="40">
        <f>VLOOKUP(B124,'✈ Flights (2)'!$A$2:$R$501,13,FALSE)</f>
        <v>839.7</v>
      </c>
      <c r="M124">
        <f>VLOOKUP(B124,'✈ Flights (2)'!$A$2:$R$501,16,FALSE)</f>
        <v>168</v>
      </c>
      <c r="N124" t="str">
        <f>VLOOKUP(B124,'✈ Flights (2)'!$A$2:$R$501,14,FALSE)</f>
        <v>First Class</v>
      </c>
      <c r="O124">
        <f>VLOOKUP(B124,'✈ Flights (2)'!$A$2:$P$502,12,FALSE)</f>
        <v>1806</v>
      </c>
    </row>
    <row r="125" spans="1:15">
      <c r="A125" s="38" t="s">
        <v>1628</v>
      </c>
      <c r="B125" s="38" t="s">
        <v>492</v>
      </c>
      <c r="C125" s="38" t="s">
        <v>39</v>
      </c>
      <c r="D125" s="33" t="str">
        <f>VLOOKUP(B125,'✈ Flights (2)'!$A$2:$P$502,3,FALSE)</f>
        <v>Spirit</v>
      </c>
      <c r="E125" s="38">
        <v>60657.120000000003</v>
      </c>
      <c r="F125" s="33">
        <f t="shared" si="1"/>
        <v>118.24</v>
      </c>
      <c r="G125" s="38">
        <v>4875.74</v>
      </c>
      <c r="H125" s="38">
        <v>14163.65</v>
      </c>
      <c r="I125" s="38">
        <v>12775.03</v>
      </c>
      <c r="J125" s="38">
        <v>38594.18</v>
      </c>
      <c r="K125" s="38" t="s">
        <v>1511</v>
      </c>
      <c r="L125" s="40">
        <f>VLOOKUP(B125,'✈ Flights (2)'!$A$2:$R$501,13,FALSE)</f>
        <v>798.12</v>
      </c>
      <c r="M125">
        <f>VLOOKUP(B125,'✈ Flights (2)'!$A$2:$R$501,16,FALSE)</f>
        <v>76</v>
      </c>
      <c r="N125" t="str">
        <f>VLOOKUP(B125,'✈ Flights (2)'!$A$2:$R$501,14,FALSE)</f>
        <v>Business</v>
      </c>
      <c r="O125">
        <f>VLOOKUP(B125,'✈ Flights (2)'!$A$2:$P$502,12,FALSE)</f>
        <v>513</v>
      </c>
    </row>
    <row r="126" spans="1:15">
      <c r="A126" s="33" t="s">
        <v>1629</v>
      </c>
      <c r="B126" s="33" t="s">
        <v>496</v>
      </c>
      <c r="C126" s="33" t="s">
        <v>55</v>
      </c>
      <c r="D126" s="33" t="str">
        <f>VLOOKUP(B126,'✈ Flights (2)'!$A$2:$P$502,3,FALSE)</f>
        <v>Jetblue</v>
      </c>
      <c r="E126" s="33">
        <v>81252.240000000005</v>
      </c>
      <c r="F126" s="33">
        <f t="shared" si="1"/>
        <v>89.9803322259136</v>
      </c>
      <c r="G126" s="33">
        <v>1967.87</v>
      </c>
      <c r="H126" s="33">
        <v>13042.87</v>
      </c>
      <c r="I126" s="33">
        <v>7925.63</v>
      </c>
      <c r="J126" s="33">
        <v>145754.88</v>
      </c>
      <c r="K126" s="33" t="s">
        <v>1504</v>
      </c>
      <c r="L126" s="40">
        <f>VLOOKUP(B126,'✈ Flights (2)'!$A$2:$R$501,13,FALSE)</f>
        <v>498.48</v>
      </c>
      <c r="M126">
        <f>VLOOKUP(B126,'✈ Flights (2)'!$A$2:$R$501,16,FALSE)</f>
        <v>163</v>
      </c>
      <c r="N126" t="str">
        <f>VLOOKUP(B126,'✈ Flights (2)'!$A$2:$R$501,14,FALSE)</f>
        <v>Economy</v>
      </c>
      <c r="O126">
        <f>VLOOKUP(B126,'✈ Flights (2)'!$A$2:$P$502,12,FALSE)</f>
        <v>903</v>
      </c>
    </row>
    <row r="127" spans="1:15">
      <c r="A127" s="38" t="s">
        <v>1630</v>
      </c>
      <c r="B127" s="38" t="s">
        <v>497</v>
      </c>
      <c r="C127" s="38" t="s">
        <v>57</v>
      </c>
      <c r="D127" s="33" t="str">
        <f>VLOOKUP(B127,'✈ Flights (2)'!$A$2:$P$502,3,FALSE)</f>
        <v>Spirit</v>
      </c>
      <c r="E127" s="38">
        <v>63275.11</v>
      </c>
      <c r="F127" s="33">
        <f t="shared" si="1"/>
        <v>33.639080276448702</v>
      </c>
      <c r="G127" s="38">
        <v>7818.8</v>
      </c>
      <c r="H127" s="38">
        <v>8376.0499999999993</v>
      </c>
      <c r="I127" s="38">
        <v>18804.830000000002</v>
      </c>
      <c r="J127" s="38">
        <v>43913.03</v>
      </c>
      <c r="K127" s="38" t="s">
        <v>1504</v>
      </c>
      <c r="L127" s="40">
        <f>VLOOKUP(B127,'✈ Flights (2)'!$A$2:$R$501,13,FALSE)</f>
        <v>1193.8699999999999</v>
      </c>
      <c r="M127">
        <f>VLOOKUP(B127,'✈ Flights (2)'!$A$2:$R$501,16,FALSE)</f>
        <v>53</v>
      </c>
      <c r="N127" t="str">
        <f>VLOOKUP(B127,'✈ Flights (2)'!$A$2:$R$501,14,FALSE)</f>
        <v>Business</v>
      </c>
      <c r="O127">
        <f>VLOOKUP(B127,'✈ Flights (2)'!$A$2:$P$502,12,FALSE)</f>
        <v>1881</v>
      </c>
    </row>
    <row r="128" spans="1:15">
      <c r="A128" s="33" t="s">
        <v>1631</v>
      </c>
      <c r="B128" s="33" t="s">
        <v>500</v>
      </c>
      <c r="C128" s="33" t="s">
        <v>102</v>
      </c>
      <c r="D128" s="33" t="str">
        <f>VLOOKUP(B128,'✈ Flights (2)'!$A$2:$P$502,3,FALSE)</f>
        <v>Alaska</v>
      </c>
      <c r="E128" s="33">
        <v>192489.3</v>
      </c>
      <c r="F128" s="33">
        <f t="shared" si="1"/>
        <v>221.761866359447</v>
      </c>
      <c r="G128" s="33">
        <v>7313.35</v>
      </c>
      <c r="H128" s="33">
        <v>3923.3</v>
      </c>
      <c r="I128" s="33">
        <v>17637.27</v>
      </c>
      <c r="J128" s="33">
        <v>178242.08</v>
      </c>
      <c r="K128" s="33" t="s">
        <v>1509</v>
      </c>
      <c r="L128" s="40">
        <f>VLOOKUP(B128,'✈ Flights (2)'!$A$2:$R$501,13,FALSE)</f>
        <v>929.9</v>
      </c>
      <c r="M128">
        <f>VLOOKUP(B128,'✈ Flights (2)'!$A$2:$R$501,16,FALSE)</f>
        <v>207</v>
      </c>
      <c r="N128" t="str">
        <f>VLOOKUP(B128,'✈ Flights (2)'!$A$2:$R$501,14,FALSE)</f>
        <v>Business</v>
      </c>
      <c r="O128">
        <f>VLOOKUP(B128,'✈ Flights (2)'!$A$2:$P$502,12,FALSE)</f>
        <v>868</v>
      </c>
    </row>
    <row r="129" spans="1:15">
      <c r="A129" s="38" t="s">
        <v>1632</v>
      </c>
      <c r="B129" s="38" t="s">
        <v>502</v>
      </c>
      <c r="C129" s="38" t="s">
        <v>22</v>
      </c>
      <c r="D129" s="33" t="str">
        <f>VLOOKUP(B129,'✈ Flights (2)'!$A$2:$P$502,3,FALSE)</f>
        <v>Delta</v>
      </c>
      <c r="E129" s="38">
        <v>22500.400000000001</v>
      </c>
      <c r="F129" s="33">
        <f t="shared" si="1"/>
        <v>15.202972972973001</v>
      </c>
      <c r="G129" s="38">
        <v>3272.22</v>
      </c>
      <c r="H129" s="38">
        <v>5700.45</v>
      </c>
      <c r="I129" s="38">
        <v>18049.09</v>
      </c>
      <c r="J129" s="38">
        <v>2023.08</v>
      </c>
      <c r="K129" s="38" t="s">
        <v>1511</v>
      </c>
      <c r="L129" s="40">
        <f>VLOOKUP(B129,'✈ Flights (2)'!$A$2:$R$501,13,FALSE)</f>
        <v>346.16</v>
      </c>
      <c r="M129">
        <f>VLOOKUP(B129,'✈ Flights (2)'!$A$2:$R$501,16,FALSE)</f>
        <v>65</v>
      </c>
      <c r="N129" t="str">
        <f>VLOOKUP(B129,'✈ Flights (2)'!$A$2:$R$501,14,FALSE)</f>
        <v>Economy</v>
      </c>
      <c r="O129">
        <f>VLOOKUP(B129,'✈ Flights (2)'!$A$2:$P$502,12,FALSE)</f>
        <v>1480</v>
      </c>
    </row>
    <row r="130" spans="1:15">
      <c r="A130" s="33" t="s">
        <v>1633</v>
      </c>
      <c r="B130" s="33" t="s">
        <v>505</v>
      </c>
      <c r="C130" s="33" t="s">
        <v>198</v>
      </c>
      <c r="D130" s="33" t="str">
        <f>VLOOKUP(B130,'✈ Flights (2)'!$A$2:$P$502,3,FALSE)</f>
        <v>United</v>
      </c>
      <c r="E130" s="33">
        <v>62992.35</v>
      </c>
      <c r="F130" s="33">
        <f t="shared" si="1"/>
        <v>26.137904564315399</v>
      </c>
      <c r="G130" s="33">
        <v>2810.64</v>
      </c>
      <c r="H130" s="33">
        <v>9293.43</v>
      </c>
      <c r="I130" s="33">
        <v>20595.16</v>
      </c>
      <c r="J130" s="33">
        <v>35914.400000000001</v>
      </c>
      <c r="K130" s="33" t="s">
        <v>1502</v>
      </c>
      <c r="L130" s="40">
        <f>VLOOKUP(B130,'✈ Flights (2)'!$A$2:$R$501,13,FALSE)</f>
        <v>724.05</v>
      </c>
      <c r="M130">
        <f>VLOOKUP(B130,'✈ Flights (2)'!$A$2:$R$501,16,FALSE)</f>
        <v>87</v>
      </c>
      <c r="N130" t="str">
        <f>VLOOKUP(B130,'✈ Flights (2)'!$A$2:$R$501,14,FALSE)</f>
        <v>First Class</v>
      </c>
      <c r="O130">
        <f>VLOOKUP(B130,'✈ Flights (2)'!$A$2:$P$502,12,FALSE)</f>
        <v>2410</v>
      </c>
    </row>
    <row r="131" spans="1:15">
      <c r="A131" s="38" t="s">
        <v>1634</v>
      </c>
      <c r="B131" s="38" t="s">
        <v>508</v>
      </c>
      <c r="C131" s="38" t="s">
        <v>74</v>
      </c>
      <c r="D131" s="33" t="str">
        <f>VLOOKUP(B131,'✈ Flights (2)'!$A$2:$P$502,3,FALSE)</f>
        <v>Southwest</v>
      </c>
      <c r="E131" s="38">
        <v>27888.2</v>
      </c>
      <c r="F131" s="33">
        <f t="shared" ref="F131:F194" si="2">E131/O131</f>
        <v>15.6939786156443</v>
      </c>
      <c r="G131" s="38">
        <v>5958.9</v>
      </c>
      <c r="H131" s="38">
        <v>14903.76</v>
      </c>
      <c r="I131" s="38">
        <v>20547.71</v>
      </c>
      <c r="J131" s="38">
        <v>-1604.37</v>
      </c>
      <c r="K131" s="38" t="s">
        <v>1509</v>
      </c>
      <c r="L131" s="40">
        <f>VLOOKUP(B131,'✈ Flights (2)'!$A$2:$R$501,13,FALSE)</f>
        <v>155.80000000000001</v>
      </c>
      <c r="M131">
        <f>VLOOKUP(B131,'✈ Flights (2)'!$A$2:$R$501,16,FALSE)</f>
        <v>179</v>
      </c>
      <c r="N131" t="str">
        <f>VLOOKUP(B131,'✈ Flights (2)'!$A$2:$R$501,14,FALSE)</f>
        <v>First Class</v>
      </c>
      <c r="O131">
        <f>VLOOKUP(B131,'✈ Flights (2)'!$A$2:$P$502,12,FALSE)</f>
        <v>1777</v>
      </c>
    </row>
    <row r="132" spans="1:15">
      <c r="A132" s="33" t="s">
        <v>1635</v>
      </c>
      <c r="B132" s="33" t="s">
        <v>511</v>
      </c>
      <c r="C132" s="33" t="s">
        <v>80</v>
      </c>
      <c r="D132" s="33" t="str">
        <f>VLOOKUP(B132,'✈ Flights (2)'!$A$2:$P$502,3,FALSE)</f>
        <v>Spirit</v>
      </c>
      <c r="E132" s="33">
        <v>61438.33</v>
      </c>
      <c r="F132" s="33">
        <f t="shared" si="2"/>
        <v>45.918034379671198</v>
      </c>
      <c r="G132" s="33">
        <v>2664.76</v>
      </c>
      <c r="H132" s="33">
        <v>14614.69</v>
      </c>
      <c r="I132" s="33">
        <v>33198.550000000003</v>
      </c>
      <c r="J132" s="33">
        <v>16289.85</v>
      </c>
      <c r="K132" s="33" t="s">
        <v>1509</v>
      </c>
      <c r="L132" s="40">
        <f>VLOOKUP(B132,'✈ Flights (2)'!$A$2:$R$501,13,FALSE)</f>
        <v>916.99</v>
      </c>
      <c r="M132">
        <f>VLOOKUP(B132,'✈ Flights (2)'!$A$2:$R$501,16,FALSE)</f>
        <v>67</v>
      </c>
      <c r="N132" t="str">
        <f>VLOOKUP(B132,'✈ Flights (2)'!$A$2:$R$501,14,FALSE)</f>
        <v>Business</v>
      </c>
      <c r="O132">
        <f>VLOOKUP(B132,'✈ Flights (2)'!$A$2:$P$502,12,FALSE)</f>
        <v>1338</v>
      </c>
    </row>
    <row r="133" spans="1:15">
      <c r="A133" s="38" t="s">
        <v>1636</v>
      </c>
      <c r="B133" s="38" t="s">
        <v>514</v>
      </c>
      <c r="C133" s="38" t="s">
        <v>102</v>
      </c>
      <c r="D133" s="33" t="str">
        <f>VLOOKUP(B133,'✈ Flights (2)'!$A$2:$P$502,3,FALSE)</f>
        <v>Alaska</v>
      </c>
      <c r="E133" s="38">
        <v>173725.16</v>
      </c>
      <c r="F133" s="33">
        <f t="shared" si="2"/>
        <v>170.82119960668601</v>
      </c>
      <c r="G133" s="38">
        <v>5964.54</v>
      </c>
      <c r="H133" s="38">
        <v>12861.65</v>
      </c>
      <c r="I133" s="38">
        <v>19496.78</v>
      </c>
      <c r="J133" s="38">
        <v>147331.26999999999</v>
      </c>
      <c r="K133" s="38" t="s">
        <v>1504</v>
      </c>
      <c r="L133" s="40">
        <f>VLOOKUP(B133,'✈ Flights (2)'!$A$2:$R$501,13,FALSE)</f>
        <v>1010.03</v>
      </c>
      <c r="M133">
        <f>VLOOKUP(B133,'✈ Flights (2)'!$A$2:$R$501,16,FALSE)</f>
        <v>172</v>
      </c>
      <c r="N133" t="str">
        <f>VLOOKUP(B133,'✈ Flights (2)'!$A$2:$R$501,14,FALSE)</f>
        <v>First Class</v>
      </c>
      <c r="O133">
        <f>VLOOKUP(B133,'✈ Flights (2)'!$A$2:$P$502,12,FALSE)</f>
        <v>1017</v>
      </c>
    </row>
    <row r="134" spans="1:15">
      <c r="A134" s="33" t="s">
        <v>1637</v>
      </c>
      <c r="B134" s="33" t="s">
        <v>517</v>
      </c>
      <c r="C134" s="33" t="s">
        <v>41</v>
      </c>
      <c r="D134" s="33" t="str">
        <f>VLOOKUP(B134,'✈ Flights (2)'!$A$2:$P$502,3,FALSE)</f>
        <v>United</v>
      </c>
      <c r="E134" s="33">
        <v>222994.72</v>
      </c>
      <c r="F134" s="33">
        <f t="shared" si="2"/>
        <v>199.63717099373301</v>
      </c>
      <c r="G134" s="33">
        <v>1577.29</v>
      </c>
      <c r="H134" s="33">
        <v>14848.97</v>
      </c>
      <c r="I134" s="33">
        <v>15613.09</v>
      </c>
      <c r="J134" s="33">
        <v>194109.95</v>
      </c>
      <c r="K134" s="33" t="s">
        <v>1511</v>
      </c>
      <c r="L134" s="40">
        <f>VLOOKUP(B134,'✈ Flights (2)'!$A$2:$R$501,13,FALSE)</f>
        <v>1072.0899999999999</v>
      </c>
      <c r="M134">
        <f>VLOOKUP(B134,'✈ Flights (2)'!$A$2:$R$501,16,FALSE)</f>
        <v>208</v>
      </c>
      <c r="N134" t="str">
        <f>VLOOKUP(B134,'✈ Flights (2)'!$A$2:$R$501,14,FALSE)</f>
        <v>Business</v>
      </c>
      <c r="O134">
        <f>VLOOKUP(B134,'✈ Flights (2)'!$A$2:$P$502,12,FALSE)</f>
        <v>1117</v>
      </c>
    </row>
    <row r="135" spans="1:15">
      <c r="A135" s="38" t="s">
        <v>1638</v>
      </c>
      <c r="B135" s="38" t="s">
        <v>520</v>
      </c>
      <c r="C135" s="38" t="s">
        <v>57</v>
      </c>
      <c r="D135" s="33" t="str">
        <f>VLOOKUP(B135,'✈ Flights (2)'!$A$2:$P$502,3,FALSE)</f>
        <v>Jetblue</v>
      </c>
      <c r="E135" s="38">
        <v>65053.440000000002</v>
      </c>
      <c r="F135" s="33">
        <f t="shared" si="2"/>
        <v>21.793447236180899</v>
      </c>
      <c r="G135" s="38">
        <v>995.87</v>
      </c>
      <c r="H135" s="38">
        <v>11829.48</v>
      </c>
      <c r="I135" s="38">
        <v>38603.339999999997</v>
      </c>
      <c r="J135" s="38">
        <v>15616.49</v>
      </c>
      <c r="K135" s="38" t="s">
        <v>1504</v>
      </c>
      <c r="L135" s="40">
        <f>VLOOKUP(B135,'✈ Flights (2)'!$A$2:$R$501,13,FALSE)</f>
        <v>451.76</v>
      </c>
      <c r="M135">
        <f>VLOOKUP(B135,'✈ Flights (2)'!$A$2:$R$501,16,FALSE)</f>
        <v>144</v>
      </c>
      <c r="N135" t="str">
        <f>VLOOKUP(B135,'✈ Flights (2)'!$A$2:$R$501,14,FALSE)</f>
        <v>Economy</v>
      </c>
      <c r="O135">
        <f>VLOOKUP(B135,'✈ Flights (2)'!$A$2:$P$502,12,FALSE)</f>
        <v>2985</v>
      </c>
    </row>
    <row r="136" spans="1:15">
      <c r="A136" s="33" t="s">
        <v>1639</v>
      </c>
      <c r="B136" s="33" t="s">
        <v>523</v>
      </c>
      <c r="C136" s="33" t="s">
        <v>67</v>
      </c>
      <c r="D136" s="33" t="str">
        <f>VLOOKUP(B136,'✈ Flights (2)'!$A$2:$P$502,3,FALSE)</f>
        <v>Frontier</v>
      </c>
      <c r="E136" s="33">
        <v>74697.36</v>
      </c>
      <c r="F136" s="33">
        <f t="shared" si="2"/>
        <v>31.962926829268302</v>
      </c>
      <c r="G136" s="33">
        <v>549.64</v>
      </c>
      <c r="H136" s="33">
        <v>5553.28</v>
      </c>
      <c r="I136" s="33">
        <v>27358.21</v>
      </c>
      <c r="J136" s="33">
        <v>42335.51</v>
      </c>
      <c r="K136" s="33" t="s">
        <v>1502</v>
      </c>
      <c r="L136" s="40">
        <f>VLOOKUP(B136,'✈ Flights (2)'!$A$2:$R$501,13,FALSE)</f>
        <v>491.43</v>
      </c>
      <c r="M136">
        <f>VLOOKUP(B136,'✈ Flights (2)'!$A$2:$R$501,16,FALSE)</f>
        <v>152</v>
      </c>
      <c r="N136" t="str">
        <f>VLOOKUP(B136,'✈ Flights (2)'!$A$2:$R$501,14,FALSE)</f>
        <v>First Class</v>
      </c>
      <c r="O136">
        <f>VLOOKUP(B136,'✈ Flights (2)'!$A$2:$P$502,12,FALSE)</f>
        <v>2337</v>
      </c>
    </row>
    <row r="137" spans="1:15">
      <c r="A137" s="38" t="s">
        <v>1640</v>
      </c>
      <c r="B137" s="38" t="s">
        <v>526</v>
      </c>
      <c r="C137" s="38" t="s">
        <v>130</v>
      </c>
      <c r="D137" s="33" t="str">
        <f>VLOOKUP(B137,'✈ Flights (2)'!$A$2:$P$502,3,FALSE)</f>
        <v>United</v>
      </c>
      <c r="E137" s="38">
        <v>15101.52</v>
      </c>
      <c r="F137" s="33">
        <f t="shared" si="2"/>
        <v>20.974333333333298</v>
      </c>
      <c r="G137" s="38">
        <v>4668.6000000000004</v>
      </c>
      <c r="H137" s="38">
        <v>11818.17</v>
      </c>
      <c r="I137" s="38">
        <v>29858.65</v>
      </c>
      <c r="J137" s="38">
        <v>-21906.7</v>
      </c>
      <c r="K137" s="38" t="s">
        <v>1502</v>
      </c>
      <c r="L137" s="40">
        <f>VLOOKUP(B137,'✈ Flights (2)'!$A$2:$R$501,13,FALSE)</f>
        <v>169.68</v>
      </c>
      <c r="M137">
        <f>VLOOKUP(B137,'✈ Flights (2)'!$A$2:$R$501,16,FALSE)</f>
        <v>89</v>
      </c>
      <c r="N137" t="str">
        <f>VLOOKUP(B137,'✈ Flights (2)'!$A$2:$R$501,14,FALSE)</f>
        <v>First Class</v>
      </c>
      <c r="O137">
        <f>VLOOKUP(B137,'✈ Flights (2)'!$A$2:$P$502,12,FALSE)</f>
        <v>720</v>
      </c>
    </row>
    <row r="138" spans="1:15">
      <c r="A138" s="33" t="s">
        <v>1641</v>
      </c>
      <c r="B138" s="33" t="s">
        <v>530</v>
      </c>
      <c r="C138" s="33" t="s">
        <v>41</v>
      </c>
      <c r="D138" s="33" t="str">
        <f>VLOOKUP(B138,'✈ Flights (2)'!$A$2:$P$502,3,FALSE)</f>
        <v>American</v>
      </c>
      <c r="E138" s="33">
        <v>100690.53</v>
      </c>
      <c r="F138" s="33">
        <f t="shared" si="2"/>
        <v>57.735395642201802</v>
      </c>
      <c r="G138" s="33">
        <v>0</v>
      </c>
      <c r="H138" s="33">
        <v>12819.69</v>
      </c>
      <c r="I138" s="33">
        <v>11974.01</v>
      </c>
      <c r="J138" s="33">
        <v>-24793.7</v>
      </c>
      <c r="K138" s="33" t="s">
        <v>1511</v>
      </c>
      <c r="L138" s="40">
        <f>VLOOKUP(B138,'✈ Flights (2)'!$A$2:$R$501,13,FALSE)</f>
        <v>768.63</v>
      </c>
      <c r="M138">
        <f>VLOOKUP(B138,'✈ Flights (2)'!$A$2:$R$501,16,FALSE)</f>
        <v>131</v>
      </c>
      <c r="N138" t="str">
        <f>VLOOKUP(B138,'✈ Flights (2)'!$A$2:$R$501,14,FALSE)</f>
        <v>Business</v>
      </c>
      <c r="O138">
        <f>VLOOKUP(B138,'✈ Flights (2)'!$A$2:$P$502,12,FALSE)</f>
        <v>1744</v>
      </c>
    </row>
    <row r="139" spans="1:15">
      <c r="A139" s="38" t="s">
        <v>1642</v>
      </c>
      <c r="B139" s="38" t="s">
        <v>533</v>
      </c>
      <c r="C139" s="38" t="s">
        <v>67</v>
      </c>
      <c r="D139" s="33" t="str">
        <f>VLOOKUP(B139,'✈ Flights (2)'!$A$2:$P$502,3,FALSE)</f>
        <v>United</v>
      </c>
      <c r="E139" s="38">
        <v>166942.62</v>
      </c>
      <c r="F139" s="33">
        <f t="shared" si="2"/>
        <v>188.84911764705899</v>
      </c>
      <c r="G139" s="38">
        <v>4654</v>
      </c>
      <c r="H139" s="38">
        <v>12741.23</v>
      </c>
      <c r="I139" s="38">
        <v>6478.15</v>
      </c>
      <c r="J139" s="38">
        <v>152377.24</v>
      </c>
      <c r="K139" s="38" t="s">
        <v>1511</v>
      </c>
      <c r="L139" s="40">
        <f>VLOOKUP(B139,'✈ Flights (2)'!$A$2:$R$501,13,FALSE)</f>
        <v>1030.51</v>
      </c>
      <c r="M139">
        <f>VLOOKUP(B139,'✈ Flights (2)'!$A$2:$R$501,16,FALSE)</f>
        <v>162</v>
      </c>
      <c r="N139" t="str">
        <f>VLOOKUP(B139,'✈ Flights (2)'!$A$2:$R$501,14,FALSE)</f>
        <v>First Class</v>
      </c>
      <c r="O139">
        <f>VLOOKUP(B139,'✈ Flights (2)'!$A$2:$P$502,12,FALSE)</f>
        <v>884</v>
      </c>
    </row>
    <row r="140" spans="1:15">
      <c r="A140" s="33" t="s">
        <v>1643</v>
      </c>
      <c r="B140" s="33" t="s">
        <v>535</v>
      </c>
      <c r="C140" s="33" t="s">
        <v>65</v>
      </c>
      <c r="D140" s="33" t="str">
        <f>VLOOKUP(B140,'✈ Flights (2)'!$A$2:$P$502,3,FALSE)</f>
        <v>Southwest</v>
      </c>
      <c r="E140" s="33">
        <v>137009.65</v>
      </c>
      <c r="F140" s="33">
        <f t="shared" si="2"/>
        <v>147.639709051724</v>
      </c>
      <c r="G140" s="33">
        <v>4205.75</v>
      </c>
      <c r="H140" s="33">
        <v>4918.76</v>
      </c>
      <c r="I140" s="33">
        <v>30894.959999999999</v>
      </c>
      <c r="J140" s="33">
        <v>105401.68</v>
      </c>
      <c r="K140" s="33" t="s">
        <v>1504</v>
      </c>
      <c r="L140" s="40">
        <f>VLOOKUP(B140,'✈ Flights (2)'!$A$2:$R$501,13,FALSE)</f>
        <v>840.55</v>
      </c>
      <c r="M140">
        <f>VLOOKUP(B140,'✈ Flights (2)'!$A$2:$R$501,16,FALSE)</f>
        <v>163</v>
      </c>
      <c r="N140" t="str">
        <f>VLOOKUP(B140,'✈ Flights (2)'!$A$2:$R$501,14,FALSE)</f>
        <v>Business</v>
      </c>
      <c r="O140">
        <f>VLOOKUP(B140,'✈ Flights (2)'!$A$2:$P$502,12,FALSE)</f>
        <v>928</v>
      </c>
    </row>
    <row r="141" spans="1:15">
      <c r="A141" s="38" t="s">
        <v>1644</v>
      </c>
      <c r="B141" s="38" t="s">
        <v>538</v>
      </c>
      <c r="C141" s="38" t="s">
        <v>67</v>
      </c>
      <c r="D141" s="33" t="str">
        <f>VLOOKUP(B141,'✈ Flights (2)'!$A$2:$P$502,3,FALSE)</f>
        <v>Alaska</v>
      </c>
      <c r="E141" s="38">
        <v>19841.64</v>
      </c>
      <c r="F141" s="33">
        <f t="shared" si="2"/>
        <v>25.9707329842932</v>
      </c>
      <c r="G141" s="38">
        <v>1655.18</v>
      </c>
      <c r="H141" s="38">
        <v>10327.219999999999</v>
      </c>
      <c r="I141" s="38">
        <v>15505.93</v>
      </c>
      <c r="J141" s="38">
        <v>-4336.33</v>
      </c>
      <c r="K141" s="38" t="s">
        <v>1509</v>
      </c>
      <c r="L141" s="40">
        <f>VLOOKUP(B141,'✈ Flights (2)'!$A$2:$R$501,13,FALSE)</f>
        <v>109.02</v>
      </c>
      <c r="M141">
        <f>VLOOKUP(B141,'✈ Flights (2)'!$A$2:$R$501,16,FALSE)</f>
        <v>182</v>
      </c>
      <c r="N141" t="str">
        <f>VLOOKUP(B141,'✈ Flights (2)'!$A$2:$R$501,14,FALSE)</f>
        <v>Economy</v>
      </c>
      <c r="O141">
        <f>VLOOKUP(B141,'✈ Flights (2)'!$A$2:$P$502,12,FALSE)</f>
        <v>764</v>
      </c>
    </row>
    <row r="142" spans="1:15">
      <c r="A142" s="33" t="s">
        <v>1645</v>
      </c>
      <c r="B142" s="33" t="s">
        <v>540</v>
      </c>
      <c r="C142" s="33" t="s">
        <v>22</v>
      </c>
      <c r="D142" s="33" t="str">
        <f>VLOOKUP(B142,'✈ Flights (2)'!$A$2:$P$502,3,FALSE)</f>
        <v>Jetblue</v>
      </c>
      <c r="E142" s="33">
        <v>26465.4</v>
      </c>
      <c r="F142" s="33">
        <f t="shared" si="2"/>
        <v>11.4519255733449</v>
      </c>
      <c r="G142" s="33">
        <v>1431.33</v>
      </c>
      <c r="H142" s="33">
        <v>5739.96</v>
      </c>
      <c r="I142" s="33">
        <v>28306.97</v>
      </c>
      <c r="J142" s="33">
        <v>-6150.2</v>
      </c>
      <c r="K142" s="33" t="s">
        <v>1502</v>
      </c>
      <c r="L142" s="40">
        <f>VLOOKUP(B142,'✈ Flights (2)'!$A$2:$R$501,13,FALSE)</f>
        <v>304.2</v>
      </c>
      <c r="M142">
        <f>VLOOKUP(B142,'✈ Flights (2)'!$A$2:$R$501,16,FALSE)</f>
        <v>87</v>
      </c>
      <c r="N142" t="str">
        <f>VLOOKUP(B142,'✈ Flights (2)'!$A$2:$R$501,14,FALSE)</f>
        <v>Economy</v>
      </c>
      <c r="O142">
        <f>VLOOKUP(B142,'✈ Flights (2)'!$A$2:$P$502,12,FALSE)</f>
        <v>2311</v>
      </c>
    </row>
    <row r="143" spans="1:15">
      <c r="A143" s="38" t="s">
        <v>1646</v>
      </c>
      <c r="B143" s="38" t="s">
        <v>543</v>
      </c>
      <c r="C143" s="38" t="s">
        <v>157</v>
      </c>
      <c r="D143" s="33" t="str">
        <f>VLOOKUP(B143,'✈ Flights (2)'!$A$2:$P$502,3,FALSE)</f>
        <v>United</v>
      </c>
      <c r="E143" s="38">
        <v>78930.503343023302</v>
      </c>
      <c r="F143" s="33">
        <f t="shared" si="2"/>
        <v>31.321628310723501</v>
      </c>
      <c r="G143" s="38">
        <v>4189.1499999999996</v>
      </c>
      <c r="H143" s="38">
        <v>5181.75</v>
      </c>
      <c r="I143" s="38">
        <v>29074.51</v>
      </c>
      <c r="J143" s="38">
        <v>22610.19</v>
      </c>
      <c r="K143" s="38" t="s">
        <v>1504</v>
      </c>
      <c r="L143" s="40">
        <f>VLOOKUP(B143,'✈ Flights (2)'!$A$2:$R$501,13,FALSE)</f>
        <v>607.15771802325605</v>
      </c>
      <c r="M143">
        <f>VLOOKUP(B143,'✈ Flights (2)'!$A$2:$R$501,16,FALSE)</f>
        <v>130</v>
      </c>
      <c r="N143" t="str">
        <f>VLOOKUP(B143,'✈ Flights (2)'!$A$2:$R$501,14,FALSE)</f>
        <v>Business</v>
      </c>
      <c r="O143">
        <f>VLOOKUP(B143,'✈ Flights (2)'!$A$2:$P$502,12,FALSE)</f>
        <v>2520</v>
      </c>
    </row>
    <row r="144" spans="1:15">
      <c r="A144" s="33" t="s">
        <v>1647</v>
      </c>
      <c r="B144" s="33" t="s">
        <v>547</v>
      </c>
      <c r="C144" s="33" t="s">
        <v>117</v>
      </c>
      <c r="D144" s="33" t="str">
        <f>VLOOKUP(B144,'✈ Flights (2)'!$A$2:$P$502,3,FALSE)</f>
        <v>Alaska</v>
      </c>
      <c r="E144" s="33">
        <v>184357.02</v>
      </c>
      <c r="F144" s="33">
        <f t="shared" si="2"/>
        <v>145.27739952718699</v>
      </c>
      <c r="G144" s="33">
        <v>6235.39</v>
      </c>
      <c r="H144" s="33">
        <v>14618.13</v>
      </c>
      <c r="I144" s="33">
        <v>22256.76</v>
      </c>
      <c r="J144" s="33">
        <v>153717.51999999999</v>
      </c>
      <c r="K144" s="33" t="s">
        <v>1511</v>
      </c>
      <c r="L144" s="40">
        <f>VLOOKUP(B144,'✈ Flights (2)'!$A$2:$R$501,13,FALSE)</f>
        <v>965.22</v>
      </c>
      <c r="M144">
        <f>VLOOKUP(B144,'✈ Flights (2)'!$A$2:$R$501,16,FALSE)</f>
        <v>191</v>
      </c>
      <c r="N144" t="str">
        <f>VLOOKUP(B144,'✈ Flights (2)'!$A$2:$R$501,14,FALSE)</f>
        <v>Economy</v>
      </c>
      <c r="O144">
        <f>VLOOKUP(B144,'✈ Flights (2)'!$A$2:$P$502,12,FALSE)</f>
        <v>1269</v>
      </c>
    </row>
    <row r="145" spans="1:15">
      <c r="A145" s="38" t="s">
        <v>1648</v>
      </c>
      <c r="B145" s="38" t="s">
        <v>550</v>
      </c>
      <c r="C145" s="38" t="s">
        <v>49</v>
      </c>
      <c r="D145" s="33" t="str">
        <f>VLOOKUP(B145,'✈ Flights (2)'!$A$2:$P$502,3,FALSE)</f>
        <v>American</v>
      </c>
      <c r="E145" s="38">
        <v>58183.86</v>
      </c>
      <c r="F145" s="33">
        <f t="shared" si="2"/>
        <v>25.745070796460201</v>
      </c>
      <c r="G145" s="38">
        <v>4857.99</v>
      </c>
      <c r="H145" s="38">
        <v>13288.5</v>
      </c>
      <c r="I145" s="38">
        <v>24795.11</v>
      </c>
      <c r="J145" s="38">
        <v>24958.240000000002</v>
      </c>
      <c r="K145" s="38" t="s">
        <v>1509</v>
      </c>
      <c r="L145" s="40">
        <f>VLOOKUP(B145,'✈ Flights (2)'!$A$2:$R$501,13,FALSE)</f>
        <v>668.78</v>
      </c>
      <c r="M145">
        <f>VLOOKUP(B145,'✈ Flights (2)'!$A$2:$R$501,16,FALSE)</f>
        <v>87</v>
      </c>
      <c r="N145" t="str">
        <f>VLOOKUP(B145,'✈ Flights (2)'!$A$2:$R$501,14,FALSE)</f>
        <v>Business</v>
      </c>
      <c r="O145">
        <f>VLOOKUP(B145,'✈ Flights (2)'!$A$2:$P$502,12,FALSE)</f>
        <v>2260</v>
      </c>
    </row>
    <row r="146" spans="1:15">
      <c r="A146" s="33" t="s">
        <v>1649</v>
      </c>
      <c r="B146" s="33" t="s">
        <v>553</v>
      </c>
      <c r="C146" s="33" t="s">
        <v>41</v>
      </c>
      <c r="D146" s="33" t="str">
        <f>VLOOKUP(B146,'✈ Flights (2)'!$A$2:$P$502,3,FALSE)</f>
        <v>United</v>
      </c>
      <c r="E146" s="33">
        <v>66115.31</v>
      </c>
      <c r="F146" s="33">
        <f t="shared" si="2"/>
        <v>25.846485535574701</v>
      </c>
      <c r="G146" s="33">
        <v>7806.94</v>
      </c>
      <c r="H146" s="33">
        <v>6851.63</v>
      </c>
      <c r="I146" s="33">
        <v>33639.83</v>
      </c>
      <c r="J146" s="33">
        <v>33430.79</v>
      </c>
      <c r="K146" s="33" t="s">
        <v>1504</v>
      </c>
      <c r="L146" s="40">
        <f>VLOOKUP(B146,'✈ Flights (2)'!$A$2:$R$501,13,FALSE)</f>
        <v>796.57</v>
      </c>
      <c r="M146">
        <f>VLOOKUP(B146,'✈ Flights (2)'!$A$2:$R$501,16,FALSE)</f>
        <v>83</v>
      </c>
      <c r="N146" t="str">
        <f>VLOOKUP(B146,'✈ Flights (2)'!$A$2:$R$501,14,FALSE)</f>
        <v>Economy</v>
      </c>
      <c r="O146">
        <f>VLOOKUP(B146,'✈ Flights (2)'!$A$2:$P$502,12,FALSE)</f>
        <v>2558</v>
      </c>
    </row>
    <row r="147" spans="1:15">
      <c r="A147" s="38" t="s">
        <v>1650</v>
      </c>
      <c r="B147" s="38" t="s">
        <v>555</v>
      </c>
      <c r="C147" s="38" t="s">
        <v>117</v>
      </c>
      <c r="D147" s="33" t="str">
        <f>VLOOKUP(B147,'✈ Flights (2)'!$A$2:$P$502,3,FALSE)</f>
        <v>United</v>
      </c>
      <c r="E147" s="38">
        <v>205097.62</v>
      </c>
      <c r="F147" s="33">
        <f t="shared" si="2"/>
        <v>126.52536705737199</v>
      </c>
      <c r="G147" s="38">
        <v>6839.6</v>
      </c>
      <c r="H147" s="38">
        <v>2760.64</v>
      </c>
      <c r="I147" s="38">
        <v>10699.65</v>
      </c>
      <c r="J147" s="38">
        <v>198476.93</v>
      </c>
      <c r="K147" s="38" t="s">
        <v>1511</v>
      </c>
      <c r="L147" s="40">
        <f>VLOOKUP(B147,'✈ Flights (2)'!$A$2:$R$501,13,FALSE)</f>
        <v>1126.9100000000001</v>
      </c>
      <c r="M147">
        <f>VLOOKUP(B147,'✈ Flights (2)'!$A$2:$R$501,16,FALSE)</f>
        <v>182</v>
      </c>
      <c r="N147" t="str">
        <f>VLOOKUP(B147,'✈ Flights (2)'!$A$2:$R$501,14,FALSE)</f>
        <v>Economy</v>
      </c>
      <c r="O147">
        <f>VLOOKUP(B147,'✈ Flights (2)'!$A$2:$P$502,12,FALSE)</f>
        <v>1621</v>
      </c>
    </row>
    <row r="148" spans="1:15">
      <c r="A148" s="33" t="s">
        <v>1651</v>
      </c>
      <c r="B148" s="33" t="s">
        <v>558</v>
      </c>
      <c r="C148" s="33" t="s">
        <v>33</v>
      </c>
      <c r="D148" s="33" t="str">
        <f>VLOOKUP(B148,'✈ Flights (2)'!$A$2:$P$502,3,FALSE)</f>
        <v>Southwest</v>
      </c>
      <c r="E148" s="33">
        <v>23080</v>
      </c>
      <c r="F148" s="33">
        <f t="shared" si="2"/>
        <v>9.2877263581488894</v>
      </c>
      <c r="G148" s="33">
        <v>0</v>
      </c>
      <c r="H148" s="33">
        <v>11012.68</v>
      </c>
      <c r="I148" s="33">
        <v>21136.54</v>
      </c>
      <c r="J148" s="33">
        <v>-32149.22</v>
      </c>
      <c r="K148" s="33" t="s">
        <v>1511</v>
      </c>
      <c r="L148" s="40">
        <f>VLOOKUP(B148,'✈ Flights (2)'!$A$2:$R$501,13,FALSE)</f>
        <v>184.64</v>
      </c>
      <c r="M148">
        <f>VLOOKUP(B148,'✈ Flights (2)'!$A$2:$R$501,16,FALSE)</f>
        <v>125</v>
      </c>
      <c r="N148" t="str">
        <f>VLOOKUP(B148,'✈ Flights (2)'!$A$2:$R$501,14,FALSE)</f>
        <v>First Class</v>
      </c>
      <c r="O148">
        <f>VLOOKUP(B148,'✈ Flights (2)'!$A$2:$P$502,12,FALSE)</f>
        <v>2485</v>
      </c>
    </row>
    <row r="149" spans="1:15">
      <c r="A149" s="38" t="s">
        <v>1652</v>
      </c>
      <c r="B149" s="38" t="s">
        <v>561</v>
      </c>
      <c r="C149" s="38" t="s">
        <v>49</v>
      </c>
      <c r="D149" s="33" t="str">
        <f>VLOOKUP(B149,'✈ Flights (2)'!$A$2:$P$502,3,FALSE)</f>
        <v>American</v>
      </c>
      <c r="E149" s="38">
        <v>25791.24</v>
      </c>
      <c r="F149" s="33">
        <f t="shared" si="2"/>
        <v>40.808924050632903</v>
      </c>
      <c r="G149" s="38">
        <v>1724.82</v>
      </c>
      <c r="H149" s="38">
        <v>7453.68</v>
      </c>
      <c r="I149" s="38">
        <v>14543.46</v>
      </c>
      <c r="J149" s="38">
        <v>5518.92</v>
      </c>
      <c r="K149" s="38" t="s">
        <v>1511</v>
      </c>
      <c r="L149" s="40">
        <f>VLOOKUP(B149,'✈ Flights (2)'!$A$2:$R$501,13,FALSE)</f>
        <v>130.91999999999999</v>
      </c>
      <c r="M149">
        <f>VLOOKUP(B149,'✈ Flights (2)'!$A$2:$R$501,16,FALSE)</f>
        <v>197</v>
      </c>
      <c r="N149" t="str">
        <f>VLOOKUP(B149,'✈ Flights (2)'!$A$2:$R$501,14,FALSE)</f>
        <v>First Class</v>
      </c>
      <c r="O149">
        <f>VLOOKUP(B149,'✈ Flights (2)'!$A$2:$P$502,12,FALSE)</f>
        <v>632</v>
      </c>
    </row>
    <row r="150" spans="1:15">
      <c r="A150" s="33" t="s">
        <v>1653</v>
      </c>
      <c r="B150" s="33" t="s">
        <v>564</v>
      </c>
      <c r="C150" s="33" t="s">
        <v>49</v>
      </c>
      <c r="D150" s="33" t="str">
        <f>VLOOKUP(B150,'✈ Flights (2)'!$A$2:$P$502,3,FALSE)</f>
        <v>Spirit</v>
      </c>
      <c r="E150" s="33">
        <v>78233.399999999994</v>
      </c>
      <c r="F150" s="33">
        <f t="shared" si="2"/>
        <v>50.900065061808696</v>
      </c>
      <c r="G150" s="33">
        <v>865.36</v>
      </c>
      <c r="H150" s="33">
        <v>10306.299999999999</v>
      </c>
      <c r="I150" s="33">
        <v>15208.24</v>
      </c>
      <c r="J150" s="33">
        <v>53584.22</v>
      </c>
      <c r="K150" s="33" t="s">
        <v>1504</v>
      </c>
      <c r="L150" s="40">
        <f>VLOOKUP(B150,'✈ Flights (2)'!$A$2:$R$501,13,FALSE)</f>
        <v>620.9</v>
      </c>
      <c r="M150">
        <f>VLOOKUP(B150,'✈ Flights (2)'!$A$2:$R$501,16,FALSE)</f>
        <v>126</v>
      </c>
      <c r="N150" t="str">
        <f>VLOOKUP(B150,'✈ Flights (2)'!$A$2:$R$501,14,FALSE)</f>
        <v>Unknown</v>
      </c>
      <c r="O150">
        <f>VLOOKUP(B150,'✈ Flights (2)'!$A$2:$P$502,12,FALSE)</f>
        <v>1537</v>
      </c>
    </row>
    <row r="151" spans="1:15">
      <c r="A151" s="38" t="s">
        <v>1654</v>
      </c>
      <c r="B151" s="38" t="s">
        <v>567</v>
      </c>
      <c r="C151" s="38" t="s">
        <v>41</v>
      </c>
      <c r="D151" s="33" t="str">
        <f>VLOOKUP(B151,'✈ Flights (2)'!$A$2:$P$502,3,FALSE)</f>
        <v>American</v>
      </c>
      <c r="E151" s="38">
        <v>161764.98000000001</v>
      </c>
      <c r="F151" s="33">
        <f t="shared" si="2"/>
        <v>95.549308919078598</v>
      </c>
      <c r="G151" s="38">
        <v>4354</v>
      </c>
      <c r="H151" s="38">
        <v>4382.22</v>
      </c>
      <c r="I151" s="38">
        <v>31825.49</v>
      </c>
      <c r="J151" s="38">
        <v>129911.27</v>
      </c>
      <c r="K151" s="38" t="s">
        <v>1504</v>
      </c>
      <c r="L151" s="40">
        <f>VLOOKUP(B151,'✈ Flights (2)'!$A$2:$R$501,13,FALSE)</f>
        <v>759.46</v>
      </c>
      <c r="M151">
        <f>VLOOKUP(B151,'✈ Flights (2)'!$A$2:$R$501,16,FALSE)</f>
        <v>213</v>
      </c>
      <c r="N151" t="str">
        <f>VLOOKUP(B151,'✈ Flights (2)'!$A$2:$R$501,14,FALSE)</f>
        <v>Business</v>
      </c>
      <c r="O151">
        <f>VLOOKUP(B151,'✈ Flights (2)'!$A$2:$P$502,12,FALSE)</f>
        <v>1693</v>
      </c>
    </row>
    <row r="152" spans="1:15">
      <c r="A152" s="33" t="s">
        <v>1655</v>
      </c>
      <c r="B152" s="33" t="s">
        <v>569</v>
      </c>
      <c r="C152" s="33" t="s">
        <v>65</v>
      </c>
      <c r="D152" s="33" t="str">
        <f>VLOOKUP(B152,'✈ Flights (2)'!$A$2:$P$502,3,FALSE)</f>
        <v>American</v>
      </c>
      <c r="E152" s="33">
        <v>68608.822136627903</v>
      </c>
      <c r="F152" s="33">
        <f t="shared" si="2"/>
        <v>53.1851334392464</v>
      </c>
      <c r="G152" s="33">
        <v>4990.72</v>
      </c>
      <c r="H152" s="33">
        <v>6193.89</v>
      </c>
      <c r="I152" s="33">
        <v>10849.76</v>
      </c>
      <c r="J152" s="33">
        <v>56023.92</v>
      </c>
      <c r="K152" s="33" t="s">
        <v>1511</v>
      </c>
      <c r="L152" s="40">
        <f>VLOOKUP(B152,'✈ Flights (2)'!$A$2:$R$501,13,FALSE)</f>
        <v>607.15771802325605</v>
      </c>
      <c r="M152">
        <f>VLOOKUP(B152,'✈ Flights (2)'!$A$2:$R$501,16,FALSE)</f>
        <v>113</v>
      </c>
      <c r="N152" t="str">
        <f>VLOOKUP(B152,'✈ Flights (2)'!$A$2:$R$501,14,FALSE)</f>
        <v>Business</v>
      </c>
      <c r="O152">
        <f>VLOOKUP(B152,'✈ Flights (2)'!$A$2:$P$502,12,FALSE)</f>
        <v>1290</v>
      </c>
    </row>
    <row r="153" spans="1:15">
      <c r="A153" s="38" t="s">
        <v>1656</v>
      </c>
      <c r="B153" s="38" t="s">
        <v>574</v>
      </c>
      <c r="C153" s="38" t="s">
        <v>67</v>
      </c>
      <c r="D153" s="33" t="str">
        <f>VLOOKUP(B153,'✈ Flights (2)'!$A$2:$P$502,3,FALSE)</f>
        <v>Jetblue</v>
      </c>
      <c r="E153" s="38">
        <v>79889.399999999994</v>
      </c>
      <c r="F153" s="33">
        <f t="shared" si="2"/>
        <v>29.966016504125999</v>
      </c>
      <c r="G153" s="38">
        <v>6701.16</v>
      </c>
      <c r="H153" s="38">
        <v>5913.94</v>
      </c>
      <c r="I153" s="38">
        <v>28973.85</v>
      </c>
      <c r="J153" s="38">
        <v>51702.77</v>
      </c>
      <c r="K153" s="38" t="s">
        <v>1511</v>
      </c>
      <c r="L153" s="40">
        <f>VLOOKUP(B153,'✈ Flights (2)'!$A$2:$R$501,13,FALSE)</f>
        <v>887.66</v>
      </c>
      <c r="M153">
        <f>VLOOKUP(B153,'✈ Flights (2)'!$A$2:$R$501,16,FALSE)</f>
        <v>90</v>
      </c>
      <c r="N153" t="str">
        <f>VLOOKUP(B153,'✈ Flights (2)'!$A$2:$R$501,14,FALSE)</f>
        <v>Economy</v>
      </c>
      <c r="O153">
        <f>VLOOKUP(B153,'✈ Flights (2)'!$A$2:$P$502,12,FALSE)</f>
        <v>2666</v>
      </c>
    </row>
    <row r="154" spans="1:15">
      <c r="A154" s="33" t="s">
        <v>1657</v>
      </c>
      <c r="B154" s="33" t="s">
        <v>577</v>
      </c>
      <c r="C154" s="33" t="s">
        <v>80</v>
      </c>
      <c r="D154" s="33" t="str">
        <f>VLOOKUP(B154,'✈ Flights (2)'!$A$2:$P$502,3,FALSE)</f>
        <v>Frontier</v>
      </c>
      <c r="E154" s="33">
        <v>80116.399999999994</v>
      </c>
      <c r="F154" s="33">
        <f t="shared" si="2"/>
        <v>41.945759162303702</v>
      </c>
      <c r="G154" s="33">
        <v>1218.75</v>
      </c>
      <c r="H154" s="33">
        <v>12703.09</v>
      </c>
      <c r="I154" s="33">
        <v>25301.63</v>
      </c>
      <c r="J154" s="33">
        <v>43330.43</v>
      </c>
      <c r="K154" s="33" t="s">
        <v>1504</v>
      </c>
      <c r="L154" s="40">
        <f>VLOOKUP(B154,'✈ Flights (2)'!$A$2:$R$501,13,FALSE)</f>
        <v>646.1</v>
      </c>
      <c r="M154">
        <f>VLOOKUP(B154,'✈ Flights (2)'!$A$2:$R$501,16,FALSE)</f>
        <v>124</v>
      </c>
      <c r="N154" t="str">
        <f>VLOOKUP(B154,'✈ Flights (2)'!$A$2:$R$501,14,FALSE)</f>
        <v>Economy</v>
      </c>
      <c r="O154">
        <f>VLOOKUP(B154,'✈ Flights (2)'!$A$2:$P$502,12,FALSE)</f>
        <v>1910</v>
      </c>
    </row>
    <row r="155" spans="1:15">
      <c r="A155" s="38" t="s">
        <v>1658</v>
      </c>
      <c r="B155" s="38" t="s">
        <v>580</v>
      </c>
      <c r="C155" s="38" t="s">
        <v>80</v>
      </c>
      <c r="D155" s="33" t="str">
        <f>VLOOKUP(B155,'✈ Flights (2)'!$A$2:$P$502,3,FALSE)</f>
        <v>Jetblue</v>
      </c>
      <c r="E155" s="38">
        <v>32891.43</v>
      </c>
      <c r="F155" s="33">
        <f t="shared" si="2"/>
        <v>15.928053268765099</v>
      </c>
      <c r="G155" s="38">
        <v>1527.12</v>
      </c>
      <c r="H155" s="38">
        <v>12124.5</v>
      </c>
      <c r="I155" s="38">
        <v>14849.62</v>
      </c>
      <c r="J155" s="38">
        <v>7444.43</v>
      </c>
      <c r="K155" s="38" t="s">
        <v>1509</v>
      </c>
      <c r="L155" s="40">
        <f>VLOOKUP(B155,'✈ Flights (2)'!$A$2:$R$501,13,FALSE)</f>
        <v>230.01</v>
      </c>
      <c r="M155">
        <f>VLOOKUP(B155,'✈ Flights (2)'!$A$2:$R$501,16,FALSE)</f>
        <v>143</v>
      </c>
      <c r="N155" t="str">
        <f>VLOOKUP(B155,'✈ Flights (2)'!$A$2:$R$501,14,FALSE)</f>
        <v>Business</v>
      </c>
      <c r="O155">
        <f>VLOOKUP(B155,'✈ Flights (2)'!$A$2:$P$502,12,FALSE)</f>
        <v>2065</v>
      </c>
    </row>
    <row r="156" spans="1:15">
      <c r="A156" s="33" t="s">
        <v>1659</v>
      </c>
      <c r="B156" s="33" t="s">
        <v>582</v>
      </c>
      <c r="C156" s="33" t="s">
        <v>57</v>
      </c>
      <c r="D156" s="33" t="str">
        <f>VLOOKUP(B156,'✈ Flights (2)'!$A$2:$P$502,3,FALSE)</f>
        <v>Spirit</v>
      </c>
      <c r="E156" s="33">
        <v>66532.95</v>
      </c>
      <c r="F156" s="33">
        <f t="shared" si="2"/>
        <v>25.928663289166</v>
      </c>
      <c r="G156" s="33">
        <v>3052.35</v>
      </c>
      <c r="H156" s="33">
        <v>3331.43</v>
      </c>
      <c r="I156" s="33">
        <v>36877.58</v>
      </c>
      <c r="J156" s="33">
        <v>29376.29</v>
      </c>
      <c r="K156" s="33" t="s">
        <v>1502</v>
      </c>
      <c r="L156" s="40">
        <f>VLOOKUP(B156,'✈ Flights (2)'!$A$2:$R$501,13,FALSE)</f>
        <v>403.23</v>
      </c>
      <c r="M156">
        <f>VLOOKUP(B156,'✈ Flights (2)'!$A$2:$R$501,16,FALSE)</f>
        <v>165</v>
      </c>
      <c r="N156" t="str">
        <f>VLOOKUP(B156,'✈ Flights (2)'!$A$2:$R$501,14,FALSE)</f>
        <v>Business</v>
      </c>
      <c r="O156">
        <f>VLOOKUP(B156,'✈ Flights (2)'!$A$2:$P$502,12,FALSE)</f>
        <v>2566</v>
      </c>
    </row>
    <row r="157" spans="1:15">
      <c r="A157" s="38" t="s">
        <v>1660</v>
      </c>
      <c r="B157" s="38" t="s">
        <v>585</v>
      </c>
      <c r="C157" s="38" t="s">
        <v>198</v>
      </c>
      <c r="D157" s="33" t="str">
        <f>VLOOKUP(B157,'✈ Flights (2)'!$A$2:$P$502,3,FALSE)</f>
        <v>American</v>
      </c>
      <c r="E157" s="38">
        <v>94875.3</v>
      </c>
      <c r="F157" s="33">
        <f t="shared" si="2"/>
        <v>52.796494156928198</v>
      </c>
      <c r="G157" s="38">
        <v>4275.37</v>
      </c>
      <c r="H157" s="38">
        <v>12336.39</v>
      </c>
      <c r="I157" s="38">
        <v>34105.07</v>
      </c>
      <c r="J157" s="38">
        <v>124434.71</v>
      </c>
      <c r="K157" s="38" t="s">
        <v>1504</v>
      </c>
      <c r="L157" s="40">
        <f>VLOOKUP(B157,'✈ Flights (2)'!$A$2:$R$501,13,FALSE)</f>
        <v>527.08500000000004</v>
      </c>
      <c r="M157">
        <f>VLOOKUP(B157,'✈ Flights (2)'!$A$2:$R$501,16,FALSE)</f>
        <v>180</v>
      </c>
      <c r="N157" t="str">
        <f>VLOOKUP(B157,'✈ Flights (2)'!$A$2:$R$501,14,FALSE)</f>
        <v>Economy</v>
      </c>
      <c r="O157">
        <f>VLOOKUP(B157,'✈ Flights (2)'!$A$2:$P$502,12,FALSE)</f>
        <v>1797</v>
      </c>
    </row>
    <row r="158" spans="1:15">
      <c r="A158" s="33" t="s">
        <v>1661</v>
      </c>
      <c r="B158" s="33" t="s">
        <v>587</v>
      </c>
      <c r="C158" s="33" t="s">
        <v>57</v>
      </c>
      <c r="D158" s="33" t="str">
        <f>VLOOKUP(B158,'✈ Flights (2)'!$A$2:$P$502,3,FALSE)</f>
        <v>Delta</v>
      </c>
      <c r="E158" s="33">
        <v>185242.79</v>
      </c>
      <c r="F158" s="33">
        <f t="shared" si="2"/>
        <v>76.325830243098494</v>
      </c>
      <c r="G158" s="33">
        <v>3630.1</v>
      </c>
      <c r="H158" s="33">
        <v>3515.35</v>
      </c>
      <c r="I158" s="33">
        <v>37061.089999999997</v>
      </c>
      <c r="J158" s="33">
        <v>148296.45000000001</v>
      </c>
      <c r="K158" s="33" t="s">
        <v>1502</v>
      </c>
      <c r="L158" s="40">
        <f>VLOOKUP(B158,'✈ Flights (2)'!$A$2:$R$501,13,FALSE)</f>
        <v>591.83000000000004</v>
      </c>
      <c r="M158">
        <f>VLOOKUP(B158,'✈ Flights (2)'!$A$2:$R$501,16,FALSE)</f>
        <v>313</v>
      </c>
      <c r="N158" t="str">
        <f>VLOOKUP(B158,'✈ Flights (2)'!$A$2:$R$501,14,FALSE)</f>
        <v>First Class</v>
      </c>
      <c r="O158">
        <f>VLOOKUP(B158,'✈ Flights (2)'!$A$2:$P$502,12,FALSE)</f>
        <v>2427</v>
      </c>
    </row>
    <row r="159" spans="1:15">
      <c r="A159" s="38" t="s">
        <v>1662</v>
      </c>
      <c r="B159" s="38" t="s">
        <v>589</v>
      </c>
      <c r="C159" s="38" t="s">
        <v>67</v>
      </c>
      <c r="D159" s="33" t="str">
        <f>VLOOKUP(B159,'✈ Flights (2)'!$A$2:$P$502,3,FALSE)</f>
        <v>American</v>
      </c>
      <c r="E159" s="38">
        <v>85203.72</v>
      </c>
      <c r="F159" s="33">
        <f t="shared" si="2"/>
        <v>35.694897360703798</v>
      </c>
      <c r="G159" s="38">
        <v>7425.57</v>
      </c>
      <c r="H159" s="38">
        <v>6050.46</v>
      </c>
      <c r="I159" s="38">
        <v>21783.14</v>
      </c>
      <c r="J159" s="38">
        <v>64795.69</v>
      </c>
      <c r="K159" s="38" t="s">
        <v>1511</v>
      </c>
      <c r="L159" s="40">
        <f>VLOOKUP(B159,'✈ Flights (2)'!$A$2:$R$501,13,FALSE)</f>
        <v>676.22</v>
      </c>
      <c r="M159">
        <f>VLOOKUP(B159,'✈ Flights (2)'!$A$2:$R$501,16,FALSE)</f>
        <v>126</v>
      </c>
      <c r="N159" t="str">
        <f>VLOOKUP(B159,'✈ Flights (2)'!$A$2:$R$501,14,FALSE)</f>
        <v>First Class</v>
      </c>
      <c r="O159">
        <f>VLOOKUP(B159,'✈ Flights (2)'!$A$2:$P$502,12,FALSE)</f>
        <v>2387</v>
      </c>
    </row>
    <row r="160" spans="1:15">
      <c r="A160" s="33" t="s">
        <v>1663</v>
      </c>
      <c r="B160" s="33" t="s">
        <v>593</v>
      </c>
      <c r="C160" s="33" t="s">
        <v>157</v>
      </c>
      <c r="D160" s="33" t="str">
        <f>VLOOKUP(B160,'✈ Flights (2)'!$A$2:$P$502,3,FALSE)</f>
        <v>Alaska</v>
      </c>
      <c r="E160" s="33">
        <v>14608.72</v>
      </c>
      <c r="F160" s="33">
        <f t="shared" si="2"/>
        <v>5.0777615571776096</v>
      </c>
      <c r="G160" s="33">
        <v>1542.6</v>
      </c>
      <c r="H160" s="33">
        <v>14838.56</v>
      </c>
      <c r="I160" s="33">
        <v>20467.830000000002</v>
      </c>
      <c r="J160" s="33">
        <v>-19155.07</v>
      </c>
      <c r="K160" s="33" t="s">
        <v>1511</v>
      </c>
      <c r="L160" s="40">
        <f>VLOOKUP(B160,'✈ Flights (2)'!$A$2:$R$501,13,FALSE)</f>
        <v>109.84</v>
      </c>
      <c r="M160">
        <f>VLOOKUP(B160,'✈ Flights (2)'!$A$2:$R$501,16,FALSE)</f>
        <v>133</v>
      </c>
      <c r="N160" t="str">
        <f>VLOOKUP(B160,'✈ Flights (2)'!$A$2:$R$501,14,FALSE)</f>
        <v>Business</v>
      </c>
      <c r="O160">
        <f>VLOOKUP(B160,'✈ Flights (2)'!$A$2:$P$502,12,FALSE)</f>
        <v>2877</v>
      </c>
    </row>
    <row r="161" spans="1:15">
      <c r="A161" s="38" t="s">
        <v>1664</v>
      </c>
      <c r="B161" s="38" t="s">
        <v>596</v>
      </c>
      <c r="C161" s="38" t="s">
        <v>74</v>
      </c>
      <c r="D161" s="33" t="str">
        <f>VLOOKUP(B161,'✈ Flights (2)'!$A$2:$P$502,3,FALSE)</f>
        <v>Delta</v>
      </c>
      <c r="E161" s="38">
        <v>8536.64</v>
      </c>
      <c r="F161" s="33">
        <f t="shared" si="2"/>
        <v>6.6073065015479902</v>
      </c>
      <c r="G161" s="38">
        <v>1791.55</v>
      </c>
      <c r="H161" s="38">
        <v>11677.98</v>
      </c>
      <c r="I161" s="38">
        <v>15663.95</v>
      </c>
      <c r="J161" s="38">
        <v>-17013.740000000002</v>
      </c>
      <c r="K161" s="38" t="s">
        <v>1504</v>
      </c>
      <c r="L161" s="40">
        <f>VLOOKUP(B161,'✈ Flights (2)'!$A$2:$R$501,13,FALSE)</f>
        <v>115.36</v>
      </c>
      <c r="M161">
        <f>VLOOKUP(B161,'✈ Flights (2)'!$A$2:$R$501,16,FALSE)</f>
        <v>74</v>
      </c>
      <c r="N161" t="str">
        <f>VLOOKUP(B161,'✈ Flights (2)'!$A$2:$R$501,14,FALSE)</f>
        <v>First Class</v>
      </c>
      <c r="O161">
        <f>VLOOKUP(B161,'✈ Flights (2)'!$A$2:$P$502,12,FALSE)</f>
        <v>1292</v>
      </c>
    </row>
    <row r="162" spans="1:15">
      <c r="A162" s="33" t="s">
        <v>1665</v>
      </c>
      <c r="B162" s="33" t="s">
        <v>598</v>
      </c>
      <c r="C162" s="33" t="s">
        <v>102</v>
      </c>
      <c r="D162" s="33" t="str">
        <f>VLOOKUP(B162,'✈ Flights (2)'!$A$2:$P$502,3,FALSE)</f>
        <v>Spirit</v>
      </c>
      <c r="E162" s="33">
        <v>76785.570000000007</v>
      </c>
      <c r="F162" s="33">
        <f t="shared" si="2"/>
        <v>32.605337579617803</v>
      </c>
      <c r="G162" s="33">
        <v>2167.6799999999998</v>
      </c>
      <c r="H162" s="33">
        <v>3850.67</v>
      </c>
      <c r="I162" s="33">
        <v>34988.53</v>
      </c>
      <c r="J162" s="33">
        <v>40114.050000000003</v>
      </c>
      <c r="K162" s="33" t="s">
        <v>1502</v>
      </c>
      <c r="L162" s="40">
        <f>VLOOKUP(B162,'✈ Flights (2)'!$A$2:$R$501,13,FALSE)</f>
        <v>947.97</v>
      </c>
      <c r="M162">
        <f>VLOOKUP(B162,'✈ Flights (2)'!$A$2:$R$501,16,FALSE)</f>
        <v>81</v>
      </c>
      <c r="N162" t="str">
        <f>VLOOKUP(B162,'✈ Flights (2)'!$A$2:$R$501,14,FALSE)</f>
        <v>Business</v>
      </c>
      <c r="O162">
        <f>VLOOKUP(B162,'✈ Flights (2)'!$A$2:$P$502,12,FALSE)</f>
        <v>2355</v>
      </c>
    </row>
    <row r="163" spans="1:15">
      <c r="A163" s="38" t="s">
        <v>1666</v>
      </c>
      <c r="B163" s="38" t="s">
        <v>601</v>
      </c>
      <c r="C163" s="38" t="s">
        <v>80</v>
      </c>
      <c r="D163" s="33" t="str">
        <f>VLOOKUP(B163,'✈ Flights (2)'!$A$2:$P$502,3,FALSE)</f>
        <v>Alaska</v>
      </c>
      <c r="E163" s="38">
        <v>154221.20000000001</v>
      </c>
      <c r="F163" s="33">
        <f t="shared" si="2"/>
        <v>70.678826764436295</v>
      </c>
      <c r="G163" s="38">
        <v>2805.71</v>
      </c>
      <c r="H163" s="38">
        <v>14754.42</v>
      </c>
      <c r="I163" s="38">
        <v>22778.588495934899</v>
      </c>
      <c r="J163" s="38">
        <v>129928.05</v>
      </c>
      <c r="K163" s="38" t="s">
        <v>1509</v>
      </c>
      <c r="L163" s="40">
        <f>VLOOKUP(B163,'✈ Flights (2)'!$A$2:$R$501,13,FALSE)</f>
        <v>1101.58</v>
      </c>
      <c r="M163">
        <f>VLOOKUP(B163,'✈ Flights (2)'!$A$2:$R$501,16,FALSE)</f>
        <v>140</v>
      </c>
      <c r="N163" t="str">
        <f>VLOOKUP(B163,'✈ Flights (2)'!$A$2:$R$501,14,FALSE)</f>
        <v>Business</v>
      </c>
      <c r="O163">
        <f>VLOOKUP(B163,'✈ Flights (2)'!$A$2:$P$502,12,FALSE)</f>
        <v>2182</v>
      </c>
    </row>
    <row r="164" spans="1:15">
      <c r="A164" s="33" t="s">
        <v>1667</v>
      </c>
      <c r="B164" s="33" t="s">
        <v>604</v>
      </c>
      <c r="C164" s="33" t="s">
        <v>184</v>
      </c>
      <c r="D164" s="33" t="str">
        <f>VLOOKUP(B164,'✈ Flights (2)'!$A$2:$P$502,3,FALSE)</f>
        <v>Frontier</v>
      </c>
      <c r="E164" s="33">
        <v>130233.36</v>
      </c>
      <c r="F164" s="33">
        <f t="shared" si="2"/>
        <v>85.736247531270607</v>
      </c>
      <c r="G164" s="33">
        <v>5681.14</v>
      </c>
      <c r="H164" s="33">
        <v>3010.56</v>
      </c>
      <c r="I164" s="33">
        <v>32441.040000000001</v>
      </c>
      <c r="J164" s="33">
        <v>100462.9</v>
      </c>
      <c r="K164" s="33" t="s">
        <v>1509</v>
      </c>
      <c r="L164" s="40">
        <f>VLOOKUP(B164,'✈ Flights (2)'!$A$2:$R$501,13,FALSE)</f>
        <v>943.72</v>
      </c>
      <c r="M164">
        <f>VLOOKUP(B164,'✈ Flights (2)'!$A$2:$R$501,16,FALSE)</f>
        <v>138</v>
      </c>
      <c r="N164" t="str">
        <f>VLOOKUP(B164,'✈ Flights (2)'!$A$2:$R$501,14,FALSE)</f>
        <v>First Class</v>
      </c>
      <c r="O164">
        <f>VLOOKUP(B164,'✈ Flights (2)'!$A$2:$P$502,12,FALSE)</f>
        <v>1519</v>
      </c>
    </row>
    <row r="165" spans="1:15">
      <c r="A165" s="38" t="s">
        <v>1668</v>
      </c>
      <c r="B165" s="38" t="s">
        <v>608</v>
      </c>
      <c r="C165" s="38" t="s">
        <v>33</v>
      </c>
      <c r="D165" s="33" t="str">
        <f>VLOOKUP(B165,'✈ Flights (2)'!$A$2:$P$502,3,FALSE)</f>
        <v>Alaska</v>
      </c>
      <c r="E165" s="38">
        <v>114188.76</v>
      </c>
      <c r="F165" s="33">
        <f t="shared" si="2"/>
        <v>45.2411885895404</v>
      </c>
      <c r="G165" s="38">
        <v>0</v>
      </c>
      <c r="H165" s="38">
        <v>2552.7199999999998</v>
      </c>
      <c r="I165" s="38">
        <v>31506.69</v>
      </c>
      <c r="J165" s="38">
        <v>-34059.410000000003</v>
      </c>
      <c r="K165" s="38" t="s">
        <v>1504</v>
      </c>
      <c r="L165" s="40">
        <f>VLOOKUP(B165,'✈ Flights (2)'!$A$2:$R$501,13,FALSE)</f>
        <v>505.26</v>
      </c>
      <c r="M165">
        <f>VLOOKUP(B165,'✈ Flights (2)'!$A$2:$R$501,16,FALSE)</f>
        <v>226</v>
      </c>
      <c r="N165" t="str">
        <f>VLOOKUP(B165,'✈ Flights (2)'!$A$2:$R$501,14,FALSE)</f>
        <v>Business</v>
      </c>
      <c r="O165">
        <f>VLOOKUP(B165,'✈ Flights (2)'!$A$2:$P$502,12,FALSE)</f>
        <v>2524</v>
      </c>
    </row>
    <row r="166" spans="1:15">
      <c r="A166" s="33" t="s">
        <v>1669</v>
      </c>
      <c r="B166" s="33" t="s">
        <v>611</v>
      </c>
      <c r="C166" s="33" t="s">
        <v>57</v>
      </c>
      <c r="D166" s="33" t="str">
        <f>VLOOKUP(B166,'✈ Flights (2)'!$A$2:$P$502,3,FALSE)</f>
        <v>Jetblue</v>
      </c>
      <c r="E166" s="33">
        <v>84727.76</v>
      </c>
      <c r="F166" s="33">
        <f t="shared" si="2"/>
        <v>40.1363145428707</v>
      </c>
      <c r="G166" s="33">
        <v>745.95</v>
      </c>
      <c r="H166" s="33">
        <v>9711.2900000000009</v>
      </c>
      <c r="I166" s="33">
        <v>28092.61</v>
      </c>
      <c r="J166" s="33">
        <v>47669.81</v>
      </c>
      <c r="K166" s="33" t="s">
        <v>1509</v>
      </c>
      <c r="L166" s="40">
        <f>VLOOKUP(B166,'✈ Flights (2)'!$A$2:$R$501,13,FALSE)</f>
        <v>814.69</v>
      </c>
      <c r="M166">
        <f>VLOOKUP(B166,'✈ Flights (2)'!$A$2:$R$501,16,FALSE)</f>
        <v>104</v>
      </c>
      <c r="N166" t="str">
        <f>VLOOKUP(B166,'✈ Flights (2)'!$A$2:$R$501,14,FALSE)</f>
        <v>First Class</v>
      </c>
      <c r="O166">
        <f>VLOOKUP(B166,'✈ Flights (2)'!$A$2:$P$502,12,FALSE)</f>
        <v>2111</v>
      </c>
    </row>
    <row r="167" spans="1:15">
      <c r="A167" s="38" t="s">
        <v>1670</v>
      </c>
      <c r="B167" s="38" t="s">
        <v>614</v>
      </c>
      <c r="C167" s="38" t="s">
        <v>102</v>
      </c>
      <c r="D167" s="33" t="str">
        <f>VLOOKUP(B167,'✈ Flights (2)'!$A$2:$P$502,3,FALSE)</f>
        <v>Jetblue</v>
      </c>
      <c r="E167" s="38">
        <v>108757.51</v>
      </c>
      <c r="F167" s="33">
        <f t="shared" si="2"/>
        <v>214.51185404339299</v>
      </c>
      <c r="G167" s="38">
        <v>1391.92</v>
      </c>
      <c r="H167" s="38">
        <v>2861.22</v>
      </c>
      <c r="I167" s="38">
        <v>13855.44</v>
      </c>
      <c r="J167" s="38">
        <v>93432.77</v>
      </c>
      <c r="K167" s="38" t="s">
        <v>1504</v>
      </c>
      <c r="L167" s="40">
        <f>VLOOKUP(B167,'✈ Flights (2)'!$A$2:$R$501,13,FALSE)</f>
        <v>830.21</v>
      </c>
      <c r="M167">
        <f>VLOOKUP(B167,'✈ Flights (2)'!$A$2:$R$501,16,FALSE)</f>
        <v>131</v>
      </c>
      <c r="N167" t="str">
        <f>VLOOKUP(B167,'✈ Flights (2)'!$A$2:$R$501,14,FALSE)</f>
        <v>First Class</v>
      </c>
      <c r="O167">
        <f>VLOOKUP(B167,'✈ Flights (2)'!$A$2:$P$502,12,FALSE)</f>
        <v>507</v>
      </c>
    </row>
    <row r="168" spans="1:15">
      <c r="A168" s="33" t="s">
        <v>1671</v>
      </c>
      <c r="B168" s="33" t="s">
        <v>617</v>
      </c>
      <c r="C168" s="33" t="s">
        <v>157</v>
      </c>
      <c r="D168" s="33" t="str">
        <f>VLOOKUP(B168,'✈ Flights (2)'!$A$2:$P$502,3,FALSE)</f>
        <v>Spirit</v>
      </c>
      <c r="E168" s="33">
        <v>200969.46</v>
      </c>
      <c r="F168" s="33">
        <f t="shared" si="2"/>
        <v>78.688120595144895</v>
      </c>
      <c r="G168" s="33">
        <v>6159.13</v>
      </c>
      <c r="H168" s="33">
        <v>13961.27</v>
      </c>
      <c r="I168" s="33">
        <v>32382.98</v>
      </c>
      <c r="J168" s="33">
        <v>160784.34</v>
      </c>
      <c r="K168" s="33" t="s">
        <v>1502</v>
      </c>
      <c r="L168" s="40">
        <f>VLOOKUP(B168,'✈ Flights (2)'!$A$2:$R$501,13,FALSE)</f>
        <v>1175.26</v>
      </c>
      <c r="M168">
        <f>VLOOKUP(B168,'✈ Flights (2)'!$A$2:$R$501,16,FALSE)</f>
        <v>171</v>
      </c>
      <c r="N168" t="str">
        <f>VLOOKUP(B168,'✈ Flights (2)'!$A$2:$R$501,14,FALSE)</f>
        <v>Unknown</v>
      </c>
      <c r="O168">
        <f>VLOOKUP(B168,'✈ Flights (2)'!$A$2:$P$502,12,FALSE)</f>
        <v>2554</v>
      </c>
    </row>
    <row r="169" spans="1:15">
      <c r="A169" s="38" t="s">
        <v>1672</v>
      </c>
      <c r="B169" s="38" t="s">
        <v>619</v>
      </c>
      <c r="C169" s="38" t="s">
        <v>157</v>
      </c>
      <c r="D169" s="33" t="str">
        <f>VLOOKUP(B169,'✈ Flights (2)'!$A$2:$P$502,3,FALSE)</f>
        <v>Jetblue</v>
      </c>
      <c r="E169" s="38">
        <v>169912.05</v>
      </c>
      <c r="F169" s="33">
        <f t="shared" si="2"/>
        <v>57.190188488724303</v>
      </c>
      <c r="G169" s="38">
        <v>4907.0200000000004</v>
      </c>
      <c r="H169" s="38">
        <v>10717.81</v>
      </c>
      <c r="I169" s="38">
        <v>12000.85</v>
      </c>
      <c r="J169" s="38">
        <v>152100.41</v>
      </c>
      <c r="K169" s="38" t="s">
        <v>1504</v>
      </c>
      <c r="L169" s="40">
        <f>VLOOKUP(B169,'✈ Flights (2)'!$A$2:$R$501,13,FALSE)</f>
        <v>723.03</v>
      </c>
      <c r="M169">
        <f>VLOOKUP(B169,'✈ Flights (2)'!$A$2:$R$501,16,FALSE)</f>
        <v>235</v>
      </c>
      <c r="N169" t="str">
        <f>VLOOKUP(B169,'✈ Flights (2)'!$A$2:$R$501,14,FALSE)</f>
        <v>First Class</v>
      </c>
      <c r="O169">
        <f>VLOOKUP(B169,'✈ Flights (2)'!$A$2:$P$502,12,FALSE)</f>
        <v>2971</v>
      </c>
    </row>
    <row r="170" spans="1:15">
      <c r="A170" s="33" t="s">
        <v>1673</v>
      </c>
      <c r="B170" s="33" t="s">
        <v>621</v>
      </c>
      <c r="C170" s="33" t="s">
        <v>39</v>
      </c>
      <c r="D170" s="33" t="str">
        <f>VLOOKUP(B170,'✈ Flights (2)'!$A$2:$P$502,3,FALSE)</f>
        <v>Spirit</v>
      </c>
      <c r="E170" s="33">
        <v>129557.9</v>
      </c>
      <c r="F170" s="33">
        <f t="shared" si="2"/>
        <v>87.244377104377094</v>
      </c>
      <c r="G170" s="33">
        <v>1180.8399999999999</v>
      </c>
      <c r="H170" s="33">
        <v>14243.98</v>
      </c>
      <c r="I170" s="33">
        <v>34605.15</v>
      </c>
      <c r="J170" s="33">
        <v>81889.61</v>
      </c>
      <c r="K170" s="33" t="s">
        <v>1511</v>
      </c>
      <c r="L170" s="40">
        <f>VLOOKUP(B170,'✈ Flights (2)'!$A$2:$R$501,13,FALSE)</f>
        <v>1061.95</v>
      </c>
      <c r="M170">
        <f>VLOOKUP(B170,'✈ Flights (2)'!$A$2:$R$501,16,FALSE)</f>
        <v>122</v>
      </c>
      <c r="N170" t="str">
        <f>VLOOKUP(B170,'✈ Flights (2)'!$A$2:$R$501,14,FALSE)</f>
        <v>Economy</v>
      </c>
      <c r="O170">
        <f>VLOOKUP(B170,'✈ Flights (2)'!$A$2:$P$502,12,FALSE)</f>
        <v>1485</v>
      </c>
    </row>
    <row r="171" spans="1:15">
      <c r="A171" s="38" t="s">
        <v>1674</v>
      </c>
      <c r="B171" s="38" t="s">
        <v>624</v>
      </c>
      <c r="C171" s="38" t="s">
        <v>41</v>
      </c>
      <c r="D171" s="33" t="str">
        <f>VLOOKUP(B171,'✈ Flights (2)'!$A$2:$P$502,3,FALSE)</f>
        <v>Jetblue</v>
      </c>
      <c r="E171" s="38">
        <v>64647.26</v>
      </c>
      <c r="F171" s="33">
        <f t="shared" si="2"/>
        <v>27.334993657505301</v>
      </c>
      <c r="G171" s="38">
        <v>3141.52</v>
      </c>
      <c r="H171" s="38">
        <v>12150.43</v>
      </c>
      <c r="I171" s="38">
        <v>34929.83</v>
      </c>
      <c r="J171" s="38">
        <v>20708.52</v>
      </c>
      <c r="K171" s="38" t="s">
        <v>1502</v>
      </c>
      <c r="L171" s="40">
        <f>VLOOKUP(B171,'✈ Flights (2)'!$A$2:$R$501,13,FALSE)</f>
        <v>604.17999999999995</v>
      </c>
      <c r="M171">
        <f>VLOOKUP(B171,'✈ Flights (2)'!$A$2:$R$501,16,FALSE)</f>
        <v>107</v>
      </c>
      <c r="N171" t="str">
        <f>VLOOKUP(B171,'✈ Flights (2)'!$A$2:$R$501,14,FALSE)</f>
        <v>Economy</v>
      </c>
      <c r="O171">
        <f>VLOOKUP(B171,'✈ Flights (2)'!$A$2:$P$502,12,FALSE)</f>
        <v>2365</v>
      </c>
    </row>
    <row r="172" spans="1:15">
      <c r="A172" s="33" t="s">
        <v>1675</v>
      </c>
      <c r="B172" s="33" t="s">
        <v>628</v>
      </c>
      <c r="C172" s="33" t="s">
        <v>39</v>
      </c>
      <c r="D172" s="33" t="str">
        <f>VLOOKUP(B172,'✈ Flights (2)'!$A$2:$P$502,3,FALSE)</f>
        <v>Jetblue</v>
      </c>
      <c r="E172" s="33">
        <v>106922.24000000001</v>
      </c>
      <c r="F172" s="33">
        <f t="shared" si="2"/>
        <v>40.732281904761898</v>
      </c>
      <c r="G172" s="33">
        <v>4286.82</v>
      </c>
      <c r="H172" s="33">
        <v>12654.62</v>
      </c>
      <c r="I172" s="33">
        <v>7391.8</v>
      </c>
      <c r="J172" s="33">
        <v>91162.64</v>
      </c>
      <c r="K172" s="33" t="s">
        <v>1504</v>
      </c>
      <c r="L172" s="40">
        <f>VLOOKUP(B172,'✈ Flights (2)'!$A$2:$R$501,13,FALSE)</f>
        <v>835.33</v>
      </c>
      <c r="M172">
        <f>VLOOKUP(B172,'✈ Flights (2)'!$A$2:$R$501,16,FALSE)</f>
        <v>128</v>
      </c>
      <c r="N172" t="str">
        <f>VLOOKUP(B172,'✈ Flights (2)'!$A$2:$R$501,14,FALSE)</f>
        <v>Economy</v>
      </c>
      <c r="O172">
        <f>VLOOKUP(B172,'✈ Flights (2)'!$A$2:$P$502,12,FALSE)</f>
        <v>2625</v>
      </c>
    </row>
    <row r="173" spans="1:15">
      <c r="A173" s="38" t="s">
        <v>1676</v>
      </c>
      <c r="B173" s="38" t="s">
        <v>631</v>
      </c>
      <c r="C173" s="38" t="s">
        <v>55</v>
      </c>
      <c r="D173" s="33" t="str">
        <f>VLOOKUP(B173,'✈ Flights (2)'!$A$2:$P$502,3,FALSE)</f>
        <v>Alaska</v>
      </c>
      <c r="E173" s="38">
        <v>40573.5</v>
      </c>
      <c r="F173" s="33">
        <f t="shared" si="2"/>
        <v>46.369714285714302</v>
      </c>
      <c r="G173" s="38">
        <v>4466.29</v>
      </c>
      <c r="H173" s="38">
        <v>14535.43</v>
      </c>
      <c r="I173" s="38">
        <v>30053.41</v>
      </c>
      <c r="J173" s="38">
        <v>450.95</v>
      </c>
      <c r="K173" s="38" t="s">
        <v>1502</v>
      </c>
      <c r="L173" s="40">
        <f>VLOOKUP(B173,'✈ Flights (2)'!$A$2:$R$501,13,FALSE)</f>
        <v>614.75</v>
      </c>
      <c r="M173">
        <f>VLOOKUP(B173,'✈ Flights (2)'!$A$2:$R$501,16,FALSE)</f>
        <v>66</v>
      </c>
      <c r="N173" t="str">
        <f>VLOOKUP(B173,'✈ Flights (2)'!$A$2:$R$501,14,FALSE)</f>
        <v>Economy</v>
      </c>
      <c r="O173">
        <f>VLOOKUP(B173,'✈ Flights (2)'!$A$2:$P$502,12,FALSE)</f>
        <v>875</v>
      </c>
    </row>
    <row r="174" spans="1:15">
      <c r="A174" s="33" t="s">
        <v>1677</v>
      </c>
      <c r="B174" s="33" t="s">
        <v>634</v>
      </c>
      <c r="C174" s="33" t="s">
        <v>157</v>
      </c>
      <c r="D174" s="33" t="str">
        <f>VLOOKUP(B174,'✈ Flights (2)'!$A$2:$P$502,3,FALSE)</f>
        <v>Jetblue</v>
      </c>
      <c r="E174" s="33">
        <v>31375.5</v>
      </c>
      <c r="F174" s="33">
        <f t="shared" si="2"/>
        <v>10.539301310043699</v>
      </c>
      <c r="G174" s="33">
        <v>7262.45</v>
      </c>
      <c r="H174" s="33">
        <v>14656.54</v>
      </c>
      <c r="I174" s="38">
        <v>22778.588495934899</v>
      </c>
      <c r="J174" s="33">
        <v>181.98</v>
      </c>
      <c r="K174" s="33" t="s">
        <v>1504</v>
      </c>
      <c r="L174" s="40">
        <f>VLOOKUP(B174,'✈ Flights (2)'!$A$2:$R$501,13,FALSE)</f>
        <v>482.7</v>
      </c>
      <c r="M174">
        <f>VLOOKUP(B174,'✈ Flights (2)'!$A$2:$R$501,16,FALSE)</f>
        <v>65</v>
      </c>
      <c r="N174" t="str">
        <f>VLOOKUP(B174,'✈ Flights (2)'!$A$2:$R$501,14,FALSE)</f>
        <v>Economy</v>
      </c>
      <c r="O174">
        <f>VLOOKUP(B174,'✈ Flights (2)'!$A$2:$P$502,12,FALSE)</f>
        <v>2977</v>
      </c>
    </row>
    <row r="175" spans="1:15">
      <c r="A175" s="38" t="s">
        <v>1678</v>
      </c>
      <c r="B175" s="38" t="s">
        <v>637</v>
      </c>
      <c r="C175" s="38" t="s">
        <v>117</v>
      </c>
      <c r="D175" s="33" t="str">
        <f>VLOOKUP(B175,'✈ Flights (2)'!$A$2:$P$502,3,FALSE)</f>
        <v>Spirit</v>
      </c>
      <c r="E175" s="38">
        <v>32940.550000000003</v>
      </c>
      <c r="F175" s="33">
        <f t="shared" si="2"/>
        <v>21.843866047745401</v>
      </c>
      <c r="G175" s="38">
        <v>7431.74</v>
      </c>
      <c r="H175" s="38">
        <v>13066.86</v>
      </c>
      <c r="I175" s="38">
        <v>37216.699999999997</v>
      </c>
      <c r="J175" s="38">
        <v>-9911.27</v>
      </c>
      <c r="K175" s="38" t="s">
        <v>1509</v>
      </c>
      <c r="L175" s="40">
        <f>VLOOKUP(B175,'✈ Flights (2)'!$A$2:$R$501,13,FALSE)</f>
        <v>491.65</v>
      </c>
      <c r="M175">
        <f>VLOOKUP(B175,'✈ Flights (2)'!$A$2:$R$501,16,FALSE)</f>
        <v>67</v>
      </c>
      <c r="N175" t="str">
        <f>VLOOKUP(B175,'✈ Flights (2)'!$A$2:$R$501,14,FALSE)</f>
        <v>Economy</v>
      </c>
      <c r="O175">
        <f>VLOOKUP(B175,'✈ Flights (2)'!$A$2:$P$502,12,FALSE)</f>
        <v>1508</v>
      </c>
    </row>
    <row r="176" spans="1:15">
      <c r="A176" s="33" t="s">
        <v>1679</v>
      </c>
      <c r="B176" s="33" t="s">
        <v>640</v>
      </c>
      <c r="C176" s="33" t="s">
        <v>130</v>
      </c>
      <c r="D176" s="33" t="str">
        <f>VLOOKUP(B176,'✈ Flights (2)'!$A$2:$P$502,3,FALSE)</f>
        <v>Alaska</v>
      </c>
      <c r="E176" s="33">
        <v>76620.179999999993</v>
      </c>
      <c r="F176" s="33">
        <f t="shared" si="2"/>
        <v>58.3550495049505</v>
      </c>
      <c r="G176" s="33">
        <v>3248.47</v>
      </c>
      <c r="H176" s="33">
        <v>7715.66</v>
      </c>
      <c r="I176" s="33">
        <v>25628.32</v>
      </c>
      <c r="J176" s="33">
        <v>46524.67</v>
      </c>
      <c r="K176" s="33" t="s">
        <v>1504</v>
      </c>
      <c r="L176" s="40">
        <f>VLOOKUP(B176,'✈ Flights (2)'!$A$2:$R$501,13,FALSE)</f>
        <v>841.98</v>
      </c>
      <c r="M176">
        <f>VLOOKUP(B176,'✈ Flights (2)'!$A$2:$R$501,16,FALSE)</f>
        <v>91</v>
      </c>
      <c r="N176" t="str">
        <f>VLOOKUP(B176,'✈ Flights (2)'!$A$2:$R$501,14,FALSE)</f>
        <v>First Class</v>
      </c>
      <c r="O176">
        <f>VLOOKUP(B176,'✈ Flights (2)'!$A$2:$P$502,12,FALSE)</f>
        <v>1313</v>
      </c>
    </row>
    <row r="177" spans="1:15">
      <c r="A177" s="38" t="s">
        <v>1680</v>
      </c>
      <c r="B177" s="38" t="s">
        <v>643</v>
      </c>
      <c r="C177" s="38" t="s">
        <v>55</v>
      </c>
      <c r="D177" s="33" t="str">
        <f>VLOOKUP(B177,'✈ Flights (2)'!$A$2:$P$502,3,FALSE)</f>
        <v>Alaska</v>
      </c>
      <c r="E177" s="38">
        <v>21755.82</v>
      </c>
      <c r="F177" s="33">
        <f t="shared" si="2"/>
        <v>9.1796708860759502</v>
      </c>
      <c r="G177" s="38">
        <v>1856.36</v>
      </c>
      <c r="H177" s="38">
        <v>6935</v>
      </c>
      <c r="I177" s="38">
        <v>17418.78</v>
      </c>
      <c r="J177" s="38">
        <v>-741.6</v>
      </c>
      <c r="K177" s="38" t="s">
        <v>1502</v>
      </c>
      <c r="L177" s="40">
        <f>VLOOKUP(B177,'✈ Flights (2)'!$A$2:$R$501,13,FALSE)</f>
        <v>306.42</v>
      </c>
      <c r="M177">
        <f>VLOOKUP(B177,'✈ Flights (2)'!$A$2:$R$501,16,FALSE)</f>
        <v>71</v>
      </c>
      <c r="N177" t="str">
        <f>VLOOKUP(B177,'✈ Flights (2)'!$A$2:$R$501,14,FALSE)</f>
        <v>First Class</v>
      </c>
      <c r="O177">
        <f>VLOOKUP(B177,'✈ Flights (2)'!$A$2:$P$502,12,FALSE)</f>
        <v>2370</v>
      </c>
    </row>
    <row r="178" spans="1:15">
      <c r="A178" s="33" t="s">
        <v>1681</v>
      </c>
      <c r="B178" s="33" t="s">
        <v>646</v>
      </c>
      <c r="C178" s="33" t="s">
        <v>198</v>
      </c>
      <c r="D178" s="33" t="str">
        <f>VLOOKUP(B178,'✈ Flights (2)'!$A$2:$P$502,3,FALSE)</f>
        <v>Frontier</v>
      </c>
      <c r="E178" s="33">
        <v>48052.02</v>
      </c>
      <c r="F178" s="33">
        <f t="shared" si="2"/>
        <v>20.105447698744801</v>
      </c>
      <c r="G178" s="33">
        <v>4356.88</v>
      </c>
      <c r="H178" s="33">
        <v>11898.32</v>
      </c>
      <c r="I178" s="33">
        <v>19265.23</v>
      </c>
      <c r="J178" s="33">
        <v>21245.35</v>
      </c>
      <c r="K178" s="33" t="s">
        <v>1511</v>
      </c>
      <c r="L178" s="40">
        <f>VLOOKUP(B178,'✈ Flights (2)'!$A$2:$R$501,13,FALSE)</f>
        <v>578.94000000000005</v>
      </c>
      <c r="M178">
        <f>VLOOKUP(B178,'✈ Flights (2)'!$A$2:$R$501,16,FALSE)</f>
        <v>83</v>
      </c>
      <c r="N178" t="str">
        <f>VLOOKUP(B178,'✈ Flights (2)'!$A$2:$R$501,14,FALSE)</f>
        <v>Economy</v>
      </c>
      <c r="O178">
        <f>VLOOKUP(B178,'✈ Flights (2)'!$A$2:$P$502,12,FALSE)</f>
        <v>2390</v>
      </c>
    </row>
    <row r="179" spans="1:15">
      <c r="A179" s="38" t="s">
        <v>1682</v>
      </c>
      <c r="B179" s="38" t="s">
        <v>650</v>
      </c>
      <c r="C179" s="38" t="s">
        <v>33</v>
      </c>
      <c r="D179" s="33" t="str">
        <f>VLOOKUP(B179,'✈ Flights (2)'!$A$2:$P$502,3,FALSE)</f>
        <v>Delta</v>
      </c>
      <c r="E179" s="38">
        <v>54963.3</v>
      </c>
      <c r="F179" s="33">
        <f t="shared" si="2"/>
        <v>141.29383033419001</v>
      </c>
      <c r="G179" s="38">
        <v>1427.12</v>
      </c>
      <c r="H179" s="38">
        <v>3766.86</v>
      </c>
      <c r="I179" s="38">
        <v>8861.07</v>
      </c>
      <c r="J179" s="38">
        <v>43762.49</v>
      </c>
      <c r="K179" s="38" t="s">
        <v>1511</v>
      </c>
      <c r="L179" s="40">
        <f>VLOOKUP(B179,'✈ Flights (2)'!$A$2:$R$501,13,FALSE)</f>
        <v>523.46</v>
      </c>
      <c r="M179">
        <f>VLOOKUP(B179,'✈ Flights (2)'!$A$2:$R$501,16,FALSE)</f>
        <v>105</v>
      </c>
      <c r="N179" t="str">
        <f>VLOOKUP(B179,'✈ Flights (2)'!$A$2:$R$501,14,FALSE)</f>
        <v>Economy</v>
      </c>
      <c r="O179">
        <f>VLOOKUP(B179,'✈ Flights (2)'!$A$2:$P$502,12,FALSE)</f>
        <v>389</v>
      </c>
    </row>
    <row r="180" spans="1:15">
      <c r="A180" s="33" t="s">
        <v>1683</v>
      </c>
      <c r="B180" s="33" t="s">
        <v>653</v>
      </c>
      <c r="C180" s="33" t="s">
        <v>65</v>
      </c>
      <c r="D180" s="33" t="str">
        <f>VLOOKUP(B180,'✈ Flights (2)'!$A$2:$P$502,3,FALSE)</f>
        <v>Spirit</v>
      </c>
      <c r="E180" s="33">
        <v>7741.18</v>
      </c>
      <c r="F180" s="33">
        <f t="shared" si="2"/>
        <v>3.4667174205105198</v>
      </c>
      <c r="G180" s="33">
        <v>5785.48</v>
      </c>
      <c r="H180" s="33">
        <v>2527.91</v>
      </c>
      <c r="I180" s="33">
        <v>24499.62</v>
      </c>
      <c r="J180" s="33">
        <v>-13500.87</v>
      </c>
      <c r="K180" s="33" t="s">
        <v>1511</v>
      </c>
      <c r="L180" s="40">
        <f>VLOOKUP(B180,'✈ Flights (2)'!$A$2:$R$501,13,FALSE)</f>
        <v>115.54</v>
      </c>
      <c r="M180">
        <f>VLOOKUP(B180,'✈ Flights (2)'!$A$2:$R$501,16,FALSE)</f>
        <v>67</v>
      </c>
      <c r="N180" t="str">
        <f>VLOOKUP(B180,'✈ Flights (2)'!$A$2:$R$501,14,FALSE)</f>
        <v>Business</v>
      </c>
      <c r="O180">
        <f>VLOOKUP(B180,'✈ Flights (2)'!$A$2:$P$502,12,FALSE)</f>
        <v>2233</v>
      </c>
    </row>
    <row r="181" spans="1:15">
      <c r="A181" s="38" t="s">
        <v>1684</v>
      </c>
      <c r="B181" s="38" t="s">
        <v>655</v>
      </c>
      <c r="C181" s="38" t="s">
        <v>67</v>
      </c>
      <c r="D181" s="33" t="str">
        <f>VLOOKUP(B181,'✈ Flights (2)'!$A$2:$P$502,3,FALSE)</f>
        <v>Alaska</v>
      </c>
      <c r="E181" s="38">
        <v>16484.400000000001</v>
      </c>
      <c r="F181" s="33">
        <f t="shared" si="2"/>
        <v>6.5727272727272696</v>
      </c>
      <c r="G181" s="38">
        <v>0</v>
      </c>
      <c r="H181" s="38">
        <v>7002.15</v>
      </c>
      <c r="I181" s="38">
        <v>22279.95</v>
      </c>
      <c r="J181" s="38">
        <v>-29282.1</v>
      </c>
      <c r="K181" s="38" t="s">
        <v>1509</v>
      </c>
      <c r="L181" s="40">
        <f>VLOOKUP(B181,'✈ Flights (2)'!$A$2:$R$501,13,FALSE)</f>
        <v>228.95</v>
      </c>
      <c r="M181">
        <f>VLOOKUP(B181,'✈ Flights (2)'!$A$2:$R$501,16,FALSE)</f>
        <v>72</v>
      </c>
      <c r="N181" t="str">
        <f>VLOOKUP(B181,'✈ Flights (2)'!$A$2:$R$501,14,FALSE)</f>
        <v>Business</v>
      </c>
      <c r="O181">
        <f>VLOOKUP(B181,'✈ Flights (2)'!$A$2:$P$502,12,FALSE)</f>
        <v>2508</v>
      </c>
    </row>
    <row r="182" spans="1:15">
      <c r="A182" s="33" t="s">
        <v>1685</v>
      </c>
      <c r="B182" s="33" t="s">
        <v>658</v>
      </c>
      <c r="C182" s="33" t="s">
        <v>24</v>
      </c>
      <c r="D182" s="33" t="str">
        <f>VLOOKUP(B182,'✈ Flights (2)'!$A$2:$P$502,3,FALSE)</f>
        <v>American</v>
      </c>
      <c r="E182" s="33">
        <v>92688.34</v>
      </c>
      <c r="F182" s="33">
        <f t="shared" si="2"/>
        <v>36.635707509881399</v>
      </c>
      <c r="G182" s="33">
        <v>5002.92</v>
      </c>
      <c r="H182" s="33">
        <v>14690.33</v>
      </c>
      <c r="I182" s="33">
        <v>15920.24</v>
      </c>
      <c r="J182" s="33">
        <v>67080.69</v>
      </c>
      <c r="K182" s="33" t="s">
        <v>1509</v>
      </c>
      <c r="L182" s="40">
        <f>VLOOKUP(B182,'✈ Flights (2)'!$A$2:$R$501,13,FALSE)</f>
        <v>555.02</v>
      </c>
      <c r="M182">
        <f>VLOOKUP(B182,'✈ Flights (2)'!$A$2:$R$501,16,FALSE)</f>
        <v>167</v>
      </c>
      <c r="N182" t="str">
        <f>VLOOKUP(B182,'✈ Flights (2)'!$A$2:$R$501,14,FALSE)</f>
        <v>Business</v>
      </c>
      <c r="O182">
        <f>VLOOKUP(B182,'✈ Flights (2)'!$A$2:$P$502,12,FALSE)</f>
        <v>2530</v>
      </c>
    </row>
    <row r="183" spans="1:15">
      <c r="A183" s="38" t="s">
        <v>1686</v>
      </c>
      <c r="B183" s="38" t="s">
        <v>661</v>
      </c>
      <c r="C183" s="38" t="s">
        <v>22</v>
      </c>
      <c r="D183" s="33" t="str">
        <f>VLOOKUP(B183,'✈ Flights (2)'!$A$2:$P$502,3,FALSE)</f>
        <v>American</v>
      </c>
      <c r="E183" s="38">
        <v>58421.96</v>
      </c>
      <c r="F183" s="33">
        <f t="shared" si="2"/>
        <v>28.964779375309899</v>
      </c>
      <c r="G183" s="38">
        <v>2194.0500000000002</v>
      </c>
      <c r="H183" s="38">
        <v>14804.51</v>
      </c>
      <c r="I183" s="38">
        <v>19254.88</v>
      </c>
      <c r="J183" s="38">
        <v>26556.62</v>
      </c>
      <c r="K183" s="38" t="s">
        <v>1509</v>
      </c>
      <c r="L183" s="40">
        <f>VLOOKUP(B183,'✈ Flights (2)'!$A$2:$R$501,13,FALSE)</f>
        <v>768.71</v>
      </c>
      <c r="M183">
        <f>VLOOKUP(B183,'✈ Flights (2)'!$A$2:$R$501,16,FALSE)</f>
        <v>76</v>
      </c>
      <c r="N183" t="str">
        <f>VLOOKUP(B183,'✈ Flights (2)'!$A$2:$R$501,14,FALSE)</f>
        <v>Unknown</v>
      </c>
      <c r="O183">
        <f>VLOOKUP(B183,'✈ Flights (2)'!$A$2:$P$502,12,FALSE)</f>
        <v>2017</v>
      </c>
    </row>
    <row r="184" spans="1:15">
      <c r="A184" s="33" t="s">
        <v>1687</v>
      </c>
      <c r="B184" s="33" t="s">
        <v>665</v>
      </c>
      <c r="C184" s="33" t="s">
        <v>49</v>
      </c>
      <c r="D184" s="33" t="str">
        <f>VLOOKUP(B184,'✈ Flights (2)'!$A$2:$P$502,3,FALSE)</f>
        <v>Frontier</v>
      </c>
      <c r="E184" s="33">
        <v>92806.66</v>
      </c>
      <c r="F184" s="33">
        <f t="shared" si="2"/>
        <v>44.256871721506897</v>
      </c>
      <c r="G184" s="33">
        <v>1915.89</v>
      </c>
      <c r="H184" s="33">
        <v>12933.76</v>
      </c>
      <c r="I184" s="33">
        <v>7436.32</v>
      </c>
      <c r="J184" s="33">
        <v>74352.47</v>
      </c>
      <c r="K184" s="33" t="s">
        <v>1509</v>
      </c>
      <c r="L184" s="40">
        <f>VLOOKUP(B184,'✈ Flights (2)'!$A$2:$R$501,13,FALSE)</f>
        <v>342.46</v>
      </c>
      <c r="M184">
        <f>VLOOKUP(B184,'✈ Flights (2)'!$A$2:$R$501,16,FALSE)</f>
        <v>271</v>
      </c>
      <c r="N184" t="str">
        <f>VLOOKUP(B184,'✈ Flights (2)'!$A$2:$R$501,14,FALSE)</f>
        <v>Economy</v>
      </c>
      <c r="O184">
        <f>VLOOKUP(B184,'✈ Flights (2)'!$A$2:$P$502,12,FALSE)</f>
        <v>2097</v>
      </c>
    </row>
    <row r="185" spans="1:15">
      <c r="A185" s="38" t="s">
        <v>1688</v>
      </c>
      <c r="B185" s="38" t="s">
        <v>667</v>
      </c>
      <c r="C185" s="38" t="s">
        <v>24</v>
      </c>
      <c r="D185" s="33" t="str">
        <f>VLOOKUP(B185,'✈ Flights (2)'!$A$2:$P$502,3,FALSE)</f>
        <v>Jetblue</v>
      </c>
      <c r="E185" s="38">
        <v>112509.46</v>
      </c>
      <c r="F185" s="33">
        <f t="shared" si="2"/>
        <v>73.248346354166699</v>
      </c>
      <c r="G185" s="38">
        <v>7543.12</v>
      </c>
      <c r="H185" s="38">
        <v>2166.2199999999998</v>
      </c>
      <c r="I185" s="38">
        <v>17860.45</v>
      </c>
      <c r="J185" s="38">
        <v>100025.91</v>
      </c>
      <c r="K185" s="38" t="s">
        <v>1509</v>
      </c>
      <c r="L185" s="40">
        <f>VLOOKUP(B185,'✈ Flights (2)'!$A$2:$R$501,13,FALSE)</f>
        <v>1061.4100000000001</v>
      </c>
      <c r="M185">
        <f>VLOOKUP(B185,'✈ Flights (2)'!$A$2:$R$501,16,FALSE)</f>
        <v>106</v>
      </c>
      <c r="N185" t="str">
        <f>VLOOKUP(B185,'✈ Flights (2)'!$A$2:$R$501,14,FALSE)</f>
        <v>First Class</v>
      </c>
      <c r="O185">
        <f>VLOOKUP(B185,'✈ Flights (2)'!$A$2:$P$502,12,FALSE)</f>
        <v>1536</v>
      </c>
    </row>
    <row r="186" spans="1:15">
      <c r="A186" s="33" t="s">
        <v>1689</v>
      </c>
      <c r="B186" s="33" t="s">
        <v>669</v>
      </c>
      <c r="C186" s="33" t="s">
        <v>33</v>
      </c>
      <c r="D186" s="33" t="str">
        <f>VLOOKUP(B186,'✈ Flights (2)'!$A$2:$P$502,3,FALSE)</f>
        <v>Delta</v>
      </c>
      <c r="E186" s="33">
        <v>95546.8</v>
      </c>
      <c r="F186" s="33">
        <f t="shared" si="2"/>
        <v>46.6309419228892</v>
      </c>
      <c r="G186" s="33">
        <v>0</v>
      </c>
      <c r="H186" s="33">
        <v>7152.81</v>
      </c>
      <c r="I186" s="33">
        <v>28523.34</v>
      </c>
      <c r="J186" s="33">
        <v>-35676.15</v>
      </c>
      <c r="K186" s="33" t="s">
        <v>1504</v>
      </c>
      <c r="L186" s="40">
        <f>VLOOKUP(B186,'✈ Flights (2)'!$A$2:$R$501,13,FALSE)</f>
        <v>702.55</v>
      </c>
      <c r="M186">
        <f>VLOOKUP(B186,'✈ Flights (2)'!$A$2:$R$501,16,FALSE)</f>
        <v>136</v>
      </c>
      <c r="N186" t="str">
        <f>VLOOKUP(B186,'✈ Flights (2)'!$A$2:$R$501,14,FALSE)</f>
        <v>Economy</v>
      </c>
      <c r="O186">
        <f>VLOOKUP(B186,'✈ Flights (2)'!$A$2:$P$502,12,FALSE)</f>
        <v>2049</v>
      </c>
    </row>
    <row r="187" spans="1:15">
      <c r="A187" s="38" t="s">
        <v>1690</v>
      </c>
      <c r="B187" s="38" t="s">
        <v>673</v>
      </c>
      <c r="C187" s="38" t="s">
        <v>130</v>
      </c>
      <c r="D187" s="33" t="str">
        <f>VLOOKUP(B187,'✈ Flights (2)'!$A$2:$P$502,3,FALSE)</f>
        <v>Alaska</v>
      </c>
      <c r="E187" s="38">
        <v>146142.1</v>
      </c>
      <c r="F187" s="33">
        <f t="shared" si="2"/>
        <v>138.78641975308599</v>
      </c>
      <c r="G187" s="38">
        <v>1394.13</v>
      </c>
      <c r="H187" s="38">
        <v>11035.48</v>
      </c>
      <c r="I187" s="38">
        <v>18818.400000000001</v>
      </c>
      <c r="J187" s="38">
        <v>117682.35</v>
      </c>
      <c r="K187" s="38" t="s">
        <v>1504</v>
      </c>
      <c r="L187" s="40">
        <f>VLOOKUP(B187,'✈ Flights (2)'!$A$2:$R$501,13,FALSE)</f>
        <v>924.95</v>
      </c>
      <c r="M187">
        <f>VLOOKUP(B187,'✈ Flights (2)'!$A$2:$R$501,16,FALSE)</f>
        <v>158</v>
      </c>
      <c r="N187" t="str">
        <f>VLOOKUP(B187,'✈ Flights (2)'!$A$2:$R$501,14,FALSE)</f>
        <v>Business</v>
      </c>
      <c r="O187">
        <f>VLOOKUP(B187,'✈ Flights (2)'!$A$2:$P$502,12,FALSE)</f>
        <v>1053</v>
      </c>
    </row>
    <row r="188" spans="1:15">
      <c r="A188" s="33" t="s">
        <v>1691</v>
      </c>
      <c r="B188" s="33" t="s">
        <v>676</v>
      </c>
      <c r="C188" s="33" t="s">
        <v>57</v>
      </c>
      <c r="D188" s="33" t="str">
        <f>VLOOKUP(B188,'✈ Flights (2)'!$A$2:$P$502,3,FALSE)</f>
        <v>Frontier</v>
      </c>
      <c r="E188" s="33">
        <v>17493.68</v>
      </c>
      <c r="F188" s="33">
        <f t="shared" si="2"/>
        <v>7.0824615384615397</v>
      </c>
      <c r="G188" s="33">
        <v>6060.74</v>
      </c>
      <c r="H188" s="33">
        <v>4193.3999999999996</v>
      </c>
      <c r="I188" s="33">
        <v>36234.97</v>
      </c>
      <c r="J188" s="33">
        <v>-16873.95</v>
      </c>
      <c r="K188" s="33" t="s">
        <v>1511</v>
      </c>
      <c r="L188" s="40">
        <f>VLOOKUP(B188,'✈ Flights (2)'!$A$2:$R$501,13,FALSE)</f>
        <v>230.18</v>
      </c>
      <c r="M188">
        <f>VLOOKUP(B188,'✈ Flights (2)'!$A$2:$R$501,16,FALSE)</f>
        <v>76</v>
      </c>
      <c r="N188" t="str">
        <f>VLOOKUP(B188,'✈ Flights (2)'!$A$2:$R$501,14,FALSE)</f>
        <v>Economy</v>
      </c>
      <c r="O188">
        <f>VLOOKUP(B188,'✈ Flights (2)'!$A$2:$P$502,12,FALSE)</f>
        <v>2470</v>
      </c>
    </row>
    <row r="189" spans="1:15">
      <c r="A189" s="38" t="s">
        <v>1692</v>
      </c>
      <c r="B189" s="38" t="s">
        <v>678</v>
      </c>
      <c r="C189" s="38" t="s">
        <v>65</v>
      </c>
      <c r="D189" s="33" t="str">
        <f>VLOOKUP(B189,'✈ Flights (2)'!$A$2:$P$502,3,FALSE)</f>
        <v>Frontier</v>
      </c>
      <c r="E189" s="38">
        <v>30145.8</v>
      </c>
      <c r="F189" s="33">
        <f t="shared" si="2"/>
        <v>21.548105789849899</v>
      </c>
      <c r="G189" s="38">
        <v>7814.06</v>
      </c>
      <c r="H189" s="38">
        <v>9734.49</v>
      </c>
      <c r="I189" s="38">
        <v>16852.11</v>
      </c>
      <c r="J189" s="38">
        <v>11373.26</v>
      </c>
      <c r="K189" s="38" t="s">
        <v>1509</v>
      </c>
      <c r="L189" s="40">
        <f>VLOOKUP(B189,'✈ Flights (2)'!$A$2:$R$501,13,FALSE)</f>
        <v>502.43</v>
      </c>
      <c r="M189">
        <f>VLOOKUP(B189,'✈ Flights (2)'!$A$2:$R$501,16,FALSE)</f>
        <v>60</v>
      </c>
      <c r="N189" t="str">
        <f>VLOOKUP(B189,'✈ Flights (2)'!$A$2:$R$501,14,FALSE)</f>
        <v>First Class</v>
      </c>
      <c r="O189">
        <f>VLOOKUP(B189,'✈ Flights (2)'!$A$2:$P$502,12,FALSE)</f>
        <v>1399</v>
      </c>
    </row>
    <row r="190" spans="1:15">
      <c r="A190" s="33" t="s">
        <v>1693</v>
      </c>
      <c r="B190" s="33" t="s">
        <v>681</v>
      </c>
      <c r="C190" s="33" t="s">
        <v>184</v>
      </c>
      <c r="D190" s="33" t="str">
        <f>VLOOKUP(B190,'✈ Flights (2)'!$A$2:$P$502,3,FALSE)</f>
        <v>Frontier</v>
      </c>
      <c r="E190" s="33">
        <v>281279.78999999998</v>
      </c>
      <c r="F190" s="33">
        <f t="shared" si="2"/>
        <v>260.92744897959199</v>
      </c>
      <c r="G190" s="33">
        <v>1420.72</v>
      </c>
      <c r="H190" s="33">
        <v>11427.61</v>
      </c>
      <c r="I190" s="33">
        <v>34333.82</v>
      </c>
      <c r="J190" s="33">
        <v>236939.08</v>
      </c>
      <c r="K190" s="33" t="s">
        <v>1511</v>
      </c>
      <c r="L190" s="40">
        <f>VLOOKUP(B190,'✈ Flights (2)'!$A$2:$R$501,13,FALSE)</f>
        <v>1157.53</v>
      </c>
      <c r="M190">
        <f>VLOOKUP(B190,'✈ Flights (2)'!$A$2:$R$501,16,FALSE)</f>
        <v>243</v>
      </c>
      <c r="N190" t="str">
        <f>VLOOKUP(B190,'✈ Flights (2)'!$A$2:$R$501,14,FALSE)</f>
        <v>Economy</v>
      </c>
      <c r="O190">
        <f>VLOOKUP(B190,'✈ Flights (2)'!$A$2:$P$502,12,FALSE)</f>
        <v>1078</v>
      </c>
    </row>
    <row r="191" spans="1:15">
      <c r="A191" s="38" t="s">
        <v>1694</v>
      </c>
      <c r="B191" s="38" t="s">
        <v>684</v>
      </c>
      <c r="C191" s="38" t="s">
        <v>67</v>
      </c>
      <c r="D191" s="33" t="str">
        <f>VLOOKUP(B191,'✈ Flights (2)'!$A$2:$P$502,3,FALSE)</f>
        <v>Southwest</v>
      </c>
      <c r="E191" s="38">
        <v>77081.600000000006</v>
      </c>
      <c r="F191" s="33">
        <f t="shared" si="2"/>
        <v>41.464012910166801</v>
      </c>
      <c r="G191" s="38">
        <v>6236.13</v>
      </c>
      <c r="H191" s="38">
        <v>9717.4500000000007</v>
      </c>
      <c r="I191" s="38">
        <v>31809.03</v>
      </c>
      <c r="J191" s="38">
        <v>41791.25</v>
      </c>
      <c r="K191" s="38" t="s">
        <v>1509</v>
      </c>
      <c r="L191" s="40">
        <f>VLOOKUP(B191,'✈ Flights (2)'!$A$2:$R$501,13,FALSE)</f>
        <v>602.20000000000005</v>
      </c>
      <c r="M191">
        <f>VLOOKUP(B191,'✈ Flights (2)'!$A$2:$R$501,16,FALSE)</f>
        <v>128</v>
      </c>
      <c r="N191" t="str">
        <f>VLOOKUP(B191,'✈ Flights (2)'!$A$2:$R$501,14,FALSE)</f>
        <v>First Class</v>
      </c>
      <c r="O191">
        <f>VLOOKUP(B191,'✈ Flights (2)'!$A$2:$P$502,12,FALSE)</f>
        <v>1859</v>
      </c>
    </row>
    <row r="192" spans="1:15">
      <c r="A192" s="33" t="s">
        <v>1695</v>
      </c>
      <c r="B192" s="33" t="s">
        <v>687</v>
      </c>
      <c r="C192" s="33" t="s">
        <v>41</v>
      </c>
      <c r="D192" s="33" t="str">
        <f>VLOOKUP(B192,'✈ Flights (2)'!$A$2:$P$502,3,FALSE)</f>
        <v>Frontier</v>
      </c>
      <c r="E192" s="33">
        <v>171127.75</v>
      </c>
      <c r="F192" s="33">
        <f t="shared" si="2"/>
        <v>106.224549968963</v>
      </c>
      <c r="G192" s="33">
        <v>3170.73</v>
      </c>
      <c r="H192" s="33">
        <v>14351.8</v>
      </c>
      <c r="I192" s="33">
        <v>28333.7</v>
      </c>
      <c r="J192" s="33">
        <v>131612.98000000001</v>
      </c>
      <c r="K192" s="33" t="s">
        <v>1509</v>
      </c>
      <c r="L192" s="40">
        <f>VLOOKUP(B192,'✈ Flights (2)'!$A$2:$R$501,13,FALSE)</f>
        <v>1104.05</v>
      </c>
      <c r="M192">
        <f>VLOOKUP(B192,'✈ Flights (2)'!$A$2:$R$501,16,FALSE)</f>
        <v>155</v>
      </c>
      <c r="N192" t="str">
        <f>VLOOKUP(B192,'✈ Flights (2)'!$A$2:$R$501,14,FALSE)</f>
        <v>Business</v>
      </c>
      <c r="O192">
        <f>VLOOKUP(B192,'✈ Flights (2)'!$A$2:$P$502,12,FALSE)</f>
        <v>1611</v>
      </c>
    </row>
    <row r="193" spans="1:15">
      <c r="A193" s="38" t="s">
        <v>1696</v>
      </c>
      <c r="B193" s="38" t="s">
        <v>690</v>
      </c>
      <c r="C193" s="38" t="s">
        <v>175</v>
      </c>
      <c r="D193" s="33" t="str">
        <f>VLOOKUP(B193,'✈ Flights (2)'!$A$2:$P$502,3,FALSE)</f>
        <v>American</v>
      </c>
      <c r="E193" s="38">
        <v>58447.35</v>
      </c>
      <c r="F193" s="33">
        <f t="shared" si="2"/>
        <v>63.254707792207803</v>
      </c>
      <c r="G193" s="38">
        <v>4335.6099999999997</v>
      </c>
      <c r="H193" s="38">
        <v>7910.25</v>
      </c>
      <c r="I193" s="38">
        <v>10158.09</v>
      </c>
      <c r="J193" s="38">
        <v>44714.62</v>
      </c>
      <c r="K193" s="38" t="s">
        <v>1504</v>
      </c>
      <c r="L193" s="40">
        <f>VLOOKUP(B193,'✈ Flights (2)'!$A$2:$R$501,13,FALSE)</f>
        <v>299.73</v>
      </c>
      <c r="M193">
        <f>VLOOKUP(B193,'✈ Flights (2)'!$A$2:$R$501,16,FALSE)</f>
        <v>195</v>
      </c>
      <c r="N193" t="str">
        <f>VLOOKUP(B193,'✈ Flights (2)'!$A$2:$R$501,14,FALSE)</f>
        <v>Economy</v>
      </c>
      <c r="O193">
        <f>VLOOKUP(B193,'✈ Flights (2)'!$A$2:$P$502,12,FALSE)</f>
        <v>924</v>
      </c>
    </row>
    <row r="194" spans="1:15">
      <c r="A194" s="33" t="s">
        <v>1697</v>
      </c>
      <c r="B194" s="33" t="s">
        <v>692</v>
      </c>
      <c r="C194" s="33" t="s">
        <v>80</v>
      </c>
      <c r="D194" s="33" t="str">
        <f>VLOOKUP(B194,'✈ Flights (2)'!$A$2:$P$502,3,FALSE)</f>
        <v>Jetblue</v>
      </c>
      <c r="E194" s="33">
        <v>47176.5</v>
      </c>
      <c r="F194" s="33">
        <f t="shared" si="2"/>
        <v>27.081802525832401</v>
      </c>
      <c r="G194" s="33">
        <v>2380.17</v>
      </c>
      <c r="H194" s="33">
        <v>10168.82</v>
      </c>
      <c r="I194" s="33">
        <v>22404.58</v>
      </c>
      <c r="J194" s="33">
        <v>16983.27</v>
      </c>
      <c r="K194" s="33" t="s">
        <v>1502</v>
      </c>
      <c r="L194" s="40">
        <f>VLOOKUP(B194,'✈ Flights (2)'!$A$2:$R$501,13,FALSE)</f>
        <v>269.58</v>
      </c>
      <c r="M194">
        <f>VLOOKUP(B194,'✈ Flights (2)'!$A$2:$R$501,16,FALSE)</f>
        <v>175</v>
      </c>
      <c r="N194" t="str">
        <f>VLOOKUP(B194,'✈ Flights (2)'!$A$2:$R$501,14,FALSE)</f>
        <v>First Class</v>
      </c>
      <c r="O194">
        <f>VLOOKUP(B194,'✈ Flights (2)'!$A$2:$P$502,12,FALSE)</f>
        <v>1742</v>
      </c>
    </row>
    <row r="195" spans="1:15">
      <c r="A195" s="38" t="s">
        <v>1698</v>
      </c>
      <c r="B195" s="38" t="s">
        <v>694</v>
      </c>
      <c r="C195" s="38" t="s">
        <v>55</v>
      </c>
      <c r="D195" s="33" t="str">
        <f>VLOOKUP(B195,'✈ Flights (2)'!$A$2:$P$502,3,FALSE)</f>
        <v>Delta</v>
      </c>
      <c r="E195" s="38">
        <v>17299.71</v>
      </c>
      <c r="F195" s="33">
        <f t="shared" ref="F195:F258" si="3">E195/O195</f>
        <v>6.0005931321540098</v>
      </c>
      <c r="G195" s="38">
        <v>722.93</v>
      </c>
      <c r="H195" s="38">
        <v>12794.06</v>
      </c>
      <c r="I195" s="38">
        <v>30822.94</v>
      </c>
      <c r="J195" s="38">
        <v>-25594.36</v>
      </c>
      <c r="K195" s="38" t="s">
        <v>1509</v>
      </c>
      <c r="L195" s="40">
        <f>VLOOKUP(B195,'✈ Flights (2)'!$A$2:$R$501,13,FALSE)</f>
        <v>339.21</v>
      </c>
      <c r="M195">
        <f>VLOOKUP(B195,'✈ Flights (2)'!$A$2:$R$501,16,FALSE)</f>
        <v>51</v>
      </c>
      <c r="N195" t="str">
        <f>VLOOKUP(B195,'✈ Flights (2)'!$A$2:$R$501,14,FALSE)</f>
        <v>First Class</v>
      </c>
      <c r="O195">
        <f>VLOOKUP(B195,'✈ Flights (2)'!$A$2:$P$502,12,FALSE)</f>
        <v>2883</v>
      </c>
    </row>
    <row r="196" spans="1:15">
      <c r="A196" s="33" t="s">
        <v>1699</v>
      </c>
      <c r="B196" s="33" t="s">
        <v>697</v>
      </c>
      <c r="C196" s="33" t="s">
        <v>57</v>
      </c>
      <c r="D196" s="33" t="str">
        <f>VLOOKUP(B196,'✈ Flights (2)'!$A$2:$P$502,3,FALSE)</f>
        <v>Alaska</v>
      </c>
      <c r="E196" s="33">
        <v>31996.89</v>
      </c>
      <c r="F196" s="33">
        <f t="shared" si="3"/>
        <v>97.849816513761496</v>
      </c>
      <c r="G196" s="33">
        <v>5585.81</v>
      </c>
      <c r="H196" s="33">
        <v>6974.23</v>
      </c>
      <c r="I196" s="33">
        <v>39022.54</v>
      </c>
      <c r="J196" s="33">
        <v>-5930.88</v>
      </c>
      <c r="K196" s="33" t="s">
        <v>1511</v>
      </c>
      <c r="L196" s="40">
        <f>VLOOKUP(B196,'✈ Flights (2)'!$A$2:$R$501,13,FALSE)</f>
        <v>627.39</v>
      </c>
      <c r="M196">
        <f>VLOOKUP(B196,'✈ Flights (2)'!$A$2:$R$501,16,FALSE)</f>
        <v>51</v>
      </c>
      <c r="N196" t="str">
        <f>VLOOKUP(B196,'✈ Flights (2)'!$A$2:$R$501,14,FALSE)</f>
        <v>Business</v>
      </c>
      <c r="O196">
        <f>VLOOKUP(B196,'✈ Flights (2)'!$A$2:$P$502,12,FALSE)</f>
        <v>327</v>
      </c>
    </row>
    <row r="197" spans="1:15">
      <c r="A197" s="38" t="s">
        <v>1700</v>
      </c>
      <c r="B197" s="38" t="s">
        <v>700</v>
      </c>
      <c r="C197" s="38" t="s">
        <v>175</v>
      </c>
      <c r="D197" s="33" t="str">
        <f>VLOOKUP(B197,'✈ Flights (2)'!$A$2:$P$502,3,FALSE)</f>
        <v>Jetblue</v>
      </c>
      <c r="E197" s="38">
        <v>88656.8</v>
      </c>
      <c r="F197" s="33">
        <f t="shared" si="3"/>
        <v>120.13116531165301</v>
      </c>
      <c r="G197" s="38">
        <v>1645.52</v>
      </c>
      <c r="H197" s="38">
        <v>3252.34</v>
      </c>
      <c r="I197" s="38">
        <v>26768.84</v>
      </c>
      <c r="J197" s="38">
        <v>60281.14</v>
      </c>
      <c r="K197" s="38" t="s">
        <v>1504</v>
      </c>
      <c r="L197" s="40">
        <f>VLOOKUP(B197,'✈ Flights (2)'!$A$2:$R$501,13,FALSE)</f>
        <v>1108.21</v>
      </c>
      <c r="M197">
        <f>VLOOKUP(B197,'✈ Flights (2)'!$A$2:$R$501,16,FALSE)</f>
        <v>80</v>
      </c>
      <c r="N197" t="str">
        <f>VLOOKUP(B197,'✈ Flights (2)'!$A$2:$R$501,14,FALSE)</f>
        <v>First Class</v>
      </c>
      <c r="O197">
        <f>VLOOKUP(B197,'✈ Flights (2)'!$A$2:$P$502,12,FALSE)</f>
        <v>738</v>
      </c>
    </row>
    <row r="198" spans="1:15">
      <c r="A198" s="33" t="s">
        <v>1701</v>
      </c>
      <c r="B198" s="33" t="s">
        <v>703</v>
      </c>
      <c r="C198" s="33" t="s">
        <v>65</v>
      </c>
      <c r="D198" s="33" t="str">
        <f>VLOOKUP(B198,'✈ Flights (2)'!$A$2:$P$502,3,FALSE)</f>
        <v>Jetblue</v>
      </c>
      <c r="E198" s="33">
        <v>63566.559999999998</v>
      </c>
      <c r="F198" s="33">
        <f t="shared" si="3"/>
        <v>32.382353540499203</v>
      </c>
      <c r="G198" s="33">
        <v>5458.1</v>
      </c>
      <c r="H198" s="33">
        <v>8398.44</v>
      </c>
      <c r="I198" s="33">
        <v>23198.21</v>
      </c>
      <c r="J198" s="33">
        <v>37428.01</v>
      </c>
      <c r="K198" s="33" t="s">
        <v>1509</v>
      </c>
      <c r="L198" s="40">
        <f>VLOOKUP(B198,'✈ Flights (2)'!$A$2:$R$501,13,FALSE)</f>
        <v>594.08000000000004</v>
      </c>
      <c r="M198">
        <f>VLOOKUP(B198,'✈ Flights (2)'!$A$2:$R$501,16,FALSE)</f>
        <v>107</v>
      </c>
      <c r="N198" t="str">
        <f>VLOOKUP(B198,'✈ Flights (2)'!$A$2:$R$501,14,FALSE)</f>
        <v>Economy</v>
      </c>
      <c r="O198">
        <f>VLOOKUP(B198,'✈ Flights (2)'!$A$2:$P$502,12,FALSE)</f>
        <v>1963</v>
      </c>
    </row>
    <row r="199" spans="1:15">
      <c r="A199" s="38" t="s">
        <v>1702</v>
      </c>
      <c r="B199" s="38" t="s">
        <v>707</v>
      </c>
      <c r="C199" s="38" t="s">
        <v>55</v>
      </c>
      <c r="D199" s="33" t="str">
        <f>VLOOKUP(B199,'✈ Flights (2)'!$A$2:$P$502,3,FALSE)</f>
        <v>Delta</v>
      </c>
      <c r="E199" s="38">
        <v>13285.05</v>
      </c>
      <c r="F199" s="33">
        <f t="shared" si="3"/>
        <v>5.9070920409070702</v>
      </c>
      <c r="G199" s="38">
        <v>2014.49</v>
      </c>
      <c r="H199" s="38">
        <v>8373.25</v>
      </c>
      <c r="I199" s="38">
        <v>28173.26</v>
      </c>
      <c r="J199" s="38">
        <v>-21246.97</v>
      </c>
      <c r="K199" s="38" t="s">
        <v>1511</v>
      </c>
      <c r="L199" s="40">
        <f>VLOOKUP(B199,'✈ Flights (2)'!$A$2:$R$501,13,FALSE)</f>
        <v>142.85</v>
      </c>
      <c r="M199">
        <f>VLOOKUP(B199,'✈ Flights (2)'!$A$2:$R$501,16,FALSE)</f>
        <v>93</v>
      </c>
      <c r="N199" t="str">
        <f>VLOOKUP(B199,'✈ Flights (2)'!$A$2:$R$501,14,FALSE)</f>
        <v>Economy</v>
      </c>
      <c r="O199">
        <f>VLOOKUP(B199,'✈ Flights (2)'!$A$2:$P$502,12,FALSE)</f>
        <v>2249</v>
      </c>
    </row>
    <row r="200" spans="1:15">
      <c r="A200" s="33" t="s">
        <v>1703</v>
      </c>
      <c r="B200" s="33" t="s">
        <v>710</v>
      </c>
      <c r="C200" s="33" t="s">
        <v>74</v>
      </c>
      <c r="D200" s="33" t="str">
        <f>VLOOKUP(B200,'✈ Flights (2)'!$A$2:$P$502,3,FALSE)</f>
        <v>Alaska</v>
      </c>
      <c r="E200" s="33">
        <v>319202.99</v>
      </c>
      <c r="F200" s="33">
        <f t="shared" si="3"/>
        <v>273.99398283261797</v>
      </c>
      <c r="G200" s="33">
        <v>4568.29</v>
      </c>
      <c r="H200" s="33">
        <v>9026.8799999999992</v>
      </c>
      <c r="I200" s="33">
        <v>33331.86</v>
      </c>
      <c r="J200" s="33">
        <v>281412.53999999998</v>
      </c>
      <c r="K200" s="33" t="s">
        <v>1504</v>
      </c>
      <c r="L200" s="40">
        <f>VLOOKUP(B200,'✈ Flights (2)'!$A$2:$R$501,13,FALSE)</f>
        <v>1089.43</v>
      </c>
      <c r="M200">
        <f>VLOOKUP(B200,'✈ Flights (2)'!$A$2:$R$501,16,FALSE)</f>
        <v>293</v>
      </c>
      <c r="N200" t="str">
        <f>VLOOKUP(B200,'✈ Flights (2)'!$A$2:$R$501,14,FALSE)</f>
        <v>First Class</v>
      </c>
      <c r="O200">
        <f>VLOOKUP(B200,'✈ Flights (2)'!$A$2:$P$502,12,FALSE)</f>
        <v>1165</v>
      </c>
    </row>
    <row r="201" spans="1:15">
      <c r="A201" s="38" t="s">
        <v>1704</v>
      </c>
      <c r="B201" s="38" t="s">
        <v>714</v>
      </c>
      <c r="C201" s="38" t="s">
        <v>33</v>
      </c>
      <c r="D201" s="33" t="str">
        <f>VLOOKUP(B201,'✈ Flights (2)'!$A$2:$P$502,3,FALSE)</f>
        <v>Jetblue</v>
      </c>
      <c r="E201" s="38">
        <v>8388.44</v>
      </c>
      <c r="F201" s="33">
        <f t="shared" si="3"/>
        <v>5.2823929471032702</v>
      </c>
      <c r="G201" s="38">
        <v>7644.35</v>
      </c>
      <c r="H201" s="38">
        <v>7595.28</v>
      </c>
      <c r="I201" s="38">
        <v>6105.95</v>
      </c>
      <c r="J201" s="38">
        <v>2331.56</v>
      </c>
      <c r="K201" s="38" t="s">
        <v>1504</v>
      </c>
      <c r="L201" s="40">
        <f>VLOOKUP(B201,'✈ Flights (2)'!$A$2:$R$501,13,FALSE)</f>
        <v>97.54</v>
      </c>
      <c r="M201">
        <f>VLOOKUP(B201,'✈ Flights (2)'!$A$2:$R$501,16,FALSE)</f>
        <v>86</v>
      </c>
      <c r="N201" t="str">
        <f>VLOOKUP(B201,'✈ Flights (2)'!$A$2:$R$501,14,FALSE)</f>
        <v>Economy</v>
      </c>
      <c r="O201">
        <f>VLOOKUP(B201,'✈ Flights (2)'!$A$2:$P$502,12,FALSE)</f>
        <v>1588</v>
      </c>
    </row>
    <row r="202" spans="1:15">
      <c r="A202" s="33" t="s">
        <v>1705</v>
      </c>
      <c r="B202" s="33" t="s">
        <v>717</v>
      </c>
      <c r="C202" s="33" t="s">
        <v>39</v>
      </c>
      <c r="D202" s="33" t="str">
        <f>VLOOKUP(B202,'✈ Flights (2)'!$A$2:$P$502,3,FALSE)</f>
        <v>Jetblue</v>
      </c>
      <c r="E202" s="33">
        <v>27092.400000000001</v>
      </c>
      <c r="F202" s="33">
        <f t="shared" si="3"/>
        <v>10.776610978520299</v>
      </c>
      <c r="G202" s="33">
        <v>3377.22</v>
      </c>
      <c r="H202" s="33">
        <v>6892.38</v>
      </c>
      <c r="I202" s="33">
        <v>16009.57</v>
      </c>
      <c r="J202" s="33">
        <v>7567.67</v>
      </c>
      <c r="K202" s="33" t="s">
        <v>1509</v>
      </c>
      <c r="L202" s="40">
        <f>VLOOKUP(B202,'✈ Flights (2)'!$A$2:$R$501,13,FALSE)</f>
        <v>451.54</v>
      </c>
      <c r="M202">
        <f>VLOOKUP(B202,'✈ Flights (2)'!$A$2:$R$501,16,FALSE)</f>
        <v>60</v>
      </c>
      <c r="N202" t="str">
        <f>VLOOKUP(B202,'✈ Flights (2)'!$A$2:$R$501,14,FALSE)</f>
        <v>First Class</v>
      </c>
      <c r="O202">
        <f>VLOOKUP(B202,'✈ Flights (2)'!$A$2:$P$502,12,FALSE)</f>
        <v>2514</v>
      </c>
    </row>
    <row r="203" spans="1:15">
      <c r="A203" s="38" t="s">
        <v>1706</v>
      </c>
      <c r="B203" s="38" t="s">
        <v>720</v>
      </c>
      <c r="C203" s="38" t="s">
        <v>198</v>
      </c>
      <c r="D203" s="33" t="str">
        <f>VLOOKUP(B203,'✈ Flights (2)'!$A$2:$P$502,3,FALSE)</f>
        <v>Delta</v>
      </c>
      <c r="E203" s="38">
        <v>125191.57</v>
      </c>
      <c r="F203" s="33">
        <f t="shared" si="3"/>
        <v>45.065359971202298</v>
      </c>
      <c r="G203" s="38">
        <v>769.86</v>
      </c>
      <c r="H203" s="38">
        <v>10572.34</v>
      </c>
      <c r="I203" s="38">
        <v>11190.42</v>
      </c>
      <c r="J203" s="38">
        <v>104198.67</v>
      </c>
      <c r="K203" s="38" t="s">
        <v>1511</v>
      </c>
      <c r="L203" s="40">
        <f>VLOOKUP(B203,'✈ Flights (2)'!$A$2:$R$501,13,FALSE)</f>
        <v>941.29</v>
      </c>
      <c r="M203">
        <f>VLOOKUP(B203,'✈ Flights (2)'!$A$2:$R$501,16,FALSE)</f>
        <v>133</v>
      </c>
      <c r="N203" t="str">
        <f>VLOOKUP(B203,'✈ Flights (2)'!$A$2:$R$501,14,FALSE)</f>
        <v>First Class</v>
      </c>
      <c r="O203">
        <f>VLOOKUP(B203,'✈ Flights (2)'!$A$2:$P$502,12,FALSE)</f>
        <v>2778</v>
      </c>
    </row>
    <row r="204" spans="1:15">
      <c r="A204" s="33" t="s">
        <v>1707</v>
      </c>
      <c r="B204" s="33" t="s">
        <v>721</v>
      </c>
      <c r="C204" s="33" t="s">
        <v>80</v>
      </c>
      <c r="D204" s="33" t="str">
        <f>VLOOKUP(B204,'✈ Flights (2)'!$A$2:$P$502,3,FALSE)</f>
        <v>Frontier</v>
      </c>
      <c r="E204" s="33">
        <v>59729.46</v>
      </c>
      <c r="F204" s="33">
        <f t="shared" si="3"/>
        <v>56.348547169811297</v>
      </c>
      <c r="G204" s="33">
        <v>7135.25</v>
      </c>
      <c r="H204" s="33">
        <v>7598.85</v>
      </c>
      <c r="I204" s="33">
        <v>10745.05</v>
      </c>
      <c r="J204" s="33">
        <v>48520.81</v>
      </c>
      <c r="K204" s="33" t="s">
        <v>1511</v>
      </c>
      <c r="L204" s="40">
        <f>VLOOKUP(B204,'✈ Flights (2)'!$A$2:$R$501,13,FALSE)</f>
        <v>841.26</v>
      </c>
      <c r="M204">
        <f>VLOOKUP(B204,'✈ Flights (2)'!$A$2:$R$501,16,FALSE)</f>
        <v>71</v>
      </c>
      <c r="N204" t="str">
        <f>VLOOKUP(B204,'✈ Flights (2)'!$A$2:$R$501,14,FALSE)</f>
        <v>First Class</v>
      </c>
      <c r="O204">
        <f>VLOOKUP(B204,'✈ Flights (2)'!$A$2:$P$502,12,FALSE)</f>
        <v>1060</v>
      </c>
    </row>
    <row r="205" spans="1:15">
      <c r="A205" s="38" t="s">
        <v>1708</v>
      </c>
      <c r="B205" s="38" t="s">
        <v>724</v>
      </c>
      <c r="C205" s="38" t="s">
        <v>55</v>
      </c>
      <c r="D205" s="33" t="str">
        <f>VLOOKUP(B205,'✈ Flights (2)'!$A$2:$P$502,3,FALSE)</f>
        <v>United</v>
      </c>
      <c r="E205" s="38">
        <v>35896.18</v>
      </c>
      <c r="F205" s="33">
        <f t="shared" si="3"/>
        <v>12.395089779005501</v>
      </c>
      <c r="G205" s="38">
        <v>5867.92</v>
      </c>
      <c r="H205" s="38">
        <v>3421.97</v>
      </c>
      <c r="I205" s="38">
        <v>22060.92</v>
      </c>
      <c r="J205" s="38">
        <v>16281.21</v>
      </c>
      <c r="K205" s="38" t="s">
        <v>1509</v>
      </c>
      <c r="L205" s="40">
        <f>VLOOKUP(B205,'✈ Flights (2)'!$A$2:$R$501,13,FALSE)</f>
        <v>252.79</v>
      </c>
      <c r="M205">
        <f>VLOOKUP(B205,'✈ Flights (2)'!$A$2:$R$501,16,FALSE)</f>
        <v>142</v>
      </c>
      <c r="N205" t="str">
        <f>VLOOKUP(B205,'✈ Flights (2)'!$A$2:$R$501,14,FALSE)</f>
        <v>Business</v>
      </c>
      <c r="O205">
        <f>VLOOKUP(B205,'✈ Flights (2)'!$A$2:$P$502,12,FALSE)</f>
        <v>2896</v>
      </c>
    </row>
    <row r="206" spans="1:15">
      <c r="A206" s="33" t="s">
        <v>1709</v>
      </c>
      <c r="B206" s="33" t="s">
        <v>727</v>
      </c>
      <c r="C206" s="33" t="s">
        <v>41</v>
      </c>
      <c r="D206" s="33" t="str">
        <f>VLOOKUP(B206,'✈ Flights (2)'!$A$2:$P$502,3,FALSE)</f>
        <v>Jetblue</v>
      </c>
      <c r="E206" s="33">
        <v>55656.959999999999</v>
      </c>
      <c r="F206" s="33">
        <f t="shared" si="3"/>
        <v>84.713789954337898</v>
      </c>
      <c r="G206" s="33">
        <v>5450.59</v>
      </c>
      <c r="H206" s="33">
        <v>9438.73</v>
      </c>
      <c r="I206" s="33">
        <v>28988.1</v>
      </c>
      <c r="J206" s="33">
        <v>22680.720000000001</v>
      </c>
      <c r="K206" s="33" t="s">
        <v>1509</v>
      </c>
      <c r="L206" s="40">
        <f>VLOOKUP(B206,'✈ Flights (2)'!$A$2:$R$501,13,FALSE)</f>
        <v>289.88</v>
      </c>
      <c r="M206">
        <f>VLOOKUP(B206,'✈ Flights (2)'!$A$2:$R$501,16,FALSE)</f>
        <v>192</v>
      </c>
      <c r="N206" t="str">
        <f>VLOOKUP(B206,'✈ Flights (2)'!$A$2:$R$501,14,FALSE)</f>
        <v>Business</v>
      </c>
      <c r="O206">
        <f>VLOOKUP(B206,'✈ Flights (2)'!$A$2:$P$502,12,FALSE)</f>
        <v>657</v>
      </c>
    </row>
    <row r="207" spans="1:15">
      <c r="A207" s="38" t="s">
        <v>1710</v>
      </c>
      <c r="B207" s="38" t="s">
        <v>730</v>
      </c>
      <c r="C207" s="38" t="s">
        <v>55</v>
      </c>
      <c r="D207" s="33" t="str">
        <f>VLOOKUP(B207,'✈ Flights (2)'!$A$2:$P$502,3,FALSE)</f>
        <v>Delta</v>
      </c>
      <c r="E207" s="38">
        <v>65182.76</v>
      </c>
      <c r="F207" s="33">
        <f t="shared" si="3"/>
        <v>23.711444161513299</v>
      </c>
      <c r="G207" s="38">
        <v>4716.92</v>
      </c>
      <c r="H207" s="38">
        <v>2724.58</v>
      </c>
      <c r="I207" s="38">
        <v>10470.879999999999</v>
      </c>
      <c r="J207" s="38">
        <v>56704.22</v>
      </c>
      <c r="K207" s="38" t="s">
        <v>1511</v>
      </c>
      <c r="L207" s="40">
        <f>VLOOKUP(B207,'✈ Flights (2)'!$A$2:$R$501,13,FALSE)</f>
        <v>958.57</v>
      </c>
      <c r="M207">
        <f>VLOOKUP(B207,'✈ Flights (2)'!$A$2:$R$501,16,FALSE)</f>
        <v>68</v>
      </c>
      <c r="N207" t="str">
        <f>VLOOKUP(B207,'✈ Flights (2)'!$A$2:$R$501,14,FALSE)</f>
        <v>Business</v>
      </c>
      <c r="O207">
        <f>VLOOKUP(B207,'✈ Flights (2)'!$A$2:$P$502,12,FALSE)</f>
        <v>2749</v>
      </c>
    </row>
    <row r="208" spans="1:15">
      <c r="A208" s="33" t="s">
        <v>1711</v>
      </c>
      <c r="B208" s="33" t="s">
        <v>732</v>
      </c>
      <c r="C208" s="33" t="s">
        <v>74</v>
      </c>
      <c r="D208" s="33" t="str">
        <f>VLOOKUP(B208,'✈ Flights (2)'!$A$2:$P$502,3,FALSE)</f>
        <v>Southwest</v>
      </c>
      <c r="E208" s="33">
        <v>33163.53</v>
      </c>
      <c r="F208" s="33">
        <f t="shared" si="3"/>
        <v>38.206831797234997</v>
      </c>
      <c r="G208" s="33">
        <v>4210.18</v>
      </c>
      <c r="H208" s="33">
        <v>10020.219999999999</v>
      </c>
      <c r="I208" s="33">
        <v>38980.480000000003</v>
      </c>
      <c r="J208" s="33">
        <v>-11626.99</v>
      </c>
      <c r="K208" s="33" t="s">
        <v>1511</v>
      </c>
      <c r="L208" s="40">
        <f>VLOOKUP(B208,'✈ Flights (2)'!$A$2:$R$501,13,FALSE)</f>
        <v>381.19</v>
      </c>
      <c r="M208">
        <f>VLOOKUP(B208,'✈ Flights (2)'!$A$2:$R$501,16,FALSE)</f>
        <v>87</v>
      </c>
      <c r="N208" t="str">
        <f>VLOOKUP(B208,'✈ Flights (2)'!$A$2:$R$501,14,FALSE)</f>
        <v>Business</v>
      </c>
      <c r="O208">
        <f>VLOOKUP(B208,'✈ Flights (2)'!$A$2:$P$502,12,FALSE)</f>
        <v>868</v>
      </c>
    </row>
    <row r="209" spans="1:15">
      <c r="A209" s="38" t="s">
        <v>1712</v>
      </c>
      <c r="B209" s="38" t="s">
        <v>734</v>
      </c>
      <c r="C209" s="38" t="s">
        <v>130</v>
      </c>
      <c r="D209" s="33" t="str">
        <f>VLOOKUP(B209,'✈ Flights (2)'!$A$2:$P$502,3,FALSE)</f>
        <v>Jetblue</v>
      </c>
      <c r="E209" s="38">
        <v>200205.28</v>
      </c>
      <c r="F209" s="33">
        <f t="shared" si="3"/>
        <v>150.53028571428601</v>
      </c>
      <c r="G209" s="38">
        <v>6248.53</v>
      </c>
      <c r="H209" s="38">
        <v>2798.51</v>
      </c>
      <c r="I209" s="38">
        <v>14955.31</v>
      </c>
      <c r="J209" s="38">
        <v>188699.99</v>
      </c>
      <c r="K209" s="38" t="s">
        <v>1504</v>
      </c>
      <c r="L209" s="40">
        <f>VLOOKUP(B209,'✈ Flights (2)'!$A$2:$R$501,13,FALSE)</f>
        <v>1137.53</v>
      </c>
      <c r="M209">
        <f>VLOOKUP(B209,'✈ Flights (2)'!$A$2:$R$501,16,FALSE)</f>
        <v>176</v>
      </c>
      <c r="N209" t="str">
        <f>VLOOKUP(B209,'✈ Flights (2)'!$A$2:$R$501,14,FALSE)</f>
        <v>First Class</v>
      </c>
      <c r="O209">
        <f>VLOOKUP(B209,'✈ Flights (2)'!$A$2:$P$502,12,FALSE)</f>
        <v>1330</v>
      </c>
    </row>
    <row r="210" spans="1:15">
      <c r="A210" s="33" t="s">
        <v>1713</v>
      </c>
      <c r="B210" s="33" t="s">
        <v>737</v>
      </c>
      <c r="C210" s="33" t="s">
        <v>198</v>
      </c>
      <c r="D210" s="33" t="str">
        <f>VLOOKUP(B210,'✈ Flights (2)'!$A$2:$P$502,3,FALSE)</f>
        <v>Frontier</v>
      </c>
      <c r="E210" s="33">
        <v>222928.98</v>
      </c>
      <c r="F210" s="33">
        <f t="shared" si="3"/>
        <v>134.29456626506001</v>
      </c>
      <c r="G210" s="33">
        <v>1461.49</v>
      </c>
      <c r="H210" s="33">
        <v>12524.19</v>
      </c>
      <c r="I210" s="33">
        <v>17824.349999999999</v>
      </c>
      <c r="J210" s="33">
        <v>194041.93</v>
      </c>
      <c r="K210" s="33" t="s">
        <v>1504</v>
      </c>
      <c r="L210" s="40">
        <f>VLOOKUP(B210,'✈ Flights (2)'!$A$2:$R$501,13,FALSE)</f>
        <v>1022.61</v>
      </c>
      <c r="M210">
        <f>VLOOKUP(B210,'✈ Flights (2)'!$A$2:$R$501,16,FALSE)</f>
        <v>218</v>
      </c>
      <c r="N210" t="str">
        <f>VLOOKUP(B210,'✈ Flights (2)'!$A$2:$R$501,14,FALSE)</f>
        <v>Business</v>
      </c>
      <c r="O210">
        <f>VLOOKUP(B210,'✈ Flights (2)'!$A$2:$P$502,12,FALSE)</f>
        <v>1660</v>
      </c>
    </row>
    <row r="211" spans="1:15">
      <c r="A211" s="38" t="s">
        <v>1714</v>
      </c>
      <c r="B211" s="38" t="s">
        <v>740</v>
      </c>
      <c r="C211" s="38" t="s">
        <v>96</v>
      </c>
      <c r="D211" s="33" t="str">
        <f>VLOOKUP(B211,'✈ Flights (2)'!$A$2:$P$502,3,FALSE)</f>
        <v>American</v>
      </c>
      <c r="E211" s="38">
        <v>59416.35</v>
      </c>
      <c r="F211" s="33">
        <f t="shared" si="3"/>
        <v>37.463020176544802</v>
      </c>
      <c r="G211" s="38">
        <v>6238.96</v>
      </c>
      <c r="H211" s="38">
        <v>6947.45</v>
      </c>
      <c r="I211" s="38">
        <v>26880.36</v>
      </c>
      <c r="J211" s="38">
        <v>31827.5</v>
      </c>
      <c r="K211" s="38" t="s">
        <v>1509</v>
      </c>
      <c r="L211" s="40">
        <f>VLOOKUP(B211,'✈ Flights (2)'!$A$2:$R$501,13,FALSE)</f>
        <v>278.95</v>
      </c>
      <c r="M211">
        <f>VLOOKUP(B211,'✈ Flights (2)'!$A$2:$R$501,16,FALSE)</f>
        <v>213</v>
      </c>
      <c r="N211" t="str">
        <f>VLOOKUP(B211,'✈ Flights (2)'!$A$2:$R$501,14,FALSE)</f>
        <v>Business</v>
      </c>
      <c r="O211">
        <f>VLOOKUP(B211,'✈ Flights (2)'!$A$2:$P$502,12,FALSE)</f>
        <v>1586</v>
      </c>
    </row>
    <row r="212" spans="1:15">
      <c r="A212" s="33" t="s">
        <v>1715</v>
      </c>
      <c r="B212" s="33" t="s">
        <v>743</v>
      </c>
      <c r="C212" s="33" t="s">
        <v>157</v>
      </c>
      <c r="D212" s="33" t="str">
        <f>VLOOKUP(B212,'✈ Flights (2)'!$A$2:$P$502,3,FALSE)</f>
        <v>Southwest</v>
      </c>
      <c r="E212" s="33">
        <v>212420.88</v>
      </c>
      <c r="F212" s="33">
        <f t="shared" si="3"/>
        <v>277.31185378590101</v>
      </c>
      <c r="G212" s="33">
        <v>3088.57</v>
      </c>
      <c r="H212" s="33">
        <v>6566.5</v>
      </c>
      <c r="I212" s="33">
        <v>17507.810000000001</v>
      </c>
      <c r="J212" s="33">
        <v>191435.14</v>
      </c>
      <c r="K212" s="33" t="s">
        <v>1502</v>
      </c>
      <c r="L212" s="40">
        <f>VLOOKUP(B212,'✈ Flights (2)'!$A$2:$R$501,13,FALSE)</f>
        <v>1123.92</v>
      </c>
      <c r="M212">
        <f>VLOOKUP(B212,'✈ Flights (2)'!$A$2:$R$501,16,FALSE)</f>
        <v>189</v>
      </c>
      <c r="N212" t="str">
        <f>VLOOKUP(B212,'✈ Flights (2)'!$A$2:$R$501,14,FALSE)</f>
        <v>Economy</v>
      </c>
      <c r="O212">
        <f>VLOOKUP(B212,'✈ Flights (2)'!$A$2:$P$502,12,FALSE)</f>
        <v>766</v>
      </c>
    </row>
    <row r="213" spans="1:15">
      <c r="A213" s="38" t="s">
        <v>1716</v>
      </c>
      <c r="B213" s="38" t="s">
        <v>746</v>
      </c>
      <c r="C213" s="38" t="s">
        <v>184</v>
      </c>
      <c r="D213" s="33" t="str">
        <f>VLOOKUP(B213,'✈ Flights (2)'!$A$2:$P$502,3,FALSE)</f>
        <v>Frontier</v>
      </c>
      <c r="E213" s="38">
        <v>19342.16</v>
      </c>
      <c r="F213" s="33">
        <f t="shared" si="3"/>
        <v>8.2482558635394394</v>
      </c>
      <c r="G213" s="38">
        <v>2357.1</v>
      </c>
      <c r="H213" s="38">
        <v>9702.91</v>
      </c>
      <c r="I213" s="38">
        <v>27682.9</v>
      </c>
      <c r="J213" s="38">
        <v>-15686.55</v>
      </c>
      <c r="K213" s="38" t="s">
        <v>1504</v>
      </c>
      <c r="L213" s="40">
        <f>VLOOKUP(B213,'✈ Flights (2)'!$A$2:$R$501,13,FALSE)</f>
        <v>235.88</v>
      </c>
      <c r="M213">
        <f>VLOOKUP(B213,'✈ Flights (2)'!$A$2:$R$501,16,FALSE)</f>
        <v>82</v>
      </c>
      <c r="N213" t="str">
        <f>VLOOKUP(B213,'✈ Flights (2)'!$A$2:$R$501,14,FALSE)</f>
        <v>Business</v>
      </c>
      <c r="O213">
        <f>VLOOKUP(B213,'✈ Flights (2)'!$A$2:$P$502,12,FALSE)</f>
        <v>2345</v>
      </c>
    </row>
    <row r="214" spans="1:15">
      <c r="A214" s="33" t="s">
        <v>1717</v>
      </c>
      <c r="B214" s="33" t="s">
        <v>748</v>
      </c>
      <c r="C214" s="33" t="s">
        <v>41</v>
      </c>
      <c r="D214" s="33" t="str">
        <f>VLOOKUP(B214,'✈ Flights (2)'!$A$2:$P$502,3,FALSE)</f>
        <v>United</v>
      </c>
      <c r="E214" s="33">
        <v>210606.48</v>
      </c>
      <c r="F214" s="33">
        <f t="shared" si="3"/>
        <v>88.676412631578998</v>
      </c>
      <c r="G214" s="33">
        <v>7017.05</v>
      </c>
      <c r="H214" s="33">
        <v>4207.13</v>
      </c>
      <c r="I214" s="33">
        <v>9006.5</v>
      </c>
      <c r="J214" s="33">
        <v>204409.9</v>
      </c>
      <c r="K214" s="33" t="s">
        <v>1511</v>
      </c>
      <c r="L214" s="40">
        <f>VLOOKUP(B214,'✈ Flights (2)'!$A$2:$R$501,13,FALSE)</f>
        <v>1114.32</v>
      </c>
      <c r="M214">
        <f>VLOOKUP(B214,'✈ Flights (2)'!$A$2:$R$501,16,FALSE)</f>
        <v>189</v>
      </c>
      <c r="N214" t="str">
        <f>VLOOKUP(B214,'✈ Flights (2)'!$A$2:$R$501,14,FALSE)</f>
        <v>Unknown</v>
      </c>
      <c r="O214">
        <f>VLOOKUP(B214,'✈ Flights (2)'!$A$2:$P$502,12,FALSE)</f>
        <v>2375</v>
      </c>
    </row>
    <row r="215" spans="1:15">
      <c r="A215" s="38" t="s">
        <v>1718</v>
      </c>
      <c r="B215" s="38" t="s">
        <v>751</v>
      </c>
      <c r="C215" s="38" t="s">
        <v>198</v>
      </c>
      <c r="D215" s="33" t="str">
        <f>VLOOKUP(B215,'✈ Flights (2)'!$A$2:$P$502,3,FALSE)</f>
        <v>United</v>
      </c>
      <c r="E215" s="38">
        <v>170862.6</v>
      </c>
      <c r="F215" s="33">
        <f t="shared" si="3"/>
        <v>57.9195254237288</v>
      </c>
      <c r="G215" s="38">
        <v>780.33</v>
      </c>
      <c r="H215" s="38">
        <v>7492.15</v>
      </c>
      <c r="I215" s="38">
        <v>28021.87</v>
      </c>
      <c r="J215" s="38">
        <v>136128.91</v>
      </c>
      <c r="K215" s="38" t="s">
        <v>1509</v>
      </c>
      <c r="L215" s="40">
        <f>VLOOKUP(B215,'✈ Flights (2)'!$A$2:$R$501,13,FALSE)</f>
        <v>766.2</v>
      </c>
      <c r="M215">
        <f>VLOOKUP(B215,'✈ Flights (2)'!$A$2:$R$501,16,FALSE)</f>
        <v>223</v>
      </c>
      <c r="N215" t="str">
        <f>VLOOKUP(B215,'✈ Flights (2)'!$A$2:$R$501,14,FALSE)</f>
        <v>First Class</v>
      </c>
      <c r="O215">
        <f>VLOOKUP(B215,'✈ Flights (2)'!$A$2:$P$502,12,FALSE)</f>
        <v>2950</v>
      </c>
    </row>
    <row r="216" spans="1:15">
      <c r="A216" s="33" t="s">
        <v>1719</v>
      </c>
      <c r="B216" s="33" t="s">
        <v>754</v>
      </c>
      <c r="C216" s="33" t="s">
        <v>198</v>
      </c>
      <c r="D216" s="33" t="str">
        <f>VLOOKUP(B216,'✈ Flights (2)'!$A$2:$P$502,3,FALSE)</f>
        <v>Spirit</v>
      </c>
      <c r="E216" s="33">
        <v>207124.48000000001</v>
      </c>
      <c r="F216" s="33">
        <f t="shared" si="3"/>
        <v>86.626716854872399</v>
      </c>
      <c r="G216" s="33">
        <v>2499.64</v>
      </c>
      <c r="H216" s="33">
        <v>9643.86</v>
      </c>
      <c r="I216" s="33">
        <v>29358.55</v>
      </c>
      <c r="J216" s="33">
        <v>170621.71</v>
      </c>
      <c r="K216" s="33" t="s">
        <v>1511</v>
      </c>
      <c r="L216" s="40">
        <f>VLOOKUP(B216,'✈ Flights (2)'!$A$2:$R$501,13,FALSE)</f>
        <v>916.48</v>
      </c>
      <c r="M216">
        <f>VLOOKUP(B216,'✈ Flights (2)'!$A$2:$R$501,16,FALSE)</f>
        <v>226</v>
      </c>
      <c r="N216" t="str">
        <f>VLOOKUP(B216,'✈ Flights (2)'!$A$2:$R$501,14,FALSE)</f>
        <v>First Class</v>
      </c>
      <c r="O216">
        <f>VLOOKUP(B216,'✈ Flights (2)'!$A$2:$P$502,12,FALSE)</f>
        <v>2391</v>
      </c>
    </row>
    <row r="217" spans="1:15">
      <c r="A217" s="38" t="s">
        <v>1720</v>
      </c>
      <c r="B217" s="38" t="s">
        <v>757</v>
      </c>
      <c r="C217" s="38" t="s">
        <v>67</v>
      </c>
      <c r="D217" s="33" t="str">
        <f>VLOOKUP(B217,'✈ Flights (2)'!$A$2:$P$502,3,FALSE)</f>
        <v>Alaska</v>
      </c>
      <c r="E217" s="38">
        <v>44069.7</v>
      </c>
      <c r="F217" s="33">
        <f t="shared" si="3"/>
        <v>110.17425</v>
      </c>
      <c r="G217" s="38">
        <v>3333.03</v>
      </c>
      <c r="H217" s="38">
        <v>9443</v>
      </c>
      <c r="I217" s="38">
        <v>18660.53</v>
      </c>
      <c r="J217" s="38">
        <v>19299.2</v>
      </c>
      <c r="K217" s="38" t="s">
        <v>1509</v>
      </c>
      <c r="L217" s="40">
        <f>VLOOKUP(B217,'✈ Flights (2)'!$A$2:$R$501,13,FALSE)</f>
        <v>620.70000000000005</v>
      </c>
      <c r="M217">
        <f>VLOOKUP(B217,'✈ Flights (2)'!$A$2:$R$501,16,FALSE)</f>
        <v>71</v>
      </c>
      <c r="N217" t="str">
        <f>VLOOKUP(B217,'✈ Flights (2)'!$A$2:$R$501,14,FALSE)</f>
        <v>Business</v>
      </c>
      <c r="O217">
        <f>VLOOKUP(B217,'✈ Flights (2)'!$A$2:$P$502,12,FALSE)</f>
        <v>400</v>
      </c>
    </row>
    <row r="218" spans="1:15">
      <c r="A218" s="33" t="s">
        <v>1721</v>
      </c>
      <c r="B218" s="33" t="s">
        <v>760</v>
      </c>
      <c r="C218" s="33" t="s">
        <v>96</v>
      </c>
      <c r="D218" s="33" t="str">
        <f>VLOOKUP(B218,'✈ Flights (2)'!$A$2:$P$502,3,FALSE)</f>
        <v>Alaska</v>
      </c>
      <c r="E218" s="33">
        <v>77566.5</v>
      </c>
      <c r="F218" s="33">
        <f t="shared" si="3"/>
        <v>34.050263388937701</v>
      </c>
      <c r="G218" s="33">
        <v>1250.43</v>
      </c>
      <c r="H218" s="33">
        <v>6367.58</v>
      </c>
      <c r="I218" s="33">
        <v>28628.9</v>
      </c>
      <c r="J218" s="33">
        <v>43820.45</v>
      </c>
      <c r="K218" s="33" t="s">
        <v>1511</v>
      </c>
      <c r="L218" s="40">
        <f>VLOOKUP(B218,'✈ Flights (2)'!$A$2:$R$501,13,FALSE)</f>
        <v>470.1</v>
      </c>
      <c r="M218">
        <f>VLOOKUP(B218,'✈ Flights (2)'!$A$2:$R$501,16,FALSE)</f>
        <v>165</v>
      </c>
      <c r="N218" t="str">
        <f>VLOOKUP(B218,'✈ Flights (2)'!$A$2:$R$501,14,FALSE)</f>
        <v>Economy</v>
      </c>
      <c r="O218">
        <f>VLOOKUP(B218,'✈ Flights (2)'!$A$2:$P$502,12,FALSE)</f>
        <v>2278</v>
      </c>
    </row>
    <row r="219" spans="1:15">
      <c r="A219" s="38" t="s">
        <v>1722</v>
      </c>
      <c r="B219" s="38" t="s">
        <v>762</v>
      </c>
      <c r="C219" s="38" t="s">
        <v>198</v>
      </c>
      <c r="D219" s="33" t="str">
        <f>VLOOKUP(B219,'✈ Flights (2)'!$A$2:$P$502,3,FALSE)</f>
        <v>Delta</v>
      </c>
      <c r="E219" s="38">
        <v>130095.16</v>
      </c>
      <c r="F219" s="33">
        <f t="shared" si="3"/>
        <v>133.70520041110001</v>
      </c>
      <c r="G219" s="38">
        <v>1749.7</v>
      </c>
      <c r="H219" s="38">
        <v>14602.56</v>
      </c>
      <c r="I219" s="38">
        <v>15483.23</v>
      </c>
      <c r="J219" s="38">
        <v>101759.07</v>
      </c>
      <c r="K219" s="38" t="s">
        <v>1502</v>
      </c>
      <c r="L219" s="40">
        <f>VLOOKUP(B219,'✈ Flights (2)'!$A$2:$R$501,13,FALSE)</f>
        <v>1121.51</v>
      </c>
      <c r="M219">
        <f>VLOOKUP(B219,'✈ Flights (2)'!$A$2:$R$501,16,FALSE)</f>
        <v>116</v>
      </c>
      <c r="N219" t="str">
        <f>VLOOKUP(B219,'✈ Flights (2)'!$A$2:$R$501,14,FALSE)</f>
        <v>First Class</v>
      </c>
      <c r="O219">
        <f>VLOOKUP(B219,'✈ Flights (2)'!$A$2:$P$502,12,FALSE)</f>
        <v>973</v>
      </c>
    </row>
    <row r="220" spans="1:15">
      <c r="A220" s="33" t="s">
        <v>1723</v>
      </c>
      <c r="B220" s="33" t="s">
        <v>764</v>
      </c>
      <c r="C220" s="33" t="s">
        <v>33</v>
      </c>
      <c r="D220" s="33" t="str">
        <f>VLOOKUP(B220,'✈ Flights (2)'!$A$2:$P$502,3,FALSE)</f>
        <v>Alaska</v>
      </c>
      <c r="E220" s="33">
        <v>38116.47</v>
      </c>
      <c r="F220" s="33">
        <f t="shared" si="3"/>
        <v>13.239482459187199</v>
      </c>
      <c r="G220" s="33">
        <v>4227.1400000000003</v>
      </c>
      <c r="H220" s="33">
        <v>12232.94</v>
      </c>
      <c r="I220" s="33">
        <v>34656.69</v>
      </c>
      <c r="J220" s="33">
        <v>3191.91</v>
      </c>
      <c r="K220" s="33" t="s">
        <v>1502</v>
      </c>
      <c r="L220" s="40">
        <f>VLOOKUP(B220,'✈ Flights (2)'!$A$2:$R$501,13,FALSE)</f>
        <v>286.58999999999997</v>
      </c>
      <c r="M220">
        <f>VLOOKUP(B220,'✈ Flights (2)'!$A$2:$R$501,16,FALSE)</f>
        <v>133</v>
      </c>
      <c r="N220" t="str">
        <f>VLOOKUP(B220,'✈ Flights (2)'!$A$2:$R$501,14,FALSE)</f>
        <v>First Class</v>
      </c>
      <c r="O220">
        <f>VLOOKUP(B220,'✈ Flights (2)'!$A$2:$P$502,12,FALSE)</f>
        <v>2879</v>
      </c>
    </row>
    <row r="221" spans="1:15">
      <c r="A221" s="38" t="s">
        <v>1724</v>
      </c>
      <c r="B221" s="38" t="s">
        <v>765</v>
      </c>
      <c r="C221" s="38" t="s">
        <v>74</v>
      </c>
      <c r="D221" s="33" t="str">
        <f>VLOOKUP(B221,'✈ Flights (2)'!$A$2:$P$502,3,FALSE)</f>
        <v>Frontier</v>
      </c>
      <c r="E221" s="38">
        <v>25459.360000000001</v>
      </c>
      <c r="F221" s="33">
        <f t="shared" si="3"/>
        <v>21.594028837998302</v>
      </c>
      <c r="G221" s="38">
        <v>2655.17</v>
      </c>
      <c r="H221" s="38">
        <v>14950.96</v>
      </c>
      <c r="I221" s="38">
        <v>6663.6</v>
      </c>
      <c r="J221" s="38">
        <v>6499.97</v>
      </c>
      <c r="K221" s="38" t="s">
        <v>1509</v>
      </c>
      <c r="L221" s="40">
        <f>VLOOKUP(B221,'✈ Flights (2)'!$A$2:$R$501,13,FALSE)</f>
        <v>310.48</v>
      </c>
      <c r="M221">
        <f>VLOOKUP(B221,'✈ Flights (2)'!$A$2:$R$501,16,FALSE)</f>
        <v>82</v>
      </c>
      <c r="N221" t="str">
        <f>VLOOKUP(B221,'✈ Flights (2)'!$A$2:$R$501,14,FALSE)</f>
        <v>First Class</v>
      </c>
      <c r="O221">
        <f>VLOOKUP(B221,'✈ Flights (2)'!$A$2:$P$502,12,FALSE)</f>
        <v>1179</v>
      </c>
    </row>
    <row r="222" spans="1:15">
      <c r="A222" s="33" t="s">
        <v>1725</v>
      </c>
      <c r="B222" s="33" t="s">
        <v>767</v>
      </c>
      <c r="C222" s="33" t="s">
        <v>157</v>
      </c>
      <c r="D222" s="33" t="str">
        <f>VLOOKUP(B222,'✈ Flights (2)'!$A$2:$P$502,3,FALSE)</f>
        <v>Alaska</v>
      </c>
      <c r="E222" s="33">
        <v>99984.960000000006</v>
      </c>
      <c r="F222" s="33">
        <f t="shared" si="3"/>
        <v>43.396250000000002</v>
      </c>
      <c r="G222" s="33">
        <v>6534.52</v>
      </c>
      <c r="H222" s="33">
        <v>14453.23</v>
      </c>
      <c r="I222" s="33">
        <v>26860.03</v>
      </c>
      <c r="J222" s="33">
        <v>65206.22</v>
      </c>
      <c r="K222" s="33" t="s">
        <v>1504</v>
      </c>
      <c r="L222" s="40">
        <f>VLOOKUP(B222,'✈ Flights (2)'!$A$2:$R$501,13,FALSE)</f>
        <v>671.04</v>
      </c>
      <c r="M222">
        <f>VLOOKUP(B222,'✈ Flights (2)'!$A$2:$R$501,16,FALSE)</f>
        <v>149</v>
      </c>
      <c r="N222" t="str">
        <f>VLOOKUP(B222,'✈ Flights (2)'!$A$2:$R$501,14,FALSE)</f>
        <v>First Class</v>
      </c>
      <c r="O222">
        <f>VLOOKUP(B222,'✈ Flights (2)'!$A$2:$P$502,12,FALSE)</f>
        <v>2304</v>
      </c>
    </row>
    <row r="223" spans="1:15">
      <c r="A223" s="38" t="s">
        <v>1726</v>
      </c>
      <c r="B223" s="38" t="s">
        <v>770</v>
      </c>
      <c r="C223" s="38" t="s">
        <v>65</v>
      </c>
      <c r="D223" s="33" t="str">
        <f>VLOOKUP(B223,'✈ Flights (2)'!$A$2:$P$502,3,FALSE)</f>
        <v>Alaska</v>
      </c>
      <c r="E223" s="38">
        <v>74297.64</v>
      </c>
      <c r="F223" s="33">
        <f t="shared" si="3"/>
        <v>48.944426877470399</v>
      </c>
      <c r="G223" s="38">
        <v>4938.9799999999996</v>
      </c>
      <c r="H223" s="38">
        <v>9363.57</v>
      </c>
      <c r="I223" s="38">
        <v>14567.77</v>
      </c>
      <c r="J223" s="38">
        <v>55305.279999999999</v>
      </c>
      <c r="K223" s="38" t="s">
        <v>1509</v>
      </c>
      <c r="L223" s="40">
        <f>VLOOKUP(B223,'✈ Flights (2)'!$A$2:$R$501,13,FALSE)</f>
        <v>1108.92</v>
      </c>
      <c r="M223">
        <f>VLOOKUP(B223,'✈ Flights (2)'!$A$2:$R$501,16,FALSE)</f>
        <v>67</v>
      </c>
      <c r="N223" t="str">
        <f>VLOOKUP(B223,'✈ Flights (2)'!$A$2:$R$501,14,FALSE)</f>
        <v>First Class</v>
      </c>
      <c r="O223">
        <f>VLOOKUP(B223,'✈ Flights (2)'!$A$2:$P$502,12,FALSE)</f>
        <v>1518</v>
      </c>
    </row>
    <row r="224" spans="1:15">
      <c r="A224" s="33" t="s">
        <v>1727</v>
      </c>
      <c r="B224" s="33" t="s">
        <v>772</v>
      </c>
      <c r="C224" s="33" t="s">
        <v>198</v>
      </c>
      <c r="D224" s="33" t="str">
        <f>VLOOKUP(B224,'✈ Flights (2)'!$A$2:$P$502,3,FALSE)</f>
        <v>Jetblue</v>
      </c>
      <c r="E224" s="33">
        <v>81167.64</v>
      </c>
      <c r="F224" s="33">
        <f t="shared" si="3"/>
        <v>42.9231306187203</v>
      </c>
      <c r="G224" s="33">
        <v>3703.29</v>
      </c>
      <c r="H224" s="33">
        <v>2996.6</v>
      </c>
      <c r="I224" s="33">
        <v>17156.080000000002</v>
      </c>
      <c r="J224" s="33">
        <v>64718.25</v>
      </c>
      <c r="K224" s="33" t="s">
        <v>1511</v>
      </c>
      <c r="L224" s="40">
        <f>VLOOKUP(B224,'✈ Flights (2)'!$A$2:$R$501,13,FALSE)</f>
        <v>548.42999999999995</v>
      </c>
      <c r="M224">
        <f>VLOOKUP(B224,'✈ Flights (2)'!$A$2:$R$501,16,FALSE)</f>
        <v>148</v>
      </c>
      <c r="N224" t="str">
        <f>VLOOKUP(B224,'✈ Flights (2)'!$A$2:$R$501,14,FALSE)</f>
        <v>Economy</v>
      </c>
      <c r="O224">
        <f>VLOOKUP(B224,'✈ Flights (2)'!$A$2:$P$502,12,FALSE)</f>
        <v>1891</v>
      </c>
    </row>
    <row r="225" spans="1:15">
      <c r="A225" s="38" t="s">
        <v>1728</v>
      </c>
      <c r="B225" s="38" t="s">
        <v>776</v>
      </c>
      <c r="C225" s="38" t="s">
        <v>33</v>
      </c>
      <c r="D225" s="33" t="str">
        <f>VLOOKUP(B225,'✈ Flights (2)'!$A$2:$P$502,3,FALSE)</f>
        <v>American</v>
      </c>
      <c r="E225" s="38">
        <v>27236.79</v>
      </c>
      <c r="F225" s="33">
        <f t="shared" si="3"/>
        <v>25.550459662288901</v>
      </c>
      <c r="G225" s="38">
        <v>4284.8</v>
      </c>
      <c r="H225" s="38">
        <v>10624.94</v>
      </c>
      <c r="I225" s="38">
        <v>15496.82</v>
      </c>
      <c r="J225" s="38">
        <v>5399.83</v>
      </c>
      <c r="K225" s="38" t="s">
        <v>1511</v>
      </c>
      <c r="L225" s="40">
        <f>VLOOKUP(B225,'✈ Flights (2)'!$A$2:$R$501,13,FALSE)</f>
        <v>432.33</v>
      </c>
      <c r="M225">
        <f>VLOOKUP(B225,'✈ Flights (2)'!$A$2:$R$501,16,FALSE)</f>
        <v>63</v>
      </c>
      <c r="N225" t="str">
        <f>VLOOKUP(B225,'✈ Flights (2)'!$A$2:$R$501,14,FALSE)</f>
        <v>Business</v>
      </c>
      <c r="O225">
        <f>VLOOKUP(B225,'✈ Flights (2)'!$A$2:$P$502,12,FALSE)</f>
        <v>1066</v>
      </c>
    </row>
    <row r="226" spans="1:15">
      <c r="A226" s="33" t="s">
        <v>1729</v>
      </c>
      <c r="B226" s="33" t="s">
        <v>779</v>
      </c>
      <c r="C226" s="33" t="s">
        <v>184</v>
      </c>
      <c r="D226" s="33" t="str">
        <f>VLOOKUP(B226,'✈ Flights (2)'!$A$2:$P$502,3,FALSE)</f>
        <v>American</v>
      </c>
      <c r="E226" s="33">
        <v>50186.92</v>
      </c>
      <c r="F226" s="33">
        <f t="shared" si="3"/>
        <v>21.688383751080401</v>
      </c>
      <c r="G226" s="33">
        <v>2000.58</v>
      </c>
      <c r="H226" s="33">
        <v>10124.530000000001</v>
      </c>
      <c r="I226" s="33">
        <v>19080.53</v>
      </c>
      <c r="J226" s="33">
        <v>22982.44</v>
      </c>
      <c r="K226" s="33" t="s">
        <v>1509</v>
      </c>
      <c r="L226" s="40">
        <f>VLOOKUP(B226,'✈ Flights (2)'!$A$2:$R$501,13,FALSE)</f>
        <v>545.51</v>
      </c>
      <c r="M226">
        <f>VLOOKUP(B226,'✈ Flights (2)'!$A$2:$R$501,16,FALSE)</f>
        <v>92</v>
      </c>
      <c r="N226" t="str">
        <f>VLOOKUP(B226,'✈ Flights (2)'!$A$2:$R$501,14,FALSE)</f>
        <v>Unknown</v>
      </c>
      <c r="O226">
        <f>VLOOKUP(B226,'✈ Flights (2)'!$A$2:$P$502,12,FALSE)</f>
        <v>2314</v>
      </c>
    </row>
    <row r="227" spans="1:15">
      <c r="A227" s="38" t="s">
        <v>1730</v>
      </c>
      <c r="B227" s="38" t="s">
        <v>781</v>
      </c>
      <c r="C227" s="38" t="s">
        <v>96</v>
      </c>
      <c r="D227" s="33" t="str">
        <f>VLOOKUP(B227,'✈ Flights (2)'!$A$2:$P$502,3,FALSE)</f>
        <v>Southwest</v>
      </c>
      <c r="E227" s="38">
        <v>64413.599999999999</v>
      </c>
      <c r="F227" s="33">
        <f t="shared" si="3"/>
        <v>43.463967611336003</v>
      </c>
      <c r="G227" s="38">
        <v>5536.7</v>
      </c>
      <c r="H227" s="38">
        <v>13451.66</v>
      </c>
      <c r="I227" s="38">
        <v>24164.69</v>
      </c>
      <c r="J227" s="38">
        <v>32333.95</v>
      </c>
      <c r="K227" s="38" t="s">
        <v>1502</v>
      </c>
      <c r="L227" s="40">
        <f>VLOOKUP(B227,'✈ Flights (2)'!$A$2:$R$501,13,FALSE)</f>
        <v>268.39</v>
      </c>
      <c r="M227">
        <f>VLOOKUP(B227,'✈ Flights (2)'!$A$2:$R$501,16,FALSE)</f>
        <v>240</v>
      </c>
      <c r="N227" t="str">
        <f>VLOOKUP(B227,'✈ Flights (2)'!$A$2:$R$501,14,FALSE)</f>
        <v>Business</v>
      </c>
      <c r="O227">
        <f>VLOOKUP(B227,'✈ Flights (2)'!$A$2:$P$502,12,FALSE)</f>
        <v>1482</v>
      </c>
    </row>
    <row r="228" spans="1:15">
      <c r="A228" s="33" t="s">
        <v>1731</v>
      </c>
      <c r="B228" s="33" t="s">
        <v>783</v>
      </c>
      <c r="C228" s="33" t="s">
        <v>74</v>
      </c>
      <c r="D228" s="33" t="str">
        <f>VLOOKUP(B228,'✈ Flights (2)'!$A$2:$P$502,3,FALSE)</f>
        <v>United</v>
      </c>
      <c r="E228" s="33">
        <v>97776</v>
      </c>
      <c r="F228" s="33">
        <f t="shared" si="3"/>
        <v>208.034042553191</v>
      </c>
      <c r="G228" s="33">
        <v>0</v>
      </c>
      <c r="H228" s="33">
        <v>4768.3900000000003</v>
      </c>
      <c r="I228" s="33">
        <v>25189.52</v>
      </c>
      <c r="J228" s="33">
        <v>-29957.91</v>
      </c>
      <c r="K228" s="33" t="s">
        <v>1509</v>
      </c>
      <c r="L228" s="40">
        <f>VLOOKUP(B228,'✈ Flights (2)'!$A$2:$R$501,13,FALSE)</f>
        <v>931.2</v>
      </c>
      <c r="M228">
        <f>VLOOKUP(B228,'✈ Flights (2)'!$A$2:$R$501,16,FALSE)</f>
        <v>105</v>
      </c>
      <c r="N228" t="str">
        <f>VLOOKUP(B228,'✈ Flights (2)'!$A$2:$R$501,14,FALSE)</f>
        <v>Business</v>
      </c>
      <c r="O228">
        <f>VLOOKUP(B228,'✈ Flights (2)'!$A$2:$P$502,12,FALSE)</f>
        <v>470</v>
      </c>
    </row>
    <row r="229" spans="1:15">
      <c r="A229" s="38" t="s">
        <v>1732</v>
      </c>
      <c r="B229" s="38" t="s">
        <v>785</v>
      </c>
      <c r="C229" s="38" t="s">
        <v>96</v>
      </c>
      <c r="D229" s="33" t="str">
        <f>VLOOKUP(B229,'✈ Flights (2)'!$A$2:$P$502,3,FALSE)</f>
        <v>Southwest</v>
      </c>
      <c r="E229" s="38">
        <v>146942.32</v>
      </c>
      <c r="F229" s="33">
        <f t="shared" si="3"/>
        <v>223.99743902438999</v>
      </c>
      <c r="G229" s="38">
        <v>2509.52</v>
      </c>
      <c r="H229" s="38">
        <v>12516.14</v>
      </c>
      <c r="I229" s="38">
        <v>27327.42</v>
      </c>
      <c r="J229" s="38">
        <v>109608.28</v>
      </c>
      <c r="K229" s="38" t="s">
        <v>1509</v>
      </c>
      <c r="L229" s="40">
        <f>VLOOKUP(B229,'✈ Flights (2)'!$A$2:$R$501,13,FALSE)</f>
        <v>571.76</v>
      </c>
      <c r="M229">
        <f>VLOOKUP(B229,'✈ Flights (2)'!$A$2:$R$501,16,FALSE)</f>
        <v>257</v>
      </c>
      <c r="N229" t="str">
        <f>VLOOKUP(B229,'✈ Flights (2)'!$A$2:$R$501,14,FALSE)</f>
        <v>Economy</v>
      </c>
      <c r="O229">
        <f>VLOOKUP(B229,'✈ Flights (2)'!$A$2:$P$502,12,FALSE)</f>
        <v>656</v>
      </c>
    </row>
    <row r="230" spans="1:15">
      <c r="A230" s="33" t="s">
        <v>1733</v>
      </c>
      <c r="B230" s="33" t="s">
        <v>788</v>
      </c>
      <c r="C230" s="33" t="s">
        <v>39</v>
      </c>
      <c r="D230" s="33" t="str">
        <f>VLOOKUP(B230,'✈ Flights (2)'!$A$2:$P$502,3,FALSE)</f>
        <v>Spirit</v>
      </c>
      <c r="E230" s="33">
        <v>88434.17</v>
      </c>
      <c r="F230" s="33">
        <f t="shared" si="3"/>
        <v>33.561354838709697</v>
      </c>
      <c r="G230" s="33">
        <v>7509.77</v>
      </c>
      <c r="H230" s="33">
        <v>2778.46</v>
      </c>
      <c r="I230" s="33">
        <v>30431.53</v>
      </c>
      <c r="J230" s="33">
        <v>62733.95</v>
      </c>
      <c r="K230" s="33" t="s">
        <v>1502</v>
      </c>
      <c r="L230" s="40">
        <f>VLOOKUP(B230,'✈ Flights (2)'!$A$2:$R$501,13,FALSE)</f>
        <v>472.91</v>
      </c>
      <c r="M230">
        <f>VLOOKUP(B230,'✈ Flights (2)'!$A$2:$R$501,16,FALSE)</f>
        <v>187</v>
      </c>
      <c r="N230" t="str">
        <f>VLOOKUP(B230,'✈ Flights (2)'!$A$2:$R$501,14,FALSE)</f>
        <v>Business</v>
      </c>
      <c r="O230">
        <f>VLOOKUP(B230,'✈ Flights (2)'!$A$2:$P$502,12,FALSE)</f>
        <v>2635</v>
      </c>
    </row>
    <row r="231" spans="1:15">
      <c r="A231" s="38" t="s">
        <v>1734</v>
      </c>
      <c r="B231" s="38" t="s">
        <v>791</v>
      </c>
      <c r="C231" s="38" t="s">
        <v>74</v>
      </c>
      <c r="D231" s="33" t="str">
        <f>VLOOKUP(B231,'✈ Flights (2)'!$A$2:$P$502,3,FALSE)</f>
        <v>Jetblue</v>
      </c>
      <c r="E231" s="38">
        <v>126428.28</v>
      </c>
      <c r="F231" s="33">
        <f t="shared" si="3"/>
        <v>63.691828715365197</v>
      </c>
      <c r="G231" s="38">
        <v>3232.06</v>
      </c>
      <c r="H231" s="38">
        <v>3956.14</v>
      </c>
      <c r="I231" s="38">
        <v>10171.030000000001</v>
      </c>
      <c r="J231" s="38">
        <v>115533.17</v>
      </c>
      <c r="K231" s="38" t="s">
        <v>1511</v>
      </c>
      <c r="L231" s="40">
        <f>VLOOKUP(B231,'✈ Flights (2)'!$A$2:$R$501,13,FALSE)</f>
        <v>1109.02</v>
      </c>
      <c r="M231">
        <f>VLOOKUP(B231,'✈ Flights (2)'!$A$2:$R$501,16,FALSE)</f>
        <v>114</v>
      </c>
      <c r="N231" t="str">
        <f>VLOOKUP(B231,'✈ Flights (2)'!$A$2:$R$501,14,FALSE)</f>
        <v>Business</v>
      </c>
      <c r="O231">
        <f>VLOOKUP(B231,'✈ Flights (2)'!$A$2:$P$502,12,FALSE)</f>
        <v>1985</v>
      </c>
    </row>
    <row r="232" spans="1:15">
      <c r="A232" s="33" t="s">
        <v>1735</v>
      </c>
      <c r="B232" s="33" t="s">
        <v>793</v>
      </c>
      <c r="C232" s="33" t="s">
        <v>157</v>
      </c>
      <c r="D232" s="33" t="str">
        <f>VLOOKUP(B232,'✈ Flights (2)'!$A$2:$P$502,3,FALSE)</f>
        <v>American</v>
      </c>
      <c r="E232" s="33">
        <v>113368.32000000001</v>
      </c>
      <c r="F232" s="33">
        <f t="shared" si="3"/>
        <v>128.53551020408199</v>
      </c>
      <c r="G232" s="33">
        <v>6830.91</v>
      </c>
      <c r="H232" s="33">
        <v>13182.42</v>
      </c>
      <c r="I232" s="33">
        <v>19359.11</v>
      </c>
      <c r="J232" s="33">
        <v>87657.7</v>
      </c>
      <c r="K232" s="33" t="s">
        <v>1504</v>
      </c>
      <c r="L232" s="40">
        <f>VLOOKUP(B232,'✈ Flights (2)'!$A$2:$R$501,13,FALSE)</f>
        <v>726.72</v>
      </c>
      <c r="M232">
        <f>VLOOKUP(B232,'✈ Flights (2)'!$A$2:$R$501,16,FALSE)</f>
        <v>156</v>
      </c>
      <c r="N232" t="str">
        <f>VLOOKUP(B232,'✈ Flights (2)'!$A$2:$R$501,14,FALSE)</f>
        <v>Business</v>
      </c>
      <c r="O232">
        <f>VLOOKUP(B232,'✈ Flights (2)'!$A$2:$P$502,12,FALSE)</f>
        <v>882</v>
      </c>
    </row>
    <row r="233" spans="1:15">
      <c r="A233" s="38" t="s">
        <v>1736</v>
      </c>
      <c r="B233" s="38" t="s">
        <v>795</v>
      </c>
      <c r="C233" s="38" t="s">
        <v>67</v>
      </c>
      <c r="D233" s="33" t="str">
        <f>VLOOKUP(B233,'✈ Flights (2)'!$A$2:$P$502,3,FALSE)</f>
        <v>United</v>
      </c>
      <c r="E233" s="38">
        <v>29463</v>
      </c>
      <c r="F233" s="33">
        <f t="shared" si="3"/>
        <v>16.2689122032026</v>
      </c>
      <c r="G233" s="38">
        <v>5254.46</v>
      </c>
      <c r="H233" s="38">
        <v>5470.15</v>
      </c>
      <c r="I233" s="38">
        <v>34608.839999999997</v>
      </c>
      <c r="J233" s="38">
        <v>-5361.53</v>
      </c>
      <c r="K233" s="38" t="s">
        <v>1511</v>
      </c>
      <c r="L233" s="40">
        <f>VLOOKUP(B233,'✈ Flights (2)'!$A$2:$R$501,13,FALSE)</f>
        <v>589.26</v>
      </c>
      <c r="M233">
        <f>VLOOKUP(B233,'✈ Flights (2)'!$A$2:$R$501,16,FALSE)</f>
        <v>50</v>
      </c>
      <c r="N233" t="str">
        <f>VLOOKUP(B233,'✈ Flights (2)'!$A$2:$R$501,14,FALSE)</f>
        <v>Business</v>
      </c>
      <c r="O233">
        <f>VLOOKUP(B233,'✈ Flights (2)'!$A$2:$P$502,12,FALSE)</f>
        <v>1811</v>
      </c>
    </row>
    <row r="234" spans="1:15">
      <c r="A234" s="33" t="s">
        <v>1737</v>
      </c>
      <c r="B234" s="33" t="s">
        <v>797</v>
      </c>
      <c r="C234" s="33" t="s">
        <v>55</v>
      </c>
      <c r="D234" s="33" t="str">
        <f>VLOOKUP(B234,'✈ Flights (2)'!$A$2:$P$502,3,FALSE)</f>
        <v>Alaska</v>
      </c>
      <c r="E234" s="33">
        <v>123645.6</v>
      </c>
      <c r="F234" s="33">
        <f t="shared" si="3"/>
        <v>105.951670951157</v>
      </c>
      <c r="G234" s="33">
        <v>5345.32</v>
      </c>
      <c r="H234" s="33">
        <v>9816.02</v>
      </c>
      <c r="I234" s="33">
        <v>13975.63</v>
      </c>
      <c r="J234" s="33">
        <v>105199.27</v>
      </c>
      <c r="K234" s="33" t="s">
        <v>1509</v>
      </c>
      <c r="L234" s="40">
        <f>VLOOKUP(B234,'✈ Flights (2)'!$A$2:$R$501,13,FALSE)</f>
        <v>634.08000000000004</v>
      </c>
      <c r="M234">
        <f>VLOOKUP(B234,'✈ Flights (2)'!$A$2:$R$501,16,FALSE)</f>
        <v>195</v>
      </c>
      <c r="N234" t="str">
        <f>VLOOKUP(B234,'✈ Flights (2)'!$A$2:$R$501,14,FALSE)</f>
        <v>Business</v>
      </c>
      <c r="O234">
        <f>VLOOKUP(B234,'✈ Flights (2)'!$A$2:$P$502,12,FALSE)</f>
        <v>1167</v>
      </c>
    </row>
    <row r="235" spans="1:15">
      <c r="A235" s="38" t="s">
        <v>1738</v>
      </c>
      <c r="B235" s="38" t="s">
        <v>800</v>
      </c>
      <c r="C235" s="38" t="s">
        <v>157</v>
      </c>
      <c r="D235" s="33" t="str">
        <f>VLOOKUP(B235,'✈ Flights (2)'!$A$2:$P$502,3,FALSE)</f>
        <v>Frontier</v>
      </c>
      <c r="E235" s="38">
        <v>16307.84</v>
      </c>
      <c r="F235" s="33">
        <f t="shared" si="3"/>
        <v>7.4738038496791903</v>
      </c>
      <c r="G235" s="38">
        <v>2288.63</v>
      </c>
      <c r="H235" s="38">
        <v>2360.15</v>
      </c>
      <c r="I235" s="38">
        <v>10248.68</v>
      </c>
      <c r="J235" s="38">
        <v>5987.64</v>
      </c>
      <c r="K235" s="38" t="s">
        <v>1511</v>
      </c>
      <c r="L235" s="40">
        <f>VLOOKUP(B235,'✈ Flights (2)'!$A$2:$R$501,13,FALSE)</f>
        <v>98.24</v>
      </c>
      <c r="M235">
        <f>VLOOKUP(B235,'✈ Flights (2)'!$A$2:$R$501,16,FALSE)</f>
        <v>166</v>
      </c>
      <c r="N235" t="str">
        <f>VLOOKUP(B235,'✈ Flights (2)'!$A$2:$R$501,14,FALSE)</f>
        <v>Economy</v>
      </c>
      <c r="O235">
        <f>VLOOKUP(B235,'✈ Flights (2)'!$A$2:$P$502,12,FALSE)</f>
        <v>2182</v>
      </c>
    </row>
    <row r="236" spans="1:15">
      <c r="A236" s="33" t="s">
        <v>1739</v>
      </c>
      <c r="B236" s="33" t="s">
        <v>804</v>
      </c>
      <c r="C236" s="33" t="s">
        <v>102</v>
      </c>
      <c r="D236" s="33" t="str">
        <f>VLOOKUP(B236,'✈ Flights (2)'!$A$2:$P$502,3,FALSE)</f>
        <v>Southwest</v>
      </c>
      <c r="E236" s="33">
        <v>44499.48</v>
      </c>
      <c r="F236" s="33">
        <f t="shared" si="3"/>
        <v>14.9277021133848</v>
      </c>
      <c r="G236" s="33">
        <v>3981.2</v>
      </c>
      <c r="H236" s="33">
        <v>7669.73</v>
      </c>
      <c r="I236" s="33">
        <v>24593.88</v>
      </c>
      <c r="J236" s="33">
        <v>16217.07</v>
      </c>
      <c r="K236" s="33" t="s">
        <v>1504</v>
      </c>
      <c r="L236" s="40">
        <f>VLOOKUP(B236,'✈ Flights (2)'!$A$2:$R$501,13,FALSE)</f>
        <v>483.69</v>
      </c>
      <c r="M236">
        <f>VLOOKUP(B236,'✈ Flights (2)'!$A$2:$R$501,16,FALSE)</f>
        <v>92</v>
      </c>
      <c r="N236" t="str">
        <f>VLOOKUP(B236,'✈ Flights (2)'!$A$2:$R$501,14,FALSE)</f>
        <v>Economy</v>
      </c>
      <c r="O236">
        <f>VLOOKUP(B236,'✈ Flights (2)'!$A$2:$P$502,12,FALSE)</f>
        <v>2981</v>
      </c>
    </row>
    <row r="237" spans="1:15">
      <c r="A237" s="38" t="s">
        <v>1740</v>
      </c>
      <c r="B237" s="38" t="s">
        <v>808</v>
      </c>
      <c r="C237" s="38" t="s">
        <v>130</v>
      </c>
      <c r="D237" s="33" t="str">
        <f>VLOOKUP(B237,'✈ Flights (2)'!$A$2:$P$502,3,FALSE)</f>
        <v>Southwest</v>
      </c>
      <c r="E237" s="38">
        <v>65700.14</v>
      </c>
      <c r="F237" s="33">
        <f t="shared" si="3"/>
        <v>55.962640545144801</v>
      </c>
      <c r="G237" s="38">
        <v>2014.93</v>
      </c>
      <c r="H237" s="38">
        <v>2378.84</v>
      </c>
      <c r="I237" s="38">
        <v>14544.92</v>
      </c>
      <c r="J237" s="38">
        <v>50791.31</v>
      </c>
      <c r="K237" s="38" t="s">
        <v>1511</v>
      </c>
      <c r="L237" s="40">
        <f>VLOOKUP(B237,'✈ Flights (2)'!$A$2:$R$501,13,FALSE)</f>
        <v>614.02</v>
      </c>
      <c r="M237">
        <f>VLOOKUP(B237,'✈ Flights (2)'!$A$2:$R$501,16,FALSE)</f>
        <v>107</v>
      </c>
      <c r="N237" t="str">
        <f>VLOOKUP(B237,'✈ Flights (2)'!$A$2:$R$501,14,FALSE)</f>
        <v>Economy</v>
      </c>
      <c r="O237">
        <f>VLOOKUP(B237,'✈ Flights (2)'!$A$2:$P$502,12,FALSE)</f>
        <v>1174</v>
      </c>
    </row>
    <row r="238" spans="1:15">
      <c r="A238" s="33" t="s">
        <v>1741</v>
      </c>
      <c r="B238" s="33" t="s">
        <v>810</v>
      </c>
      <c r="C238" s="33" t="s">
        <v>175</v>
      </c>
      <c r="D238" s="33" t="str">
        <f>VLOOKUP(B238,'✈ Flights (2)'!$A$2:$P$502,3,FALSE)</f>
        <v>Delta</v>
      </c>
      <c r="E238" s="33">
        <v>44281.440000000002</v>
      </c>
      <c r="F238" s="33">
        <f t="shared" si="3"/>
        <v>52.653317479191401</v>
      </c>
      <c r="G238" s="33">
        <v>5440.03</v>
      </c>
      <c r="H238" s="33">
        <v>13082.77</v>
      </c>
      <c r="I238" s="33">
        <v>11159.48</v>
      </c>
      <c r="J238" s="33">
        <v>25479.22</v>
      </c>
      <c r="K238" s="33" t="s">
        <v>1509</v>
      </c>
      <c r="L238" s="40">
        <f>VLOOKUP(B238,'✈ Flights (2)'!$A$2:$R$501,13,FALSE)</f>
        <v>615.02</v>
      </c>
      <c r="M238">
        <f>VLOOKUP(B238,'✈ Flights (2)'!$A$2:$R$501,16,FALSE)</f>
        <v>72</v>
      </c>
      <c r="N238" t="str">
        <f>VLOOKUP(B238,'✈ Flights (2)'!$A$2:$R$501,14,FALSE)</f>
        <v>Economy</v>
      </c>
      <c r="O238">
        <f>VLOOKUP(B238,'✈ Flights (2)'!$A$2:$P$502,12,FALSE)</f>
        <v>841</v>
      </c>
    </row>
    <row r="239" spans="1:15">
      <c r="A239" s="38" t="s">
        <v>1742</v>
      </c>
      <c r="B239" s="38" t="s">
        <v>812</v>
      </c>
      <c r="C239" s="38" t="s">
        <v>65</v>
      </c>
      <c r="D239" s="33" t="str">
        <f>VLOOKUP(B239,'✈ Flights (2)'!$A$2:$P$502,3,FALSE)</f>
        <v>Alaska</v>
      </c>
      <c r="E239" s="38">
        <v>46317.06</v>
      </c>
      <c r="F239" s="33">
        <f t="shared" si="3"/>
        <v>54.8130887573965</v>
      </c>
      <c r="G239" s="38">
        <v>6366.75</v>
      </c>
      <c r="H239" s="38">
        <v>13654.57</v>
      </c>
      <c r="I239" s="38">
        <v>6936.45</v>
      </c>
      <c r="J239" s="38">
        <v>32092.79</v>
      </c>
      <c r="K239" s="38" t="s">
        <v>1511</v>
      </c>
      <c r="L239" s="40">
        <f>VLOOKUP(B239,'✈ Flights (2)'!$A$2:$R$501,13,FALSE)</f>
        <v>798.57</v>
      </c>
      <c r="M239">
        <f>VLOOKUP(B239,'✈ Flights (2)'!$A$2:$R$501,16,FALSE)</f>
        <v>58</v>
      </c>
      <c r="N239" t="str">
        <f>VLOOKUP(B239,'✈ Flights (2)'!$A$2:$R$501,14,FALSE)</f>
        <v>First Class</v>
      </c>
      <c r="O239">
        <f>VLOOKUP(B239,'✈ Flights (2)'!$A$2:$P$502,12,FALSE)</f>
        <v>845</v>
      </c>
    </row>
    <row r="240" spans="1:15">
      <c r="A240" s="33" t="s">
        <v>1743</v>
      </c>
      <c r="B240" s="33" t="s">
        <v>813</v>
      </c>
      <c r="C240" s="33" t="s">
        <v>41</v>
      </c>
      <c r="D240" s="33" t="str">
        <f>VLOOKUP(B240,'✈ Flights (2)'!$A$2:$P$502,3,FALSE)</f>
        <v>American</v>
      </c>
      <c r="E240" s="33">
        <v>180975.64</v>
      </c>
      <c r="F240" s="33">
        <f t="shared" si="3"/>
        <v>196.712652173913</v>
      </c>
      <c r="G240" s="33">
        <v>5012</v>
      </c>
      <c r="H240" s="33">
        <v>13707.47</v>
      </c>
      <c r="I240" s="33">
        <v>35351.01</v>
      </c>
      <c r="J240" s="33">
        <v>136929.16</v>
      </c>
      <c r="K240" s="33" t="s">
        <v>1509</v>
      </c>
      <c r="L240" s="40">
        <f>VLOOKUP(B240,'✈ Flights (2)'!$A$2:$R$501,13,FALSE)</f>
        <v>1110.28</v>
      </c>
      <c r="M240">
        <f>VLOOKUP(B240,'✈ Flights (2)'!$A$2:$R$501,16,FALSE)</f>
        <v>163</v>
      </c>
      <c r="N240" t="str">
        <f>VLOOKUP(B240,'✈ Flights (2)'!$A$2:$R$501,14,FALSE)</f>
        <v>First Class</v>
      </c>
      <c r="O240">
        <f>VLOOKUP(B240,'✈ Flights (2)'!$A$2:$P$502,12,FALSE)</f>
        <v>920</v>
      </c>
    </row>
    <row r="241" spans="1:15">
      <c r="A241" s="38" t="s">
        <v>1744</v>
      </c>
      <c r="B241" s="38" t="s">
        <v>816</v>
      </c>
      <c r="C241" s="38" t="s">
        <v>198</v>
      </c>
      <c r="D241" s="33" t="str">
        <f>VLOOKUP(B241,'✈ Flights (2)'!$A$2:$P$502,3,FALSE)</f>
        <v>American</v>
      </c>
      <c r="E241" s="38">
        <v>36740.400000000001</v>
      </c>
      <c r="F241" s="33">
        <f t="shared" si="3"/>
        <v>17.8524781341108</v>
      </c>
      <c r="G241" s="38">
        <v>7225.8</v>
      </c>
      <c r="H241" s="38">
        <v>13514.35</v>
      </c>
      <c r="I241" s="38">
        <v>28508.52</v>
      </c>
      <c r="J241" s="38">
        <v>1943.33</v>
      </c>
      <c r="K241" s="38" t="s">
        <v>1509</v>
      </c>
      <c r="L241" s="40">
        <f>VLOOKUP(B241,'✈ Flights (2)'!$A$2:$R$501,13,FALSE)</f>
        <v>432.24</v>
      </c>
      <c r="M241">
        <f>VLOOKUP(B241,'✈ Flights (2)'!$A$2:$R$501,16,FALSE)</f>
        <v>85</v>
      </c>
      <c r="N241" t="str">
        <f>VLOOKUP(B241,'✈ Flights (2)'!$A$2:$R$501,14,FALSE)</f>
        <v>Economy</v>
      </c>
      <c r="O241">
        <f>VLOOKUP(B241,'✈ Flights (2)'!$A$2:$P$502,12,FALSE)</f>
        <v>2058</v>
      </c>
    </row>
    <row r="242" spans="1:15">
      <c r="A242" s="33" t="s">
        <v>1745</v>
      </c>
      <c r="B242" s="33" t="s">
        <v>818</v>
      </c>
      <c r="C242" s="33" t="s">
        <v>175</v>
      </c>
      <c r="D242" s="33" t="str">
        <f>VLOOKUP(B242,'✈ Flights (2)'!$A$2:$P$502,3,FALSE)</f>
        <v>Jetblue</v>
      </c>
      <c r="E242" s="33">
        <v>114671.79</v>
      </c>
      <c r="F242" s="33">
        <f t="shared" si="3"/>
        <v>60.226780462184898</v>
      </c>
      <c r="G242" s="33">
        <v>7573.72</v>
      </c>
      <c r="H242" s="33">
        <v>3827.28</v>
      </c>
      <c r="I242" s="33">
        <v>30348.21</v>
      </c>
      <c r="J242" s="33">
        <v>88070.02</v>
      </c>
      <c r="K242" s="33" t="s">
        <v>1504</v>
      </c>
      <c r="L242" s="40">
        <f>VLOOKUP(B242,'✈ Flights (2)'!$A$2:$R$501,13,FALSE)</f>
        <v>411.01</v>
      </c>
      <c r="M242">
        <f>VLOOKUP(B242,'✈ Flights (2)'!$A$2:$R$501,16,FALSE)</f>
        <v>279</v>
      </c>
      <c r="N242" t="str">
        <f>VLOOKUP(B242,'✈ Flights (2)'!$A$2:$R$501,14,FALSE)</f>
        <v>Economy</v>
      </c>
      <c r="O242">
        <f>VLOOKUP(B242,'✈ Flights (2)'!$A$2:$P$502,12,FALSE)</f>
        <v>1904</v>
      </c>
    </row>
    <row r="243" spans="1:15">
      <c r="A243" s="38" t="s">
        <v>1746</v>
      </c>
      <c r="B243" s="38" t="s">
        <v>821</v>
      </c>
      <c r="C243" s="38" t="s">
        <v>198</v>
      </c>
      <c r="D243" s="33" t="str">
        <f>VLOOKUP(B243,'✈ Flights (2)'!$A$2:$P$502,3,FALSE)</f>
        <v>Spirit</v>
      </c>
      <c r="E243" s="38">
        <v>117345.69</v>
      </c>
      <c r="F243" s="33">
        <f t="shared" si="3"/>
        <v>336.23406876790801</v>
      </c>
      <c r="G243" s="38">
        <v>4782.3</v>
      </c>
      <c r="H243" s="38">
        <v>3568.35</v>
      </c>
      <c r="I243" s="38">
        <v>22508.7</v>
      </c>
      <c r="J243" s="38">
        <v>96050.94</v>
      </c>
      <c r="K243" s="38" t="s">
        <v>1511</v>
      </c>
      <c r="L243" s="40">
        <f>VLOOKUP(B243,'✈ Flights (2)'!$A$2:$R$501,13,FALSE)</f>
        <v>1185.31</v>
      </c>
      <c r="M243">
        <f>VLOOKUP(B243,'✈ Flights (2)'!$A$2:$R$501,16,FALSE)</f>
        <v>99</v>
      </c>
      <c r="N243" t="str">
        <f>VLOOKUP(B243,'✈ Flights (2)'!$A$2:$R$501,14,FALSE)</f>
        <v>Business</v>
      </c>
      <c r="O243">
        <f>VLOOKUP(B243,'✈ Flights (2)'!$A$2:$P$502,12,FALSE)</f>
        <v>349</v>
      </c>
    </row>
    <row r="244" spans="1:15">
      <c r="A244" s="33" t="s">
        <v>1747</v>
      </c>
      <c r="B244" s="33" t="s">
        <v>823</v>
      </c>
      <c r="C244" s="33" t="s">
        <v>33</v>
      </c>
      <c r="D244" s="33" t="str">
        <f>VLOOKUP(B244,'✈ Flights (2)'!$A$2:$P$502,3,FALSE)</f>
        <v>Alaska</v>
      </c>
      <c r="E244" s="33">
        <v>8560.2000000000007</v>
      </c>
      <c r="F244" s="33">
        <f t="shared" si="3"/>
        <v>3.1645841035120101</v>
      </c>
      <c r="G244" s="33">
        <v>4223.38</v>
      </c>
      <c r="H244" s="33">
        <v>9797.68</v>
      </c>
      <c r="I244" s="33">
        <v>8158.71</v>
      </c>
      <c r="J244" s="33">
        <v>-5172.8100000000004</v>
      </c>
      <c r="K244" s="33" t="s">
        <v>1511</v>
      </c>
      <c r="L244" s="40">
        <f>VLOOKUP(B244,'✈ Flights (2)'!$A$2:$R$501,13,FALSE)</f>
        <v>155.63999999999999</v>
      </c>
      <c r="M244">
        <f>VLOOKUP(B244,'✈ Flights (2)'!$A$2:$R$501,16,FALSE)</f>
        <v>55</v>
      </c>
      <c r="N244" t="str">
        <f>VLOOKUP(B244,'✈ Flights (2)'!$A$2:$R$501,14,FALSE)</f>
        <v>Business</v>
      </c>
      <c r="O244">
        <f>VLOOKUP(B244,'✈ Flights (2)'!$A$2:$P$502,12,FALSE)</f>
        <v>2705</v>
      </c>
    </row>
    <row r="245" spans="1:15">
      <c r="A245" s="38" t="s">
        <v>1748</v>
      </c>
      <c r="B245" s="38" t="s">
        <v>826</v>
      </c>
      <c r="C245" s="38" t="s">
        <v>117</v>
      </c>
      <c r="D245" s="33" t="str">
        <f>VLOOKUP(B245,'✈ Flights (2)'!$A$2:$P$502,3,FALSE)</f>
        <v>Jetblue</v>
      </c>
      <c r="E245" s="38">
        <v>57880.75</v>
      </c>
      <c r="F245" s="33">
        <f t="shared" si="3"/>
        <v>19.801830311324</v>
      </c>
      <c r="G245" s="38">
        <v>2969.64</v>
      </c>
      <c r="H245" s="38">
        <v>7069.36</v>
      </c>
      <c r="I245" s="38">
        <v>25451.42</v>
      </c>
      <c r="J245" s="38">
        <v>28329.61</v>
      </c>
      <c r="K245" s="38" t="s">
        <v>1502</v>
      </c>
      <c r="L245" s="40">
        <f>VLOOKUP(B245,'✈ Flights (2)'!$A$2:$R$501,13,FALSE)</f>
        <v>680.95</v>
      </c>
      <c r="M245">
        <f>VLOOKUP(B245,'✈ Flights (2)'!$A$2:$R$501,16,FALSE)</f>
        <v>85</v>
      </c>
      <c r="N245" t="str">
        <f>VLOOKUP(B245,'✈ Flights (2)'!$A$2:$R$501,14,FALSE)</f>
        <v>First Class</v>
      </c>
      <c r="O245">
        <f>VLOOKUP(B245,'✈ Flights (2)'!$A$2:$P$502,12,FALSE)</f>
        <v>2923</v>
      </c>
    </row>
    <row r="246" spans="1:15">
      <c r="A246" s="33" t="s">
        <v>1749</v>
      </c>
      <c r="B246" s="33" t="s">
        <v>829</v>
      </c>
      <c r="C246" s="33" t="s">
        <v>102</v>
      </c>
      <c r="D246" s="33" t="str">
        <f>VLOOKUP(B246,'✈ Flights (2)'!$A$2:$P$502,3,FALSE)</f>
        <v>Southwest</v>
      </c>
      <c r="E246" s="33">
        <v>200049.34</v>
      </c>
      <c r="F246" s="33">
        <f t="shared" si="3"/>
        <v>69.030138026225004</v>
      </c>
      <c r="G246" s="33">
        <v>7516.25</v>
      </c>
      <c r="H246" s="33">
        <v>3388.58</v>
      </c>
      <c r="I246" s="33">
        <v>12630.29</v>
      </c>
      <c r="J246" s="33">
        <v>191546.72</v>
      </c>
      <c r="K246" s="33" t="s">
        <v>1502</v>
      </c>
      <c r="L246" s="40">
        <f>VLOOKUP(B246,'✈ Flights (2)'!$A$2:$R$501,13,FALSE)</f>
        <v>934.81</v>
      </c>
      <c r="M246">
        <f>VLOOKUP(B246,'✈ Flights (2)'!$A$2:$R$501,16,FALSE)</f>
        <v>214</v>
      </c>
      <c r="N246" t="str">
        <f>VLOOKUP(B246,'✈ Flights (2)'!$A$2:$R$501,14,FALSE)</f>
        <v>First Class</v>
      </c>
      <c r="O246">
        <f>VLOOKUP(B246,'✈ Flights (2)'!$A$2:$P$502,12,FALSE)</f>
        <v>2898</v>
      </c>
    </row>
    <row r="247" spans="1:15">
      <c r="A247" s="38" t="s">
        <v>1750</v>
      </c>
      <c r="B247" s="38" t="s">
        <v>830</v>
      </c>
      <c r="C247" s="38" t="s">
        <v>57</v>
      </c>
      <c r="D247" s="33" t="str">
        <f>VLOOKUP(B247,'✈ Flights (2)'!$A$2:$P$502,3,FALSE)</f>
        <v>Southwest</v>
      </c>
      <c r="E247" s="38">
        <v>71982.38</v>
      </c>
      <c r="F247" s="33">
        <f t="shared" si="3"/>
        <v>33.371525266573897</v>
      </c>
      <c r="G247" s="38">
        <v>7774.43</v>
      </c>
      <c r="H247" s="38">
        <v>5305.98</v>
      </c>
      <c r="I247" s="38">
        <v>20381.64</v>
      </c>
      <c r="J247" s="38">
        <v>54069.19</v>
      </c>
      <c r="K247" s="38" t="s">
        <v>1504</v>
      </c>
      <c r="L247" s="40">
        <f>VLOOKUP(B247,'✈ Flights (2)'!$A$2:$R$501,13,FALSE)</f>
        <v>765.77</v>
      </c>
      <c r="M247">
        <f>VLOOKUP(B247,'✈ Flights (2)'!$A$2:$R$501,16,FALSE)</f>
        <v>94</v>
      </c>
      <c r="N247" t="str">
        <f>VLOOKUP(B247,'✈ Flights (2)'!$A$2:$R$501,14,FALSE)</f>
        <v>Economy</v>
      </c>
      <c r="O247">
        <f>VLOOKUP(B247,'✈ Flights (2)'!$A$2:$P$502,12,FALSE)</f>
        <v>2157</v>
      </c>
    </row>
    <row r="248" spans="1:15">
      <c r="A248" s="33" t="s">
        <v>1751</v>
      </c>
      <c r="B248" s="33" t="s">
        <v>833</v>
      </c>
      <c r="C248" s="33" t="s">
        <v>39</v>
      </c>
      <c r="D248" s="33" t="str">
        <f>VLOOKUP(B248,'✈ Flights (2)'!$A$2:$P$502,3,FALSE)</f>
        <v>Delta</v>
      </c>
      <c r="E248" s="33">
        <v>61316.160000000003</v>
      </c>
      <c r="F248" s="33">
        <f t="shared" si="3"/>
        <v>33.634755896873301</v>
      </c>
      <c r="G248" s="33">
        <v>4177.6899999999996</v>
      </c>
      <c r="H248" s="33">
        <v>14333.24</v>
      </c>
      <c r="I248" s="33">
        <v>18114.669999999998</v>
      </c>
      <c r="J248" s="33">
        <v>33045.94</v>
      </c>
      <c r="K248" s="33" t="s">
        <v>1511</v>
      </c>
      <c r="L248" s="40">
        <f>VLOOKUP(B248,'✈ Flights (2)'!$A$2:$R$501,13,FALSE)</f>
        <v>222.16</v>
      </c>
      <c r="M248">
        <f>VLOOKUP(B248,'✈ Flights (2)'!$A$2:$R$501,16,FALSE)</f>
        <v>276</v>
      </c>
      <c r="N248" t="str">
        <f>VLOOKUP(B248,'✈ Flights (2)'!$A$2:$R$501,14,FALSE)</f>
        <v>Business</v>
      </c>
      <c r="O248">
        <f>VLOOKUP(B248,'✈ Flights (2)'!$A$2:$P$502,12,FALSE)</f>
        <v>1823</v>
      </c>
    </row>
    <row r="249" spans="1:15">
      <c r="A249" s="38" t="s">
        <v>1752</v>
      </c>
      <c r="B249" s="38" t="s">
        <v>835</v>
      </c>
      <c r="C249" s="38" t="s">
        <v>130</v>
      </c>
      <c r="D249" s="33" t="str">
        <f>VLOOKUP(B249,'✈ Flights (2)'!$A$2:$P$502,3,FALSE)</f>
        <v>Alaska</v>
      </c>
      <c r="E249" s="38">
        <v>140911.20000000001</v>
      </c>
      <c r="F249" s="33">
        <f t="shared" si="3"/>
        <v>52.954227733934601</v>
      </c>
      <c r="G249" s="38">
        <v>4593.09</v>
      </c>
      <c r="H249" s="38">
        <v>5202.51</v>
      </c>
      <c r="I249" s="38">
        <v>21619.89</v>
      </c>
      <c r="J249" s="38">
        <v>118681.89</v>
      </c>
      <c r="K249" s="38" t="s">
        <v>1511</v>
      </c>
      <c r="L249" s="40">
        <f>VLOOKUP(B249,'✈ Flights (2)'!$A$2:$R$501,13,FALSE)</f>
        <v>782.84</v>
      </c>
      <c r="M249">
        <f>VLOOKUP(B249,'✈ Flights (2)'!$A$2:$R$501,16,FALSE)</f>
        <v>180</v>
      </c>
      <c r="N249" t="str">
        <f>VLOOKUP(B249,'✈ Flights (2)'!$A$2:$R$501,14,FALSE)</f>
        <v>Business</v>
      </c>
      <c r="O249">
        <f>VLOOKUP(B249,'✈ Flights (2)'!$A$2:$P$502,12,FALSE)</f>
        <v>2661</v>
      </c>
    </row>
    <row r="250" spans="1:15">
      <c r="A250" s="33" t="s">
        <v>1753</v>
      </c>
      <c r="B250" s="33" t="s">
        <v>837</v>
      </c>
      <c r="C250" s="33" t="s">
        <v>65</v>
      </c>
      <c r="D250" s="33" t="str">
        <f>VLOOKUP(B250,'✈ Flights (2)'!$A$2:$P$502,3,FALSE)</f>
        <v>American</v>
      </c>
      <c r="E250" s="33">
        <v>17462.12</v>
      </c>
      <c r="F250" s="33">
        <f t="shared" si="3"/>
        <v>22.619326424870501</v>
      </c>
      <c r="G250" s="33">
        <v>7095.75</v>
      </c>
      <c r="H250" s="33">
        <v>6718.97</v>
      </c>
      <c r="I250" s="33">
        <v>37794.03</v>
      </c>
      <c r="J250" s="33">
        <v>-19955.13</v>
      </c>
      <c r="K250" s="33" t="s">
        <v>1511</v>
      </c>
      <c r="L250" s="40">
        <f>VLOOKUP(B250,'✈ Flights (2)'!$A$2:$R$501,13,FALSE)</f>
        <v>335.81</v>
      </c>
      <c r="M250">
        <f>VLOOKUP(B250,'✈ Flights (2)'!$A$2:$R$501,16,FALSE)</f>
        <v>52</v>
      </c>
      <c r="N250" t="str">
        <f>VLOOKUP(B250,'✈ Flights (2)'!$A$2:$R$501,14,FALSE)</f>
        <v>First Class</v>
      </c>
      <c r="O250">
        <f>VLOOKUP(B250,'✈ Flights (2)'!$A$2:$P$502,12,FALSE)</f>
        <v>772</v>
      </c>
    </row>
    <row r="251" spans="1:15">
      <c r="A251" s="38" t="s">
        <v>1754</v>
      </c>
      <c r="B251" s="38" t="s">
        <v>840</v>
      </c>
      <c r="C251" s="38" t="s">
        <v>80</v>
      </c>
      <c r="D251" s="33" t="str">
        <f>VLOOKUP(B251,'✈ Flights (2)'!$A$2:$P$502,3,FALSE)</f>
        <v>Delta</v>
      </c>
      <c r="E251" s="38">
        <v>151728.57</v>
      </c>
      <c r="F251" s="33">
        <f t="shared" si="3"/>
        <v>341.73101351351397</v>
      </c>
      <c r="G251" s="38">
        <v>6660.24</v>
      </c>
      <c r="H251" s="38">
        <v>14568.47</v>
      </c>
      <c r="I251" s="38">
        <v>5737.6</v>
      </c>
      <c r="J251" s="38">
        <v>138082.74</v>
      </c>
      <c r="K251" s="38" t="s">
        <v>1504</v>
      </c>
      <c r="L251" s="40">
        <f>VLOOKUP(B251,'✈ Flights (2)'!$A$2:$R$501,13,FALSE)</f>
        <v>699.21</v>
      </c>
      <c r="M251">
        <f>VLOOKUP(B251,'✈ Flights (2)'!$A$2:$R$501,16,FALSE)</f>
        <v>217</v>
      </c>
      <c r="N251" t="str">
        <f>VLOOKUP(B251,'✈ Flights (2)'!$A$2:$R$501,14,FALSE)</f>
        <v>First Class</v>
      </c>
      <c r="O251">
        <f>VLOOKUP(B251,'✈ Flights (2)'!$A$2:$P$502,12,FALSE)</f>
        <v>444</v>
      </c>
    </row>
    <row r="252" spans="1:15">
      <c r="A252" s="33" t="s">
        <v>1755</v>
      </c>
      <c r="B252" s="33" t="s">
        <v>843</v>
      </c>
      <c r="C252" s="33" t="s">
        <v>130</v>
      </c>
      <c r="D252" s="33" t="str">
        <f>VLOOKUP(B252,'✈ Flights (2)'!$A$2:$P$502,3,FALSE)</f>
        <v>Southwest</v>
      </c>
      <c r="E252" s="33">
        <v>16243.48</v>
      </c>
      <c r="F252" s="33">
        <f t="shared" si="3"/>
        <v>8.8907936507936505</v>
      </c>
      <c r="G252" s="33">
        <v>6811.05</v>
      </c>
      <c r="H252" s="33">
        <v>14231.03</v>
      </c>
      <c r="I252" s="33">
        <v>28177.82</v>
      </c>
      <c r="J252" s="33">
        <v>-19354.32</v>
      </c>
      <c r="K252" s="33" t="s">
        <v>1502</v>
      </c>
      <c r="L252" s="40">
        <f>VLOOKUP(B252,'✈ Flights (2)'!$A$2:$R$501,13,FALSE)</f>
        <v>213.73</v>
      </c>
      <c r="M252">
        <f>VLOOKUP(B252,'✈ Flights (2)'!$A$2:$R$501,16,FALSE)</f>
        <v>76</v>
      </c>
      <c r="N252" t="str">
        <f>VLOOKUP(B252,'✈ Flights (2)'!$A$2:$R$501,14,FALSE)</f>
        <v>First Class</v>
      </c>
      <c r="O252">
        <f>VLOOKUP(B252,'✈ Flights (2)'!$A$2:$P$502,12,FALSE)</f>
        <v>1827</v>
      </c>
    </row>
    <row r="253" spans="1:15">
      <c r="A253" s="38" t="s">
        <v>1756</v>
      </c>
      <c r="B253" s="38" t="s">
        <v>845</v>
      </c>
      <c r="C253" s="38" t="s">
        <v>67</v>
      </c>
      <c r="D253" s="33" t="str">
        <f>VLOOKUP(B253,'✈ Flights (2)'!$A$2:$P$502,3,FALSE)</f>
        <v>Delta</v>
      </c>
      <c r="E253" s="38">
        <v>12902.75</v>
      </c>
      <c r="F253" s="33">
        <f t="shared" si="3"/>
        <v>7.8675304878048804</v>
      </c>
      <c r="G253" s="38">
        <v>2397.37</v>
      </c>
      <c r="H253" s="38">
        <v>10306.34</v>
      </c>
      <c r="I253" s="38">
        <v>18464.16</v>
      </c>
      <c r="J253" s="38">
        <v>-13470.38</v>
      </c>
      <c r="K253" s="38" t="s">
        <v>1511</v>
      </c>
      <c r="L253" s="40">
        <f>VLOOKUP(B253,'✈ Flights (2)'!$A$2:$R$501,13,FALSE)</f>
        <v>176.75</v>
      </c>
      <c r="M253">
        <f>VLOOKUP(B253,'✈ Flights (2)'!$A$2:$R$501,16,FALSE)</f>
        <v>73</v>
      </c>
      <c r="N253" t="str">
        <f>VLOOKUP(B253,'✈ Flights (2)'!$A$2:$R$501,14,FALSE)</f>
        <v>Business</v>
      </c>
      <c r="O253">
        <f>VLOOKUP(B253,'✈ Flights (2)'!$A$2:$P$502,12,FALSE)</f>
        <v>1640</v>
      </c>
    </row>
    <row r="254" spans="1:15">
      <c r="A254" s="33" t="s">
        <v>1757</v>
      </c>
      <c r="B254" s="33" t="s">
        <v>847</v>
      </c>
      <c r="C254" s="33" t="s">
        <v>41</v>
      </c>
      <c r="D254" s="33" t="str">
        <f>VLOOKUP(B254,'✈ Flights (2)'!$A$2:$P$502,3,FALSE)</f>
        <v>Southwest</v>
      </c>
      <c r="E254" s="33">
        <v>46587</v>
      </c>
      <c r="F254" s="33">
        <f t="shared" si="3"/>
        <v>18.355791962174901</v>
      </c>
      <c r="G254" s="33">
        <v>0</v>
      </c>
      <c r="H254" s="33">
        <v>10908.23</v>
      </c>
      <c r="I254" s="33">
        <v>36610.5</v>
      </c>
      <c r="J254" s="33">
        <v>-47518.73</v>
      </c>
      <c r="K254" s="33" t="s">
        <v>1502</v>
      </c>
      <c r="L254" s="40">
        <f>VLOOKUP(B254,'✈ Flights (2)'!$A$2:$R$501,13,FALSE)</f>
        <v>931.74</v>
      </c>
      <c r="M254">
        <f>VLOOKUP(B254,'✈ Flights (2)'!$A$2:$R$501,16,FALSE)</f>
        <v>50</v>
      </c>
      <c r="N254" t="str">
        <f>VLOOKUP(B254,'✈ Flights (2)'!$A$2:$R$501,14,FALSE)</f>
        <v>Economy</v>
      </c>
      <c r="O254">
        <f>VLOOKUP(B254,'✈ Flights (2)'!$A$2:$P$502,12,FALSE)</f>
        <v>2538</v>
      </c>
    </row>
    <row r="255" spans="1:15">
      <c r="A255" s="38" t="s">
        <v>1758</v>
      </c>
      <c r="B255" s="38" t="s">
        <v>850</v>
      </c>
      <c r="C255" s="38" t="s">
        <v>33</v>
      </c>
      <c r="D255" s="33" t="str">
        <f>VLOOKUP(B255,'✈ Flights (2)'!$A$2:$P$502,3,FALSE)</f>
        <v>Southwest</v>
      </c>
      <c r="E255" s="38">
        <v>192510</v>
      </c>
      <c r="F255" s="33">
        <f t="shared" si="3"/>
        <v>631.18032786885203</v>
      </c>
      <c r="G255" s="38">
        <v>6932.35</v>
      </c>
      <c r="H255" s="38">
        <v>13827.26</v>
      </c>
      <c r="I255" s="38">
        <v>18596.490000000002</v>
      </c>
      <c r="J255" s="38">
        <v>167018.6</v>
      </c>
      <c r="K255" s="38" t="s">
        <v>1509</v>
      </c>
      <c r="L255" s="40">
        <f>VLOOKUP(B255,'✈ Flights (2)'!$A$2:$R$501,13,FALSE)</f>
        <v>930</v>
      </c>
      <c r="M255">
        <f>VLOOKUP(B255,'✈ Flights (2)'!$A$2:$R$501,16,FALSE)</f>
        <v>207</v>
      </c>
      <c r="N255" t="str">
        <f>VLOOKUP(B255,'✈ Flights (2)'!$A$2:$R$501,14,FALSE)</f>
        <v>Business</v>
      </c>
      <c r="O255">
        <f>VLOOKUP(B255,'✈ Flights (2)'!$A$2:$P$502,12,FALSE)</f>
        <v>305</v>
      </c>
    </row>
    <row r="256" spans="1:15">
      <c r="A256" s="33" t="s">
        <v>1759</v>
      </c>
      <c r="B256" s="33" t="s">
        <v>853</v>
      </c>
      <c r="C256" s="33" t="s">
        <v>130</v>
      </c>
      <c r="D256" s="33" t="str">
        <f>VLOOKUP(B256,'✈ Flights (2)'!$A$2:$P$502,3,FALSE)</f>
        <v>Southwest</v>
      </c>
      <c r="E256" s="33">
        <v>58204.04</v>
      </c>
      <c r="F256" s="33">
        <f t="shared" si="3"/>
        <v>40.251756569847899</v>
      </c>
      <c r="G256" s="33">
        <v>7456.31</v>
      </c>
      <c r="H256" s="33">
        <v>5911.55</v>
      </c>
      <c r="I256" s="33">
        <v>37127.43</v>
      </c>
      <c r="J256" s="33">
        <v>22621.37</v>
      </c>
      <c r="K256" s="33" t="s">
        <v>1502</v>
      </c>
      <c r="L256" s="40">
        <f>VLOOKUP(B256,'✈ Flights (2)'!$A$2:$R$501,13,FALSE)</f>
        <v>184.19</v>
      </c>
      <c r="M256">
        <f>VLOOKUP(B256,'✈ Flights (2)'!$A$2:$R$501,16,FALSE)</f>
        <v>316</v>
      </c>
      <c r="N256" t="str">
        <f>VLOOKUP(B256,'✈ Flights (2)'!$A$2:$R$501,14,FALSE)</f>
        <v>Economy</v>
      </c>
      <c r="O256">
        <f>VLOOKUP(B256,'✈ Flights (2)'!$A$2:$P$502,12,FALSE)</f>
        <v>1446</v>
      </c>
    </row>
    <row r="257" spans="1:15">
      <c r="A257" s="38" t="s">
        <v>1760</v>
      </c>
      <c r="B257" s="38" t="s">
        <v>857</v>
      </c>
      <c r="C257" s="38" t="s">
        <v>55</v>
      </c>
      <c r="D257" s="33" t="str">
        <f>VLOOKUP(B257,'✈ Flights (2)'!$A$2:$P$502,3,FALSE)</f>
        <v>Frontier</v>
      </c>
      <c r="E257" s="38">
        <v>17200.05</v>
      </c>
      <c r="F257" s="33">
        <f t="shared" si="3"/>
        <v>8.9817493472584893</v>
      </c>
      <c r="G257" s="38">
        <v>2730.67</v>
      </c>
      <c r="H257" s="38">
        <v>4082.95</v>
      </c>
      <c r="I257" s="38">
        <v>35079.589999999997</v>
      </c>
      <c r="J257" s="38">
        <v>-19231.82</v>
      </c>
      <c r="K257" s="38" t="s">
        <v>1509</v>
      </c>
      <c r="L257" s="40">
        <f>VLOOKUP(B257,'✈ Flights (2)'!$A$2:$R$501,13,FALSE)</f>
        <v>163.81</v>
      </c>
      <c r="M257">
        <f>VLOOKUP(B257,'✈ Flights (2)'!$A$2:$R$501,16,FALSE)</f>
        <v>105</v>
      </c>
      <c r="N257" t="str">
        <f>VLOOKUP(B257,'✈ Flights (2)'!$A$2:$R$501,14,FALSE)</f>
        <v>First Class</v>
      </c>
      <c r="O257">
        <f>VLOOKUP(B257,'✈ Flights (2)'!$A$2:$P$502,12,FALSE)</f>
        <v>1915</v>
      </c>
    </row>
    <row r="258" spans="1:15">
      <c r="A258" s="33" t="s">
        <v>1761</v>
      </c>
      <c r="B258" s="33" t="s">
        <v>860</v>
      </c>
      <c r="C258" s="33" t="s">
        <v>22</v>
      </c>
      <c r="D258" s="33" t="str">
        <f>VLOOKUP(B258,'✈ Flights (2)'!$A$2:$P$502,3,FALSE)</f>
        <v>Jetblue</v>
      </c>
      <c r="E258" s="33">
        <v>58842.27</v>
      </c>
      <c r="F258" s="33">
        <f t="shared" si="3"/>
        <v>27.317674094707499</v>
      </c>
      <c r="G258" s="33">
        <v>5235.1499999999996</v>
      </c>
      <c r="H258" s="33">
        <v>11967.63</v>
      </c>
      <c r="I258" s="33">
        <v>35781.35</v>
      </c>
      <c r="J258" s="33">
        <v>16328.44</v>
      </c>
      <c r="K258" s="33" t="s">
        <v>1509</v>
      </c>
      <c r="L258" s="40">
        <f>VLOOKUP(B258,'✈ Flights (2)'!$A$2:$R$501,13,FALSE)</f>
        <v>384.59</v>
      </c>
      <c r="M258">
        <f>VLOOKUP(B258,'✈ Flights (2)'!$A$2:$R$501,16,FALSE)</f>
        <v>153</v>
      </c>
      <c r="N258" t="str">
        <f>VLOOKUP(B258,'✈ Flights (2)'!$A$2:$R$501,14,FALSE)</f>
        <v>Economy</v>
      </c>
      <c r="O258">
        <f>VLOOKUP(B258,'✈ Flights (2)'!$A$2:$P$502,12,FALSE)</f>
        <v>2154</v>
      </c>
    </row>
    <row r="259" spans="1:15">
      <c r="A259" s="38" t="s">
        <v>1762</v>
      </c>
      <c r="B259" s="38" t="s">
        <v>863</v>
      </c>
      <c r="C259" s="38" t="s">
        <v>198</v>
      </c>
      <c r="D259" s="33" t="str">
        <f>VLOOKUP(B259,'✈ Flights (2)'!$A$2:$P$502,3,FALSE)</f>
        <v>American</v>
      </c>
      <c r="E259" s="38">
        <v>30562.66</v>
      </c>
      <c r="F259" s="33">
        <f t="shared" ref="F259:F322" si="4">E259/O259</f>
        <v>15.553516539440199</v>
      </c>
      <c r="G259" s="38">
        <v>6419.88</v>
      </c>
      <c r="H259" s="38">
        <v>3041.23</v>
      </c>
      <c r="I259" s="38">
        <v>14591.28</v>
      </c>
      <c r="J259" s="38">
        <v>22363.25</v>
      </c>
      <c r="K259" s="38" t="s">
        <v>1509</v>
      </c>
      <c r="L259" s="40">
        <f>VLOOKUP(B259,'✈ Flights (2)'!$A$2:$R$501,13,FALSE)</f>
        <v>215.23</v>
      </c>
      <c r="M259">
        <f>VLOOKUP(B259,'✈ Flights (2)'!$A$2:$R$501,16,FALSE)</f>
        <v>142</v>
      </c>
      <c r="N259" t="str">
        <f>VLOOKUP(B259,'✈ Flights (2)'!$A$2:$R$501,14,FALSE)</f>
        <v>Business</v>
      </c>
      <c r="O259">
        <f>VLOOKUP(B259,'✈ Flights (2)'!$A$2:$P$502,12,FALSE)</f>
        <v>1965</v>
      </c>
    </row>
    <row r="260" spans="1:15">
      <c r="A260" s="33" t="s">
        <v>1763</v>
      </c>
      <c r="B260" s="33" t="s">
        <v>866</v>
      </c>
      <c r="C260" s="33" t="s">
        <v>198</v>
      </c>
      <c r="D260" s="33" t="str">
        <f>VLOOKUP(B260,'✈ Flights (2)'!$A$2:$P$502,3,FALSE)</f>
        <v>Jetblue</v>
      </c>
      <c r="E260" s="33">
        <v>7635.37</v>
      </c>
      <c r="F260" s="33">
        <f t="shared" si="4"/>
        <v>2.7554565138939</v>
      </c>
      <c r="G260" s="33">
        <v>4033.18</v>
      </c>
      <c r="H260" s="33">
        <v>12935.13</v>
      </c>
      <c r="I260" s="33">
        <v>19453.650000000001</v>
      </c>
      <c r="J260" s="33">
        <v>-20720.23</v>
      </c>
      <c r="K260" s="33" t="s">
        <v>1509</v>
      </c>
      <c r="L260" s="40">
        <f>VLOOKUP(B260,'✈ Flights (2)'!$A$2:$R$501,13,FALSE)</f>
        <v>125.17</v>
      </c>
      <c r="M260">
        <f>VLOOKUP(B260,'✈ Flights (2)'!$A$2:$R$501,16,FALSE)</f>
        <v>61</v>
      </c>
      <c r="N260" t="str">
        <f>VLOOKUP(B260,'✈ Flights (2)'!$A$2:$R$501,14,FALSE)</f>
        <v>Business</v>
      </c>
      <c r="O260">
        <f>VLOOKUP(B260,'✈ Flights (2)'!$A$2:$P$502,12,FALSE)</f>
        <v>2771</v>
      </c>
    </row>
    <row r="261" spans="1:15">
      <c r="A261" s="38" t="s">
        <v>1764</v>
      </c>
      <c r="B261" s="38" t="s">
        <v>868</v>
      </c>
      <c r="C261" s="38" t="s">
        <v>96</v>
      </c>
      <c r="D261" s="33" t="str">
        <f>VLOOKUP(B261,'✈ Flights (2)'!$A$2:$P$502,3,FALSE)</f>
        <v>Delta</v>
      </c>
      <c r="E261" s="38">
        <v>93455.11</v>
      </c>
      <c r="F261" s="33">
        <f t="shared" si="4"/>
        <v>43.427095724907097</v>
      </c>
      <c r="G261" s="38">
        <v>7075.71</v>
      </c>
      <c r="H261" s="38">
        <v>12717.21</v>
      </c>
      <c r="I261" s="38">
        <v>33708.449999999997</v>
      </c>
      <c r="J261" s="38">
        <v>4215.59</v>
      </c>
      <c r="K261" s="38" t="s">
        <v>1511</v>
      </c>
      <c r="L261" s="40">
        <f>VLOOKUP(B261,'✈ Flights (2)'!$A$2:$R$501,13,FALSE)</f>
        <v>702.67</v>
      </c>
      <c r="M261">
        <f>VLOOKUP(B261,'✈ Flights (2)'!$A$2:$R$501,16,FALSE)</f>
        <v>133</v>
      </c>
      <c r="N261" t="str">
        <f>VLOOKUP(B261,'✈ Flights (2)'!$A$2:$R$501,14,FALSE)</f>
        <v>First Class</v>
      </c>
      <c r="O261">
        <f>VLOOKUP(B261,'✈ Flights (2)'!$A$2:$P$502,12,FALSE)</f>
        <v>2152</v>
      </c>
    </row>
    <row r="262" spans="1:15">
      <c r="A262" s="33" t="s">
        <v>1765</v>
      </c>
      <c r="B262" s="33" t="s">
        <v>871</v>
      </c>
      <c r="C262" s="33" t="s">
        <v>175</v>
      </c>
      <c r="D262" s="33" t="str">
        <f>VLOOKUP(B262,'✈ Flights (2)'!$A$2:$P$502,3,FALSE)</f>
        <v>United</v>
      </c>
      <c r="E262" s="33">
        <v>46212.63</v>
      </c>
      <c r="F262" s="33">
        <f t="shared" si="4"/>
        <v>23.820943298969102</v>
      </c>
      <c r="G262" s="33">
        <v>4297.51</v>
      </c>
      <c r="H262" s="33">
        <v>9827.51</v>
      </c>
      <c r="I262" s="33">
        <v>17314.97</v>
      </c>
      <c r="J262" s="33">
        <v>23367.66</v>
      </c>
      <c r="K262" s="33" t="s">
        <v>1511</v>
      </c>
      <c r="L262" s="40">
        <f>VLOOKUP(B262,'✈ Flights (2)'!$A$2:$R$501,13,FALSE)</f>
        <v>496.91</v>
      </c>
      <c r="M262">
        <f>VLOOKUP(B262,'✈ Flights (2)'!$A$2:$R$501,16,FALSE)</f>
        <v>93</v>
      </c>
      <c r="N262" t="str">
        <f>VLOOKUP(B262,'✈ Flights (2)'!$A$2:$R$501,14,FALSE)</f>
        <v>First Class</v>
      </c>
      <c r="O262">
        <f>VLOOKUP(B262,'✈ Flights (2)'!$A$2:$P$502,12,FALSE)</f>
        <v>1940</v>
      </c>
    </row>
    <row r="263" spans="1:15">
      <c r="A263" s="38" t="s">
        <v>1766</v>
      </c>
      <c r="B263" s="38" t="s">
        <v>874</v>
      </c>
      <c r="C263" s="38" t="s">
        <v>175</v>
      </c>
      <c r="D263" s="33" t="str">
        <f>VLOOKUP(B263,'✈ Flights (2)'!$A$2:$P$502,3,FALSE)</f>
        <v>United</v>
      </c>
      <c r="E263" s="38">
        <v>60152.95</v>
      </c>
      <c r="F263" s="33">
        <f t="shared" si="4"/>
        <v>88.9836538461538</v>
      </c>
      <c r="G263" s="38">
        <v>0</v>
      </c>
      <c r="H263" s="38">
        <v>2355.56</v>
      </c>
      <c r="I263" s="38">
        <v>20864.16</v>
      </c>
      <c r="J263" s="38">
        <v>-23219.72</v>
      </c>
      <c r="K263" s="38" t="s">
        <v>1504</v>
      </c>
      <c r="L263" s="40">
        <f>VLOOKUP(B263,'✈ Flights (2)'!$A$2:$R$501,13,FALSE)</f>
        <v>1093.69</v>
      </c>
      <c r="M263">
        <f>VLOOKUP(B263,'✈ Flights (2)'!$A$2:$R$501,16,FALSE)</f>
        <v>55</v>
      </c>
      <c r="N263" t="str">
        <f>VLOOKUP(B263,'✈ Flights (2)'!$A$2:$R$501,14,FALSE)</f>
        <v>Business</v>
      </c>
      <c r="O263">
        <f>VLOOKUP(B263,'✈ Flights (2)'!$A$2:$P$502,12,FALSE)</f>
        <v>676</v>
      </c>
    </row>
    <row r="264" spans="1:15">
      <c r="A264" s="33" t="s">
        <v>1767</v>
      </c>
      <c r="B264" s="33" t="s">
        <v>877</v>
      </c>
      <c r="C264" s="33" t="s">
        <v>74</v>
      </c>
      <c r="D264" s="33" t="str">
        <f>VLOOKUP(B264,'✈ Flights (2)'!$A$2:$P$502,3,FALSE)</f>
        <v>American</v>
      </c>
      <c r="E264" s="33">
        <v>48322.7</v>
      </c>
      <c r="F264" s="33">
        <f t="shared" si="4"/>
        <v>115.05404761904801</v>
      </c>
      <c r="G264" s="33">
        <v>5310.3</v>
      </c>
      <c r="H264" s="33">
        <v>7764.26</v>
      </c>
      <c r="I264" s="33">
        <v>11430.89</v>
      </c>
      <c r="J264" s="33">
        <v>34437.85</v>
      </c>
      <c r="K264" s="33" t="s">
        <v>1502</v>
      </c>
      <c r="L264" s="40">
        <f>VLOOKUP(B264,'✈ Flights (2)'!$A$2:$R$501,13,FALSE)</f>
        <v>508.66</v>
      </c>
      <c r="M264">
        <f>VLOOKUP(B264,'✈ Flights (2)'!$A$2:$R$501,16,FALSE)</f>
        <v>95</v>
      </c>
      <c r="N264" t="str">
        <f>VLOOKUP(B264,'✈ Flights (2)'!$A$2:$R$501,14,FALSE)</f>
        <v>Business</v>
      </c>
      <c r="O264">
        <f>VLOOKUP(B264,'✈ Flights (2)'!$A$2:$P$502,12,FALSE)</f>
        <v>420</v>
      </c>
    </row>
    <row r="265" spans="1:15">
      <c r="A265" s="38" t="s">
        <v>1768</v>
      </c>
      <c r="B265" s="38" t="s">
        <v>879</v>
      </c>
      <c r="C265" s="38" t="s">
        <v>22</v>
      </c>
      <c r="D265" s="33" t="str">
        <f>VLOOKUP(B265,'✈ Flights (2)'!$A$2:$P$502,3,FALSE)</f>
        <v>Jetblue</v>
      </c>
      <c r="E265" s="38">
        <v>87124.13</v>
      </c>
      <c r="F265" s="33">
        <f t="shared" si="4"/>
        <v>30.720779266572599</v>
      </c>
      <c r="G265" s="38">
        <v>523.07000000000005</v>
      </c>
      <c r="H265" s="38">
        <v>5972.12</v>
      </c>
      <c r="I265" s="38">
        <v>12002.64</v>
      </c>
      <c r="J265" s="38">
        <v>69672.44</v>
      </c>
      <c r="K265" s="38" t="s">
        <v>1504</v>
      </c>
      <c r="L265" s="40">
        <f>VLOOKUP(B265,'✈ Flights (2)'!$A$2:$R$501,13,FALSE)</f>
        <v>771.01</v>
      </c>
      <c r="M265">
        <f>VLOOKUP(B265,'✈ Flights (2)'!$A$2:$R$501,16,FALSE)</f>
        <v>113</v>
      </c>
      <c r="N265" t="str">
        <f>VLOOKUP(B265,'✈ Flights (2)'!$A$2:$R$501,14,FALSE)</f>
        <v>First Class</v>
      </c>
      <c r="O265">
        <f>VLOOKUP(B265,'✈ Flights (2)'!$A$2:$P$502,12,FALSE)</f>
        <v>2836</v>
      </c>
    </row>
    <row r="266" spans="1:15">
      <c r="A266" s="33" t="s">
        <v>1769</v>
      </c>
      <c r="B266" s="33" t="s">
        <v>882</v>
      </c>
      <c r="C266" s="33" t="s">
        <v>55</v>
      </c>
      <c r="D266" s="33" t="str">
        <f>VLOOKUP(B266,'✈ Flights (2)'!$A$2:$P$502,3,FALSE)</f>
        <v>Delta</v>
      </c>
      <c r="E266" s="33">
        <v>103970.1</v>
      </c>
      <c r="F266" s="33">
        <f t="shared" si="4"/>
        <v>93.163172043010803</v>
      </c>
      <c r="G266" s="33">
        <v>0</v>
      </c>
      <c r="H266" s="33">
        <v>5244.85</v>
      </c>
      <c r="I266" s="33">
        <v>8878.99</v>
      </c>
      <c r="J266" s="33">
        <v>-14123.84</v>
      </c>
      <c r="K266" s="33" t="s">
        <v>1502</v>
      </c>
      <c r="L266" s="40">
        <f>VLOOKUP(B266,'✈ Flights (2)'!$A$2:$R$501,13,FALSE)</f>
        <v>799.77</v>
      </c>
      <c r="M266">
        <f>VLOOKUP(B266,'✈ Flights (2)'!$A$2:$R$501,16,FALSE)</f>
        <v>130</v>
      </c>
      <c r="N266" t="str">
        <f>VLOOKUP(B266,'✈ Flights (2)'!$A$2:$R$501,14,FALSE)</f>
        <v>First Class</v>
      </c>
      <c r="O266">
        <f>VLOOKUP(B266,'✈ Flights (2)'!$A$2:$P$502,12,FALSE)</f>
        <v>1116</v>
      </c>
    </row>
    <row r="267" spans="1:15">
      <c r="A267" s="38" t="s">
        <v>1770</v>
      </c>
      <c r="B267" s="38" t="s">
        <v>885</v>
      </c>
      <c r="C267" s="38" t="s">
        <v>65</v>
      </c>
      <c r="D267" s="33" t="str">
        <f>VLOOKUP(B267,'✈ Flights (2)'!$A$2:$P$502,3,FALSE)</f>
        <v>Spirit</v>
      </c>
      <c r="E267" s="38">
        <v>46915.64</v>
      </c>
      <c r="F267" s="33">
        <f t="shared" si="4"/>
        <v>17.9341131498471</v>
      </c>
      <c r="G267" s="38">
        <v>6852.2</v>
      </c>
      <c r="H267" s="38">
        <v>12304.35</v>
      </c>
      <c r="I267" s="38">
        <v>29001.37</v>
      </c>
      <c r="J267" s="38">
        <v>12462.12</v>
      </c>
      <c r="K267" s="38" t="s">
        <v>1511</v>
      </c>
      <c r="L267" s="40">
        <f>VLOOKUP(B267,'✈ Flights (2)'!$A$2:$R$501,13,FALSE)</f>
        <v>642.67999999999995</v>
      </c>
      <c r="M267">
        <f>VLOOKUP(B267,'✈ Flights (2)'!$A$2:$R$501,16,FALSE)</f>
        <v>73</v>
      </c>
      <c r="N267" t="str">
        <f>VLOOKUP(B267,'✈ Flights (2)'!$A$2:$R$501,14,FALSE)</f>
        <v>Business</v>
      </c>
      <c r="O267">
        <f>VLOOKUP(B267,'✈ Flights (2)'!$A$2:$P$502,12,FALSE)</f>
        <v>2616</v>
      </c>
    </row>
    <row r="268" spans="1:15">
      <c r="A268" s="33" t="s">
        <v>1771</v>
      </c>
      <c r="B268" s="33" t="s">
        <v>888</v>
      </c>
      <c r="C268" s="33" t="s">
        <v>22</v>
      </c>
      <c r="D268" s="33" t="str">
        <f>VLOOKUP(B268,'✈ Flights (2)'!$A$2:$P$502,3,FALSE)</f>
        <v>Delta</v>
      </c>
      <c r="E268" s="33">
        <v>156895.24</v>
      </c>
      <c r="F268" s="33">
        <f t="shared" si="4"/>
        <v>125.21567438148401</v>
      </c>
      <c r="G268" s="33">
        <v>3886.17</v>
      </c>
      <c r="H268" s="33">
        <v>3735.63</v>
      </c>
      <c r="I268" s="33">
        <v>35572.699999999997</v>
      </c>
      <c r="J268" s="33">
        <v>121473.08</v>
      </c>
      <c r="K268" s="33" t="s">
        <v>1502</v>
      </c>
      <c r="L268" s="40">
        <f>VLOOKUP(B268,'✈ Flights (2)'!$A$2:$R$501,13,FALSE)</f>
        <v>1170.8599999999999</v>
      </c>
      <c r="M268">
        <f>VLOOKUP(B268,'✈ Flights (2)'!$A$2:$R$501,16,FALSE)</f>
        <v>134</v>
      </c>
      <c r="N268" t="str">
        <f>VLOOKUP(B268,'✈ Flights (2)'!$A$2:$R$501,14,FALSE)</f>
        <v>Economy</v>
      </c>
      <c r="O268">
        <f>VLOOKUP(B268,'✈ Flights (2)'!$A$2:$P$502,12,FALSE)</f>
        <v>1253</v>
      </c>
    </row>
    <row r="269" spans="1:15">
      <c r="A269" s="38" t="s">
        <v>1772</v>
      </c>
      <c r="B269" s="38" t="s">
        <v>891</v>
      </c>
      <c r="C269" s="38" t="s">
        <v>24</v>
      </c>
      <c r="D269" s="33" t="str">
        <f>VLOOKUP(B269,'✈ Flights (2)'!$A$2:$P$502,3,FALSE)</f>
        <v>Delta</v>
      </c>
      <c r="E269" s="38">
        <v>48981.48</v>
      </c>
      <c r="F269" s="33">
        <f t="shared" si="4"/>
        <v>47.974025465230199</v>
      </c>
      <c r="G269" s="38">
        <v>5656</v>
      </c>
      <c r="H269" s="38">
        <v>12393.87</v>
      </c>
      <c r="I269" s="38">
        <v>33936.9</v>
      </c>
      <c r="J269" s="38">
        <v>39696.25</v>
      </c>
      <c r="K269" s="38" t="s">
        <v>1502</v>
      </c>
      <c r="L269" s="40">
        <f>VLOOKUP(B269,'✈ Flights (2)'!$A$2:$R$501,13,FALSE)</f>
        <v>344.94</v>
      </c>
      <c r="M269">
        <f>VLOOKUP(B269,'✈ Flights (2)'!$A$2:$R$501,16,FALSE)</f>
        <v>142</v>
      </c>
      <c r="N269" t="str">
        <f>VLOOKUP(B269,'✈ Flights (2)'!$A$2:$R$501,14,FALSE)</f>
        <v>Business</v>
      </c>
      <c r="O269">
        <f>VLOOKUP(B269,'✈ Flights (2)'!$A$2:$P$502,12,FALSE)</f>
        <v>1021</v>
      </c>
    </row>
    <row r="270" spans="1:15">
      <c r="A270" s="33" t="s">
        <v>1773</v>
      </c>
      <c r="B270" s="33" t="s">
        <v>893</v>
      </c>
      <c r="C270" s="33" t="s">
        <v>74</v>
      </c>
      <c r="D270" s="33" t="str">
        <f>VLOOKUP(B270,'✈ Flights (2)'!$A$2:$P$502,3,FALSE)</f>
        <v>American</v>
      </c>
      <c r="E270" s="33">
        <v>15560.04</v>
      </c>
      <c r="F270" s="33">
        <f t="shared" si="4"/>
        <v>6.74178509532062</v>
      </c>
      <c r="G270" s="33">
        <v>1132.99</v>
      </c>
      <c r="H270" s="33">
        <v>7115.42</v>
      </c>
      <c r="I270" s="33">
        <v>17865.98</v>
      </c>
      <c r="J270" s="33">
        <v>-8288.3700000000008</v>
      </c>
      <c r="K270" s="33" t="s">
        <v>1509</v>
      </c>
      <c r="L270" s="40">
        <f>VLOOKUP(B270,'✈ Flights (2)'!$A$2:$R$501,13,FALSE)</f>
        <v>122.52</v>
      </c>
      <c r="M270">
        <f>VLOOKUP(B270,'✈ Flights (2)'!$A$2:$R$501,16,FALSE)</f>
        <v>127</v>
      </c>
      <c r="N270" t="str">
        <f>VLOOKUP(B270,'✈ Flights (2)'!$A$2:$R$501,14,FALSE)</f>
        <v>Economy</v>
      </c>
      <c r="O270">
        <f>VLOOKUP(B270,'✈ Flights (2)'!$A$2:$P$502,12,FALSE)</f>
        <v>2308</v>
      </c>
    </row>
    <row r="271" spans="1:15">
      <c r="A271" s="38" t="s">
        <v>1774</v>
      </c>
      <c r="B271" s="38" t="s">
        <v>895</v>
      </c>
      <c r="C271" s="38" t="s">
        <v>175</v>
      </c>
      <c r="D271" s="33" t="str">
        <f>VLOOKUP(B271,'✈ Flights (2)'!$A$2:$P$502,3,FALSE)</f>
        <v>Frontier</v>
      </c>
      <c r="E271" s="38">
        <v>45914.44</v>
      </c>
      <c r="F271" s="33">
        <f t="shared" si="4"/>
        <v>27.088165191740401</v>
      </c>
      <c r="G271" s="38">
        <v>7585.68</v>
      </c>
      <c r="H271" s="38">
        <v>4918.33</v>
      </c>
      <c r="I271" s="38">
        <v>35951.949999999997</v>
      </c>
      <c r="J271" s="38">
        <v>12629.84</v>
      </c>
      <c r="K271" s="38" t="s">
        <v>1504</v>
      </c>
      <c r="L271" s="40">
        <f>VLOOKUP(B271,'✈ Flights (2)'!$A$2:$R$501,13,FALSE)</f>
        <v>882.97</v>
      </c>
      <c r="M271">
        <f>VLOOKUP(B271,'✈ Flights (2)'!$A$2:$R$501,16,FALSE)</f>
        <v>52</v>
      </c>
      <c r="N271" t="str">
        <f>VLOOKUP(B271,'✈ Flights (2)'!$A$2:$R$501,14,FALSE)</f>
        <v>Business</v>
      </c>
      <c r="O271">
        <f>VLOOKUP(B271,'✈ Flights (2)'!$A$2:$P$502,12,FALSE)</f>
        <v>1695</v>
      </c>
    </row>
    <row r="272" spans="1:15">
      <c r="A272" s="33" t="s">
        <v>1775</v>
      </c>
      <c r="B272" s="33" t="s">
        <v>896</v>
      </c>
      <c r="C272" s="33" t="s">
        <v>117</v>
      </c>
      <c r="D272" s="33" t="str">
        <f>VLOOKUP(B272,'✈ Flights (2)'!$A$2:$P$502,3,FALSE)</f>
        <v>United</v>
      </c>
      <c r="E272" s="33">
        <v>97196.88</v>
      </c>
      <c r="F272" s="33">
        <f t="shared" si="4"/>
        <v>50.623375000000003</v>
      </c>
      <c r="G272" s="33">
        <v>7423.34</v>
      </c>
      <c r="H272" s="33">
        <v>10146.16</v>
      </c>
      <c r="I272" s="33">
        <v>27648.73</v>
      </c>
      <c r="J272" s="33">
        <v>66825.33</v>
      </c>
      <c r="K272" s="33" t="s">
        <v>1504</v>
      </c>
      <c r="L272" s="40">
        <f>VLOOKUP(B272,'✈ Flights (2)'!$A$2:$R$501,13,FALSE)</f>
        <v>736.34</v>
      </c>
      <c r="M272">
        <f>VLOOKUP(B272,'✈ Flights (2)'!$A$2:$R$501,16,FALSE)</f>
        <v>132</v>
      </c>
      <c r="N272" t="str">
        <f>VLOOKUP(B272,'✈ Flights (2)'!$A$2:$R$501,14,FALSE)</f>
        <v>Business</v>
      </c>
      <c r="O272">
        <f>VLOOKUP(B272,'✈ Flights (2)'!$A$2:$P$502,12,FALSE)</f>
        <v>1920</v>
      </c>
    </row>
    <row r="273" spans="1:15">
      <c r="A273" s="38" t="s">
        <v>1776</v>
      </c>
      <c r="B273" s="38" t="s">
        <v>897</v>
      </c>
      <c r="C273" s="38" t="s">
        <v>80</v>
      </c>
      <c r="D273" s="33" t="str">
        <f>VLOOKUP(B273,'✈ Flights (2)'!$A$2:$P$502,3,FALSE)</f>
        <v>Spirit</v>
      </c>
      <c r="E273" s="38">
        <v>124023.75</v>
      </c>
      <c r="F273" s="33">
        <f t="shared" si="4"/>
        <v>45.731471238938099</v>
      </c>
      <c r="G273" s="38">
        <v>7805.96</v>
      </c>
      <c r="H273" s="38">
        <v>11116.4</v>
      </c>
      <c r="I273" s="38">
        <v>11939.32</v>
      </c>
      <c r="J273" s="38">
        <v>108773.99</v>
      </c>
      <c r="K273" s="38" t="s">
        <v>1502</v>
      </c>
      <c r="L273" s="40">
        <f>VLOOKUP(B273,'✈ Flights (2)'!$A$2:$R$501,13,FALSE)</f>
        <v>992.19</v>
      </c>
      <c r="M273">
        <f>VLOOKUP(B273,'✈ Flights (2)'!$A$2:$R$501,16,FALSE)</f>
        <v>125</v>
      </c>
      <c r="N273" t="str">
        <f>VLOOKUP(B273,'✈ Flights (2)'!$A$2:$R$501,14,FALSE)</f>
        <v>Business</v>
      </c>
      <c r="O273">
        <f>VLOOKUP(B273,'✈ Flights (2)'!$A$2:$P$502,12,FALSE)</f>
        <v>2712</v>
      </c>
    </row>
    <row r="274" spans="1:15">
      <c r="A274" s="33" t="s">
        <v>1777</v>
      </c>
      <c r="B274" s="33" t="s">
        <v>900</v>
      </c>
      <c r="C274" s="33" t="s">
        <v>74</v>
      </c>
      <c r="D274" s="33" t="str">
        <f>VLOOKUP(B274,'✈ Flights (2)'!$A$2:$P$502,3,FALSE)</f>
        <v>Spirit</v>
      </c>
      <c r="E274" s="33">
        <v>242105.60000000001</v>
      </c>
      <c r="F274" s="33">
        <f t="shared" si="4"/>
        <v>201.08438538205999</v>
      </c>
      <c r="G274" s="33">
        <v>873.37</v>
      </c>
      <c r="H274" s="33">
        <v>9805.11</v>
      </c>
      <c r="I274" s="33">
        <v>26630.14</v>
      </c>
      <c r="J274" s="33">
        <v>206543.72</v>
      </c>
      <c r="K274" s="33" t="s">
        <v>1502</v>
      </c>
      <c r="L274" s="40">
        <f>VLOOKUP(B274,'✈ Flights (2)'!$A$2:$R$501,13,FALSE)</f>
        <v>796.4</v>
      </c>
      <c r="M274">
        <f>VLOOKUP(B274,'✈ Flights (2)'!$A$2:$R$501,16,FALSE)</f>
        <v>304</v>
      </c>
      <c r="N274" t="str">
        <f>VLOOKUP(B274,'✈ Flights (2)'!$A$2:$R$501,14,FALSE)</f>
        <v>Economy</v>
      </c>
      <c r="O274">
        <f>VLOOKUP(B274,'✈ Flights (2)'!$A$2:$P$502,12,FALSE)</f>
        <v>1204</v>
      </c>
    </row>
    <row r="275" spans="1:15">
      <c r="A275" s="38" t="s">
        <v>1778</v>
      </c>
      <c r="B275" s="38" t="s">
        <v>903</v>
      </c>
      <c r="C275" s="38" t="s">
        <v>65</v>
      </c>
      <c r="D275" s="33" t="str">
        <f>VLOOKUP(B275,'✈ Flights (2)'!$A$2:$P$502,3,FALSE)</f>
        <v>Southwest</v>
      </c>
      <c r="E275" s="38">
        <v>127345.60000000001</v>
      </c>
      <c r="F275" s="33">
        <f t="shared" si="4"/>
        <v>43.656359273225902</v>
      </c>
      <c r="G275" s="38">
        <v>1167.96</v>
      </c>
      <c r="H275" s="38">
        <v>14314.17</v>
      </c>
      <c r="I275" s="38">
        <v>17877.21</v>
      </c>
      <c r="J275" s="38">
        <v>15610.18</v>
      </c>
      <c r="K275" s="38" t="s">
        <v>1504</v>
      </c>
      <c r="L275" s="40">
        <f>VLOOKUP(B275,'✈ Flights (2)'!$A$2:$R$501,13,FALSE)</f>
        <v>896.8</v>
      </c>
      <c r="M275">
        <f>VLOOKUP(B275,'✈ Flights (2)'!$A$2:$R$501,16,FALSE)</f>
        <v>142</v>
      </c>
      <c r="N275" t="str">
        <f>VLOOKUP(B275,'✈ Flights (2)'!$A$2:$R$501,14,FALSE)</f>
        <v>Business</v>
      </c>
      <c r="O275">
        <f>VLOOKUP(B275,'✈ Flights (2)'!$A$2:$P$502,12,FALSE)</f>
        <v>2917</v>
      </c>
    </row>
    <row r="276" spans="1:15">
      <c r="A276" s="33" t="s">
        <v>1779</v>
      </c>
      <c r="B276" s="33" t="s">
        <v>906</v>
      </c>
      <c r="C276" s="33" t="s">
        <v>65</v>
      </c>
      <c r="D276" s="33" t="str">
        <f>VLOOKUP(B276,'✈ Flights (2)'!$A$2:$P$502,3,FALSE)</f>
        <v>United</v>
      </c>
      <c r="E276" s="33">
        <v>77059.350000000006</v>
      </c>
      <c r="F276" s="33">
        <f t="shared" si="4"/>
        <v>40.989015957446803</v>
      </c>
      <c r="G276" s="33">
        <v>605.86</v>
      </c>
      <c r="H276" s="33">
        <v>12053.67</v>
      </c>
      <c r="I276" s="33">
        <v>23404.32</v>
      </c>
      <c r="J276" s="33">
        <v>42207.22</v>
      </c>
      <c r="K276" s="33" t="s">
        <v>1509</v>
      </c>
      <c r="L276" s="40">
        <f>VLOOKUP(B276,'✈ Flights (2)'!$A$2:$R$501,13,FALSE)</f>
        <v>570.80999999999995</v>
      </c>
      <c r="M276">
        <f>VLOOKUP(B276,'✈ Flights (2)'!$A$2:$R$501,16,FALSE)</f>
        <v>135</v>
      </c>
      <c r="N276" t="str">
        <f>VLOOKUP(B276,'✈ Flights (2)'!$A$2:$R$501,14,FALSE)</f>
        <v>Business</v>
      </c>
      <c r="O276">
        <f>VLOOKUP(B276,'✈ Flights (2)'!$A$2:$P$502,12,FALSE)</f>
        <v>1880</v>
      </c>
    </row>
    <row r="277" spans="1:15">
      <c r="A277" s="38" t="s">
        <v>1780</v>
      </c>
      <c r="B277" s="38" t="s">
        <v>908</v>
      </c>
      <c r="C277" s="38" t="s">
        <v>33</v>
      </c>
      <c r="D277" s="33" t="str">
        <f>VLOOKUP(B277,'✈ Flights (2)'!$A$2:$P$502,3,FALSE)</f>
        <v>Alaska</v>
      </c>
      <c r="E277" s="38">
        <v>99427.61</v>
      </c>
      <c r="F277" s="33">
        <f t="shared" si="4"/>
        <v>33.522457855697901</v>
      </c>
      <c r="G277" s="38">
        <v>6704.43</v>
      </c>
      <c r="H277" s="38">
        <v>4918.29</v>
      </c>
      <c r="I277" s="38">
        <v>22295.22</v>
      </c>
      <c r="J277" s="38">
        <v>78918.53</v>
      </c>
      <c r="K277" s="38" t="s">
        <v>1502</v>
      </c>
      <c r="L277" s="40">
        <f>VLOOKUP(B277,'✈ Flights (2)'!$A$2:$R$501,13,FALSE)</f>
        <v>929.23</v>
      </c>
      <c r="M277">
        <f>VLOOKUP(B277,'✈ Flights (2)'!$A$2:$R$501,16,FALSE)</f>
        <v>107</v>
      </c>
      <c r="N277" t="str">
        <f>VLOOKUP(B277,'✈ Flights (2)'!$A$2:$R$501,14,FALSE)</f>
        <v>Economy</v>
      </c>
      <c r="O277">
        <f>VLOOKUP(B277,'✈ Flights (2)'!$A$2:$P$502,12,FALSE)</f>
        <v>2966</v>
      </c>
    </row>
    <row r="278" spans="1:15">
      <c r="A278" s="33" t="s">
        <v>1781</v>
      </c>
      <c r="B278" s="33" t="s">
        <v>911</v>
      </c>
      <c r="C278" s="33" t="s">
        <v>175</v>
      </c>
      <c r="D278" s="33" t="str">
        <f>VLOOKUP(B278,'✈ Flights (2)'!$A$2:$P$502,3,FALSE)</f>
        <v>Jetblue</v>
      </c>
      <c r="E278" s="33">
        <v>15960.68</v>
      </c>
      <c r="F278" s="33">
        <f t="shared" si="4"/>
        <v>9.3886352941176501</v>
      </c>
      <c r="G278" s="33">
        <v>1929.08</v>
      </c>
      <c r="H278" s="33">
        <v>12167.59</v>
      </c>
      <c r="I278" s="33">
        <v>35167.79</v>
      </c>
      <c r="J278" s="33">
        <v>-29445.62</v>
      </c>
      <c r="K278" s="33" t="s">
        <v>1511</v>
      </c>
      <c r="L278" s="40">
        <f>VLOOKUP(B278,'✈ Flights (2)'!$A$2:$R$501,13,FALSE)</f>
        <v>270.52</v>
      </c>
      <c r="M278">
        <f>VLOOKUP(B278,'✈ Flights (2)'!$A$2:$R$501,16,FALSE)</f>
        <v>59</v>
      </c>
      <c r="N278" t="str">
        <f>VLOOKUP(B278,'✈ Flights (2)'!$A$2:$R$501,14,FALSE)</f>
        <v>Business</v>
      </c>
      <c r="O278">
        <f>VLOOKUP(B278,'✈ Flights (2)'!$A$2:$P$502,12,FALSE)</f>
        <v>1700</v>
      </c>
    </row>
    <row r="279" spans="1:15">
      <c r="A279" s="38" t="s">
        <v>1782</v>
      </c>
      <c r="B279" s="38" t="s">
        <v>913</v>
      </c>
      <c r="C279" s="38" t="s">
        <v>49</v>
      </c>
      <c r="D279" s="33" t="str">
        <f>VLOOKUP(B279,'✈ Flights (2)'!$A$2:$P$502,3,FALSE)</f>
        <v>Alaska</v>
      </c>
      <c r="E279" s="38">
        <v>14828.8</v>
      </c>
      <c r="F279" s="33">
        <f t="shared" si="4"/>
        <v>4.9811219348337303</v>
      </c>
      <c r="G279" s="38">
        <v>6098.32</v>
      </c>
      <c r="H279" s="38">
        <v>7607.01</v>
      </c>
      <c r="I279" s="38">
        <v>18372.57</v>
      </c>
      <c r="J279" s="38">
        <v>-5052.46</v>
      </c>
      <c r="K279" s="38" t="s">
        <v>1502</v>
      </c>
      <c r="L279" s="40">
        <f>VLOOKUP(B279,'✈ Flights (2)'!$A$2:$R$501,13,FALSE)</f>
        <v>264.8</v>
      </c>
      <c r="M279">
        <f>VLOOKUP(B279,'✈ Flights (2)'!$A$2:$R$501,16,FALSE)</f>
        <v>56</v>
      </c>
      <c r="N279" t="str">
        <f>VLOOKUP(B279,'✈ Flights (2)'!$A$2:$R$501,14,FALSE)</f>
        <v>Business</v>
      </c>
      <c r="O279">
        <f>VLOOKUP(B279,'✈ Flights (2)'!$A$2:$P$502,12,FALSE)</f>
        <v>2977</v>
      </c>
    </row>
    <row r="280" spans="1:15">
      <c r="A280" s="33" t="s">
        <v>1783</v>
      </c>
      <c r="B280" s="33" t="s">
        <v>916</v>
      </c>
      <c r="C280" s="33" t="s">
        <v>130</v>
      </c>
      <c r="D280" s="33" t="str">
        <f>VLOOKUP(B280,'✈ Flights (2)'!$A$2:$P$502,3,FALSE)</f>
        <v>Southwest</v>
      </c>
      <c r="E280" s="33">
        <v>30981.75</v>
      </c>
      <c r="F280" s="33">
        <f t="shared" si="4"/>
        <v>21.322608396421199</v>
      </c>
      <c r="G280" s="33">
        <v>5000.62</v>
      </c>
      <c r="H280" s="33">
        <v>5678.57</v>
      </c>
      <c r="I280" s="33">
        <v>39832.26</v>
      </c>
      <c r="J280" s="33">
        <v>-9528.4599999999991</v>
      </c>
      <c r="K280" s="33" t="s">
        <v>1502</v>
      </c>
      <c r="L280" s="40">
        <f>VLOOKUP(B280,'✈ Flights (2)'!$A$2:$R$501,13,FALSE)</f>
        <v>413.09</v>
      </c>
      <c r="M280">
        <f>VLOOKUP(B280,'✈ Flights (2)'!$A$2:$R$501,16,FALSE)</f>
        <v>75</v>
      </c>
      <c r="N280" t="str">
        <f>VLOOKUP(B280,'✈ Flights (2)'!$A$2:$R$501,14,FALSE)</f>
        <v>Economy</v>
      </c>
      <c r="O280">
        <f>VLOOKUP(B280,'✈ Flights (2)'!$A$2:$P$502,12,FALSE)</f>
        <v>1453</v>
      </c>
    </row>
    <row r="281" spans="1:15">
      <c r="A281" s="38" t="s">
        <v>1784</v>
      </c>
      <c r="B281" s="38" t="s">
        <v>919</v>
      </c>
      <c r="C281" s="38" t="s">
        <v>57</v>
      </c>
      <c r="D281" s="33" t="str">
        <f>VLOOKUP(B281,'✈ Flights (2)'!$A$2:$P$502,3,FALSE)</f>
        <v>American</v>
      </c>
      <c r="E281" s="38">
        <v>172474.72</v>
      </c>
      <c r="F281" s="33">
        <f t="shared" si="4"/>
        <v>114.525046480744</v>
      </c>
      <c r="G281" s="38">
        <v>3637.48</v>
      </c>
      <c r="H281" s="38">
        <v>3897.26</v>
      </c>
      <c r="I281" s="38">
        <v>22778.588495934899</v>
      </c>
      <c r="J281" s="38">
        <v>152916.6</v>
      </c>
      <c r="K281" s="38" t="s">
        <v>1511</v>
      </c>
      <c r="L281" s="40">
        <f>VLOOKUP(B281,'✈ Flights (2)'!$A$2:$R$501,13,FALSE)</f>
        <v>1002.76</v>
      </c>
      <c r="M281">
        <f>VLOOKUP(B281,'✈ Flights (2)'!$A$2:$R$501,16,FALSE)</f>
        <v>172</v>
      </c>
      <c r="N281" t="str">
        <f>VLOOKUP(B281,'✈ Flights (2)'!$A$2:$R$501,14,FALSE)</f>
        <v>First Class</v>
      </c>
      <c r="O281">
        <f>VLOOKUP(B281,'✈ Flights (2)'!$A$2:$P$502,12,FALSE)</f>
        <v>1506</v>
      </c>
    </row>
    <row r="282" spans="1:15">
      <c r="A282" s="33" t="s">
        <v>1785</v>
      </c>
      <c r="B282" s="33" t="s">
        <v>921</v>
      </c>
      <c r="C282" s="33" t="s">
        <v>39</v>
      </c>
      <c r="D282" s="33" t="str">
        <f>VLOOKUP(B282,'✈ Flights (2)'!$A$2:$P$502,3,FALSE)</f>
        <v>Southwest</v>
      </c>
      <c r="E282" s="33">
        <v>210034.14</v>
      </c>
      <c r="F282" s="33">
        <f t="shared" si="4"/>
        <v>134.378848368522</v>
      </c>
      <c r="G282" s="33">
        <v>7820.96</v>
      </c>
      <c r="H282" s="33">
        <v>7862.7</v>
      </c>
      <c r="I282" s="33">
        <v>13242</v>
      </c>
      <c r="J282" s="33">
        <v>196750.4</v>
      </c>
      <c r="K282" s="33" t="s">
        <v>1502</v>
      </c>
      <c r="L282" s="40">
        <f>VLOOKUP(B282,'✈ Flights (2)'!$A$2:$R$501,13,FALSE)</f>
        <v>959.06</v>
      </c>
      <c r="M282">
        <f>VLOOKUP(B282,'✈ Flights (2)'!$A$2:$R$501,16,FALSE)</f>
        <v>219</v>
      </c>
      <c r="N282" t="str">
        <f>VLOOKUP(B282,'✈ Flights (2)'!$A$2:$R$501,14,FALSE)</f>
        <v>Business</v>
      </c>
      <c r="O282">
        <f>VLOOKUP(B282,'✈ Flights (2)'!$A$2:$P$502,12,FALSE)</f>
        <v>1563</v>
      </c>
    </row>
    <row r="283" spans="1:15">
      <c r="A283" s="38" t="s">
        <v>1786</v>
      </c>
      <c r="B283" s="38" t="s">
        <v>923</v>
      </c>
      <c r="C283" s="38" t="s">
        <v>65</v>
      </c>
      <c r="D283" s="33" t="str">
        <f>VLOOKUP(B283,'✈ Flights (2)'!$A$2:$P$502,3,FALSE)</f>
        <v>American</v>
      </c>
      <c r="E283" s="38">
        <v>29241.42</v>
      </c>
      <c r="F283" s="33">
        <f t="shared" si="4"/>
        <v>60.666846473028997</v>
      </c>
      <c r="G283" s="38">
        <v>3272.28</v>
      </c>
      <c r="H283" s="38">
        <v>7956.13</v>
      </c>
      <c r="I283" s="38">
        <v>28949.35</v>
      </c>
      <c r="J283" s="38">
        <v>-4391.78</v>
      </c>
      <c r="K283" s="38" t="s">
        <v>1504</v>
      </c>
      <c r="L283" s="40">
        <f>VLOOKUP(B283,'✈ Flights (2)'!$A$2:$R$501,13,FALSE)</f>
        <v>374.89</v>
      </c>
      <c r="M283">
        <f>VLOOKUP(B283,'✈ Flights (2)'!$A$2:$R$501,16,FALSE)</f>
        <v>78</v>
      </c>
      <c r="N283" t="str">
        <f>VLOOKUP(B283,'✈ Flights (2)'!$A$2:$R$501,14,FALSE)</f>
        <v>Business</v>
      </c>
      <c r="O283">
        <f>VLOOKUP(B283,'✈ Flights (2)'!$A$2:$P$502,12,FALSE)</f>
        <v>482</v>
      </c>
    </row>
    <row r="284" spans="1:15">
      <c r="A284" s="33" t="s">
        <v>1787</v>
      </c>
      <c r="B284" s="33" t="s">
        <v>926</v>
      </c>
      <c r="C284" s="33" t="s">
        <v>198</v>
      </c>
      <c r="D284" s="33" t="str">
        <f>VLOOKUP(B284,'✈ Flights (2)'!$A$2:$P$502,3,FALSE)</f>
        <v>American</v>
      </c>
      <c r="E284" s="33">
        <v>140062.79999999999</v>
      </c>
      <c r="F284" s="33">
        <f t="shared" si="4"/>
        <v>70.206917293233104</v>
      </c>
      <c r="G284" s="33">
        <v>4016.61</v>
      </c>
      <c r="H284" s="33">
        <v>14667.19</v>
      </c>
      <c r="I284" s="33">
        <v>35500.519999999997</v>
      </c>
      <c r="J284" s="33">
        <v>93911.7</v>
      </c>
      <c r="K284" s="33" t="s">
        <v>1509</v>
      </c>
      <c r="L284" s="40">
        <f>VLOOKUP(B284,'✈ Flights (2)'!$A$2:$R$501,13,FALSE)</f>
        <v>1167.19</v>
      </c>
      <c r="M284">
        <f>VLOOKUP(B284,'✈ Flights (2)'!$A$2:$R$501,16,FALSE)</f>
        <v>120</v>
      </c>
      <c r="N284" t="str">
        <f>VLOOKUP(B284,'✈ Flights (2)'!$A$2:$R$501,14,FALSE)</f>
        <v>First Class</v>
      </c>
      <c r="O284">
        <f>VLOOKUP(B284,'✈ Flights (2)'!$A$2:$P$502,12,FALSE)</f>
        <v>1995</v>
      </c>
    </row>
    <row r="285" spans="1:15">
      <c r="A285" s="38" t="s">
        <v>1788</v>
      </c>
      <c r="B285" s="38" t="s">
        <v>929</v>
      </c>
      <c r="C285" s="38" t="s">
        <v>33</v>
      </c>
      <c r="D285" s="33" t="str">
        <f>VLOOKUP(B285,'✈ Flights (2)'!$A$2:$P$502,3,FALSE)</f>
        <v>Spirit</v>
      </c>
      <c r="E285" s="38">
        <v>13811.26</v>
      </c>
      <c r="F285" s="33">
        <f t="shared" si="4"/>
        <v>9.0625065616797897</v>
      </c>
      <c r="G285" s="38">
        <v>5651.39</v>
      </c>
      <c r="H285" s="38">
        <v>11209.89</v>
      </c>
      <c r="I285" s="38">
        <v>29966.76</v>
      </c>
      <c r="J285" s="38">
        <v>-21714</v>
      </c>
      <c r="K285" s="38" t="s">
        <v>1511</v>
      </c>
      <c r="L285" s="40">
        <f>VLOOKUP(B285,'✈ Flights (2)'!$A$2:$R$501,13,FALSE)</f>
        <v>168.43</v>
      </c>
      <c r="M285">
        <f>VLOOKUP(B285,'✈ Flights (2)'!$A$2:$R$501,16,FALSE)</f>
        <v>82</v>
      </c>
      <c r="N285" t="str">
        <f>VLOOKUP(B285,'✈ Flights (2)'!$A$2:$R$501,14,FALSE)</f>
        <v>First Class</v>
      </c>
      <c r="O285">
        <f>VLOOKUP(B285,'✈ Flights (2)'!$A$2:$P$502,12,FALSE)</f>
        <v>1524</v>
      </c>
    </row>
    <row r="286" spans="1:15">
      <c r="A286" s="33" t="s">
        <v>1789</v>
      </c>
      <c r="B286" s="33" t="s">
        <v>932</v>
      </c>
      <c r="C286" s="33" t="s">
        <v>198</v>
      </c>
      <c r="D286" s="33" t="str">
        <f>VLOOKUP(B286,'✈ Flights (2)'!$A$2:$P$502,3,FALSE)</f>
        <v>American</v>
      </c>
      <c r="E286" s="33">
        <v>23239.65</v>
      </c>
      <c r="F286" s="33">
        <f t="shared" si="4"/>
        <v>21.340358126721799</v>
      </c>
      <c r="G286" s="33">
        <v>1047.92</v>
      </c>
      <c r="H286" s="33">
        <v>2677.46</v>
      </c>
      <c r="I286" s="33">
        <v>24495</v>
      </c>
      <c r="J286" s="33">
        <v>-2884.89</v>
      </c>
      <c r="K286" s="33" t="s">
        <v>1502</v>
      </c>
      <c r="L286" s="40">
        <f>VLOOKUP(B286,'✈ Flights (2)'!$A$2:$R$501,13,FALSE)</f>
        <v>221.33</v>
      </c>
      <c r="M286">
        <f>VLOOKUP(B286,'✈ Flights (2)'!$A$2:$R$501,16,FALSE)</f>
        <v>105</v>
      </c>
      <c r="N286" t="str">
        <f>VLOOKUP(B286,'✈ Flights (2)'!$A$2:$R$501,14,FALSE)</f>
        <v>Business</v>
      </c>
      <c r="O286">
        <f>VLOOKUP(B286,'✈ Flights (2)'!$A$2:$P$502,12,FALSE)</f>
        <v>1089</v>
      </c>
    </row>
    <row r="287" spans="1:15">
      <c r="A287" s="38" t="s">
        <v>1790</v>
      </c>
      <c r="B287" s="38" t="s">
        <v>935</v>
      </c>
      <c r="C287" s="38" t="s">
        <v>157</v>
      </c>
      <c r="D287" s="33" t="str">
        <f>VLOOKUP(B287,'✈ Flights (2)'!$A$2:$P$502,3,FALSE)</f>
        <v>Jetblue</v>
      </c>
      <c r="E287" s="38">
        <v>116616.1</v>
      </c>
      <c r="F287" s="33">
        <f t="shared" si="4"/>
        <v>60.516917488323799</v>
      </c>
      <c r="G287" s="38">
        <v>4031.99</v>
      </c>
      <c r="H287" s="38">
        <v>9882.8700000000008</v>
      </c>
      <c r="I287" s="38">
        <v>17400.560000000001</v>
      </c>
      <c r="J287" s="38">
        <v>93364.66</v>
      </c>
      <c r="K287" s="38" t="s">
        <v>1504</v>
      </c>
      <c r="L287" s="40">
        <f>VLOOKUP(B287,'✈ Flights (2)'!$A$2:$R$501,13,FALSE)</f>
        <v>698.3</v>
      </c>
      <c r="M287">
        <f>VLOOKUP(B287,'✈ Flights (2)'!$A$2:$R$501,16,FALSE)</f>
        <v>167</v>
      </c>
      <c r="N287" t="str">
        <f>VLOOKUP(B287,'✈ Flights (2)'!$A$2:$R$501,14,FALSE)</f>
        <v>Business</v>
      </c>
      <c r="O287">
        <f>VLOOKUP(B287,'✈ Flights (2)'!$A$2:$P$502,12,FALSE)</f>
        <v>1927</v>
      </c>
    </row>
    <row r="288" spans="1:15">
      <c r="A288" s="33" t="s">
        <v>1791</v>
      </c>
      <c r="B288" s="33" t="s">
        <v>938</v>
      </c>
      <c r="C288" s="33" t="s">
        <v>198</v>
      </c>
      <c r="D288" s="33" t="str">
        <f>VLOOKUP(B288,'✈ Flights (2)'!$A$2:$P$502,3,FALSE)</f>
        <v>Spirit</v>
      </c>
      <c r="E288" s="33">
        <v>76190.399999999994</v>
      </c>
      <c r="F288" s="33">
        <f t="shared" si="4"/>
        <v>28.1353028064993</v>
      </c>
      <c r="G288" s="33">
        <v>540.21</v>
      </c>
      <c r="H288" s="33">
        <v>6952.19</v>
      </c>
      <c r="I288" s="33">
        <v>22658.97</v>
      </c>
      <c r="J288" s="33">
        <v>47119.45</v>
      </c>
      <c r="K288" s="33" t="s">
        <v>1509</v>
      </c>
      <c r="L288" s="40">
        <f>VLOOKUP(B288,'✈ Flights (2)'!$A$2:$R$501,13,FALSE)</f>
        <v>732.6</v>
      </c>
      <c r="M288">
        <f>VLOOKUP(B288,'✈ Flights (2)'!$A$2:$R$501,16,FALSE)</f>
        <v>104</v>
      </c>
      <c r="N288" t="str">
        <f>VLOOKUP(B288,'✈ Flights (2)'!$A$2:$R$501,14,FALSE)</f>
        <v>Economy</v>
      </c>
      <c r="O288">
        <f>VLOOKUP(B288,'✈ Flights (2)'!$A$2:$P$502,12,FALSE)</f>
        <v>2708</v>
      </c>
    </row>
    <row r="289" spans="1:15">
      <c r="A289" s="38" t="s">
        <v>1792</v>
      </c>
      <c r="B289" s="38" t="s">
        <v>941</v>
      </c>
      <c r="C289" s="38" t="s">
        <v>33</v>
      </c>
      <c r="D289" s="33" t="str">
        <f>VLOOKUP(B289,'✈ Flights (2)'!$A$2:$P$502,3,FALSE)</f>
        <v>Jetblue</v>
      </c>
      <c r="E289" s="38">
        <v>36807.15</v>
      </c>
      <c r="F289" s="33">
        <f t="shared" si="4"/>
        <v>12.3431086519115</v>
      </c>
      <c r="G289" s="38">
        <v>5534.47</v>
      </c>
      <c r="H289" s="38">
        <v>13598.94</v>
      </c>
      <c r="I289" s="38">
        <v>9628.34</v>
      </c>
      <c r="J289" s="38">
        <v>19114.34</v>
      </c>
      <c r="K289" s="38" t="s">
        <v>1504</v>
      </c>
      <c r="L289" s="40">
        <f>VLOOKUP(B289,'✈ Flights (2)'!$A$2:$R$501,13,FALSE)</f>
        <v>623.85</v>
      </c>
      <c r="M289">
        <f>VLOOKUP(B289,'✈ Flights (2)'!$A$2:$R$501,16,FALSE)</f>
        <v>59</v>
      </c>
      <c r="N289" t="str">
        <f>VLOOKUP(B289,'✈ Flights (2)'!$A$2:$R$501,14,FALSE)</f>
        <v>First Class</v>
      </c>
      <c r="O289">
        <f>VLOOKUP(B289,'✈ Flights (2)'!$A$2:$P$502,12,FALSE)</f>
        <v>2982</v>
      </c>
    </row>
    <row r="290" spans="1:15">
      <c r="A290" s="33" t="s">
        <v>1793</v>
      </c>
      <c r="B290" s="33" t="s">
        <v>943</v>
      </c>
      <c r="C290" s="33" t="s">
        <v>49</v>
      </c>
      <c r="D290" s="33" t="str">
        <f>VLOOKUP(B290,'✈ Flights (2)'!$A$2:$P$502,3,FALSE)</f>
        <v>American</v>
      </c>
      <c r="E290" s="33">
        <v>25284.27</v>
      </c>
      <c r="F290" s="33">
        <f t="shared" si="4"/>
        <v>19.861956009426599</v>
      </c>
      <c r="G290" s="33">
        <v>4853.6499999999996</v>
      </c>
      <c r="H290" s="33">
        <v>8548.7099999999991</v>
      </c>
      <c r="I290" s="33">
        <v>14110.21</v>
      </c>
      <c r="J290" s="33">
        <v>7479</v>
      </c>
      <c r="K290" s="33" t="s">
        <v>1511</v>
      </c>
      <c r="L290" s="40">
        <f>VLOOKUP(B290,'✈ Flights (2)'!$A$2:$R$501,13,FALSE)</f>
        <v>135.21</v>
      </c>
      <c r="M290">
        <f>VLOOKUP(B290,'✈ Flights (2)'!$A$2:$R$501,16,FALSE)</f>
        <v>187</v>
      </c>
      <c r="N290" t="str">
        <f>VLOOKUP(B290,'✈ Flights (2)'!$A$2:$R$501,14,FALSE)</f>
        <v>Business</v>
      </c>
      <c r="O290">
        <f>VLOOKUP(B290,'✈ Flights (2)'!$A$2:$P$502,12,FALSE)</f>
        <v>1273</v>
      </c>
    </row>
    <row r="291" spans="1:15">
      <c r="A291" s="38" t="s">
        <v>1794</v>
      </c>
      <c r="B291" s="38" t="s">
        <v>946</v>
      </c>
      <c r="C291" s="38" t="s">
        <v>96</v>
      </c>
      <c r="D291" s="33" t="str">
        <f>VLOOKUP(B291,'✈ Flights (2)'!$A$2:$P$502,3,FALSE)</f>
        <v>Jetblue</v>
      </c>
      <c r="E291" s="38">
        <v>54983.28</v>
      </c>
      <c r="F291" s="33">
        <f t="shared" si="4"/>
        <v>64.686211764705902</v>
      </c>
      <c r="G291" s="38">
        <v>7084.23</v>
      </c>
      <c r="H291" s="38">
        <v>6125.13</v>
      </c>
      <c r="I291" s="38">
        <v>9617.18</v>
      </c>
      <c r="J291" s="38">
        <v>46325.2</v>
      </c>
      <c r="K291" s="38" t="s">
        <v>1509</v>
      </c>
      <c r="L291" s="40">
        <f>VLOOKUP(B291,'✈ Flights (2)'!$A$2:$R$501,13,FALSE)</f>
        <v>416.54</v>
      </c>
      <c r="M291">
        <f>VLOOKUP(B291,'✈ Flights (2)'!$A$2:$R$501,16,FALSE)</f>
        <v>132</v>
      </c>
      <c r="N291" t="str">
        <f>VLOOKUP(B291,'✈ Flights (2)'!$A$2:$R$501,14,FALSE)</f>
        <v>First Class</v>
      </c>
      <c r="O291">
        <f>VLOOKUP(B291,'✈ Flights (2)'!$A$2:$P$502,12,FALSE)</f>
        <v>850</v>
      </c>
    </row>
    <row r="292" spans="1:15">
      <c r="A292" s="33" t="s">
        <v>1795</v>
      </c>
      <c r="B292" s="33" t="s">
        <v>948</v>
      </c>
      <c r="C292" s="33" t="s">
        <v>184</v>
      </c>
      <c r="D292" s="33" t="str">
        <f>VLOOKUP(B292,'✈ Flights (2)'!$A$2:$P$502,3,FALSE)</f>
        <v>United</v>
      </c>
      <c r="E292" s="33">
        <v>72589.14</v>
      </c>
      <c r="F292" s="33">
        <f t="shared" si="4"/>
        <v>31.781584938704</v>
      </c>
      <c r="G292" s="33">
        <v>1563.47</v>
      </c>
      <c r="H292" s="33">
        <v>2574.11</v>
      </c>
      <c r="I292" s="33">
        <v>9089.4699999999993</v>
      </c>
      <c r="J292" s="33">
        <v>62489.03</v>
      </c>
      <c r="K292" s="33" t="s">
        <v>1502</v>
      </c>
      <c r="L292" s="40">
        <f>VLOOKUP(B292,'✈ Flights (2)'!$A$2:$R$501,13,FALSE)</f>
        <v>930.63</v>
      </c>
      <c r="M292">
        <f>VLOOKUP(B292,'✈ Flights (2)'!$A$2:$R$501,16,FALSE)</f>
        <v>78</v>
      </c>
      <c r="N292" t="str">
        <f>VLOOKUP(B292,'✈ Flights (2)'!$A$2:$R$501,14,FALSE)</f>
        <v>Business</v>
      </c>
      <c r="O292">
        <f>VLOOKUP(B292,'✈ Flights (2)'!$A$2:$P$502,12,FALSE)</f>
        <v>2284</v>
      </c>
    </row>
    <row r="293" spans="1:15">
      <c r="A293" s="38" t="s">
        <v>1796</v>
      </c>
      <c r="B293" s="38" t="s">
        <v>951</v>
      </c>
      <c r="C293" s="38" t="s">
        <v>96</v>
      </c>
      <c r="D293" s="33" t="str">
        <f>VLOOKUP(B293,'✈ Flights (2)'!$A$2:$P$502,3,FALSE)</f>
        <v>United</v>
      </c>
      <c r="E293" s="38">
        <v>17087.84</v>
      </c>
      <c r="F293" s="33">
        <f t="shared" si="4"/>
        <v>6.4997489539749003</v>
      </c>
      <c r="G293" s="38">
        <v>4244.08</v>
      </c>
      <c r="H293" s="38">
        <v>5653.01</v>
      </c>
      <c r="I293" s="38">
        <v>39068</v>
      </c>
      <c r="J293" s="38">
        <v>-23389.09</v>
      </c>
      <c r="K293" s="38" t="s">
        <v>1511</v>
      </c>
      <c r="L293" s="40">
        <f>VLOOKUP(B293,'✈ Flights (2)'!$A$2:$R$501,13,FALSE)</f>
        <v>112.42</v>
      </c>
      <c r="M293">
        <f>VLOOKUP(B293,'✈ Flights (2)'!$A$2:$R$501,16,FALSE)</f>
        <v>152</v>
      </c>
      <c r="N293" t="str">
        <f>VLOOKUP(B293,'✈ Flights (2)'!$A$2:$R$501,14,FALSE)</f>
        <v>Economy</v>
      </c>
      <c r="O293">
        <f>VLOOKUP(B293,'✈ Flights (2)'!$A$2:$P$502,12,FALSE)</f>
        <v>2629</v>
      </c>
    </row>
    <row r="294" spans="1:15">
      <c r="A294" s="33" t="s">
        <v>1797</v>
      </c>
      <c r="B294" s="33" t="s">
        <v>954</v>
      </c>
      <c r="C294" s="33" t="s">
        <v>57</v>
      </c>
      <c r="D294" s="33" t="str">
        <f>VLOOKUP(B294,'✈ Flights (2)'!$A$2:$P$502,3,FALSE)</f>
        <v>Frontier</v>
      </c>
      <c r="E294" s="33">
        <v>81188.73</v>
      </c>
      <c r="F294" s="33">
        <f t="shared" si="4"/>
        <v>44.9052710176991</v>
      </c>
      <c r="G294" s="33">
        <v>7446.78</v>
      </c>
      <c r="H294" s="33">
        <v>13400.17</v>
      </c>
      <c r="I294" s="33">
        <v>14902.39</v>
      </c>
      <c r="J294" s="33">
        <v>60332.95</v>
      </c>
      <c r="K294" s="33" t="s">
        <v>1511</v>
      </c>
      <c r="L294" s="40">
        <f>VLOOKUP(B294,'✈ Flights (2)'!$A$2:$R$501,13,FALSE)</f>
        <v>1002.33</v>
      </c>
      <c r="M294">
        <f>VLOOKUP(B294,'✈ Flights (2)'!$A$2:$R$501,16,FALSE)</f>
        <v>81</v>
      </c>
      <c r="N294" t="str">
        <f>VLOOKUP(B294,'✈ Flights (2)'!$A$2:$R$501,14,FALSE)</f>
        <v>First Class</v>
      </c>
      <c r="O294">
        <f>VLOOKUP(B294,'✈ Flights (2)'!$A$2:$P$502,12,FALSE)</f>
        <v>1808</v>
      </c>
    </row>
    <row r="295" spans="1:15">
      <c r="A295" s="38" t="s">
        <v>1798</v>
      </c>
      <c r="B295" s="38" t="s">
        <v>957</v>
      </c>
      <c r="C295" s="38" t="s">
        <v>49</v>
      </c>
      <c r="D295" s="33" t="str">
        <f>VLOOKUP(B295,'✈ Flights (2)'!$A$2:$P$502,3,FALSE)</f>
        <v>Frontier</v>
      </c>
      <c r="E295" s="38">
        <v>85854.86</v>
      </c>
      <c r="F295" s="33">
        <f t="shared" si="4"/>
        <v>33.563275996872598</v>
      </c>
      <c r="G295" s="38">
        <v>4377.3</v>
      </c>
      <c r="H295" s="38">
        <v>4144.79</v>
      </c>
      <c r="I295" s="38">
        <v>20252.14</v>
      </c>
      <c r="J295" s="38">
        <v>65835.23</v>
      </c>
      <c r="K295" s="38" t="s">
        <v>1509</v>
      </c>
      <c r="L295" s="40">
        <f>VLOOKUP(B295,'✈ Flights (2)'!$A$2:$R$501,13,FALSE)</f>
        <v>471.73</v>
      </c>
      <c r="M295">
        <f>VLOOKUP(B295,'✈ Flights (2)'!$A$2:$R$501,16,FALSE)</f>
        <v>182</v>
      </c>
      <c r="N295" t="str">
        <f>VLOOKUP(B295,'✈ Flights (2)'!$A$2:$R$501,14,FALSE)</f>
        <v>Economy</v>
      </c>
      <c r="O295">
        <f>VLOOKUP(B295,'✈ Flights (2)'!$A$2:$P$502,12,FALSE)</f>
        <v>2558</v>
      </c>
    </row>
    <row r="296" spans="1:15">
      <c r="A296" s="33" t="s">
        <v>1799</v>
      </c>
      <c r="B296" s="33" t="s">
        <v>958</v>
      </c>
      <c r="C296" s="33" t="s">
        <v>67</v>
      </c>
      <c r="D296" s="33" t="str">
        <f>VLOOKUP(B296,'✈ Flights (2)'!$A$2:$P$502,3,FALSE)</f>
        <v>Delta</v>
      </c>
      <c r="E296" s="33">
        <v>44173.29</v>
      </c>
      <c r="F296" s="33">
        <f t="shared" si="4"/>
        <v>14.968922399186701</v>
      </c>
      <c r="G296" s="33">
        <v>6227.57</v>
      </c>
      <c r="H296" s="33">
        <v>13089.44</v>
      </c>
      <c r="I296" s="33">
        <v>10294.27</v>
      </c>
      <c r="J296" s="33">
        <v>27017.15</v>
      </c>
      <c r="K296" s="33" t="s">
        <v>1509</v>
      </c>
      <c r="L296" s="40">
        <f>VLOOKUP(B296,'✈ Flights (2)'!$A$2:$R$501,13,FALSE)</f>
        <v>332.13</v>
      </c>
      <c r="M296">
        <f>VLOOKUP(B296,'✈ Flights (2)'!$A$2:$R$501,16,FALSE)</f>
        <v>133</v>
      </c>
      <c r="N296" t="str">
        <f>VLOOKUP(B296,'✈ Flights (2)'!$A$2:$R$501,14,FALSE)</f>
        <v>Economy</v>
      </c>
      <c r="O296">
        <f>VLOOKUP(B296,'✈ Flights (2)'!$A$2:$P$502,12,FALSE)</f>
        <v>2951</v>
      </c>
    </row>
    <row r="297" spans="1:15">
      <c r="A297" s="38" t="s">
        <v>1800</v>
      </c>
      <c r="B297" s="38" t="s">
        <v>961</v>
      </c>
      <c r="C297" s="38" t="s">
        <v>80</v>
      </c>
      <c r="D297" s="33" t="str">
        <f>VLOOKUP(B297,'✈ Flights (2)'!$A$2:$P$502,3,FALSE)</f>
        <v>Delta</v>
      </c>
      <c r="E297" s="38">
        <v>68107.72</v>
      </c>
      <c r="F297" s="33">
        <f t="shared" si="4"/>
        <v>203.915329341317</v>
      </c>
      <c r="G297" s="38">
        <v>899.17</v>
      </c>
      <c r="H297" s="38">
        <v>4988.1899999999996</v>
      </c>
      <c r="I297" s="38">
        <v>10201.73</v>
      </c>
      <c r="J297" s="38">
        <v>53816.97</v>
      </c>
      <c r="K297" s="38" t="s">
        <v>1504</v>
      </c>
      <c r="L297" s="40">
        <f>VLOOKUP(B297,'✈ Flights (2)'!$A$2:$R$501,13,FALSE)</f>
        <v>330.62</v>
      </c>
      <c r="M297">
        <f>VLOOKUP(B297,'✈ Flights (2)'!$A$2:$R$501,16,FALSE)</f>
        <v>206</v>
      </c>
      <c r="N297" t="str">
        <f>VLOOKUP(B297,'✈ Flights (2)'!$A$2:$R$501,14,FALSE)</f>
        <v>First Class</v>
      </c>
      <c r="O297">
        <f>VLOOKUP(B297,'✈ Flights (2)'!$A$2:$P$502,12,FALSE)</f>
        <v>334</v>
      </c>
    </row>
    <row r="298" spans="1:15">
      <c r="A298" s="33" t="s">
        <v>1801</v>
      </c>
      <c r="B298" s="33" t="s">
        <v>963</v>
      </c>
      <c r="C298" s="33" t="s">
        <v>67</v>
      </c>
      <c r="D298" s="33" t="str">
        <f>VLOOKUP(B298,'✈ Flights (2)'!$A$2:$P$502,3,FALSE)</f>
        <v>Spirit</v>
      </c>
      <c r="E298" s="33">
        <v>105855.2</v>
      </c>
      <c r="F298" s="33">
        <f t="shared" si="4"/>
        <v>47.8766169154229</v>
      </c>
      <c r="G298" s="33">
        <v>4026.86</v>
      </c>
      <c r="H298" s="33">
        <v>8072.73</v>
      </c>
      <c r="I298" s="33">
        <v>10724.42</v>
      </c>
      <c r="J298" s="33">
        <v>91084.91</v>
      </c>
      <c r="K298" s="33" t="s">
        <v>1504</v>
      </c>
      <c r="L298" s="40">
        <f>VLOOKUP(B298,'✈ Flights (2)'!$A$2:$R$501,13,FALSE)</f>
        <v>418.4</v>
      </c>
      <c r="M298">
        <f>VLOOKUP(B298,'✈ Flights (2)'!$A$2:$R$501,16,FALSE)</f>
        <v>253</v>
      </c>
      <c r="N298" t="str">
        <f>VLOOKUP(B298,'✈ Flights (2)'!$A$2:$R$501,14,FALSE)</f>
        <v>First Class</v>
      </c>
      <c r="O298">
        <f>VLOOKUP(B298,'✈ Flights (2)'!$A$2:$P$502,12,FALSE)</f>
        <v>2211</v>
      </c>
    </row>
    <row r="299" spans="1:15">
      <c r="A299" s="38" t="s">
        <v>1802</v>
      </c>
      <c r="B299" s="38" t="s">
        <v>965</v>
      </c>
      <c r="C299" s="38" t="s">
        <v>33</v>
      </c>
      <c r="D299" s="33" t="str">
        <f>VLOOKUP(B299,'✈ Flights (2)'!$A$2:$P$502,3,FALSE)</f>
        <v>Alaska</v>
      </c>
      <c r="E299" s="38">
        <v>60733.120000000003</v>
      </c>
      <c r="F299" s="33">
        <f t="shared" si="4"/>
        <v>108.258680926916</v>
      </c>
      <c r="G299" s="38">
        <v>7964.01</v>
      </c>
      <c r="H299" s="38">
        <v>2530.29</v>
      </c>
      <c r="I299" s="38">
        <v>37452.22</v>
      </c>
      <c r="J299" s="38">
        <v>28714.62</v>
      </c>
      <c r="K299" s="38" t="s">
        <v>1511</v>
      </c>
      <c r="L299" s="40">
        <f>VLOOKUP(B299,'✈ Flights (2)'!$A$2:$R$501,13,FALSE)</f>
        <v>456.64</v>
      </c>
      <c r="M299">
        <f>VLOOKUP(B299,'✈ Flights (2)'!$A$2:$R$501,16,FALSE)</f>
        <v>133</v>
      </c>
      <c r="N299" t="str">
        <f>VLOOKUP(B299,'✈ Flights (2)'!$A$2:$R$501,14,FALSE)</f>
        <v>Business</v>
      </c>
      <c r="O299">
        <f>VLOOKUP(B299,'✈ Flights (2)'!$A$2:$P$502,12,FALSE)</f>
        <v>561</v>
      </c>
    </row>
    <row r="300" spans="1:15">
      <c r="A300" s="33" t="s">
        <v>1803</v>
      </c>
      <c r="B300" s="33" t="s">
        <v>968</v>
      </c>
      <c r="C300" s="33" t="s">
        <v>102</v>
      </c>
      <c r="D300" s="33" t="str">
        <f>VLOOKUP(B300,'✈ Flights (2)'!$A$2:$P$502,3,FALSE)</f>
        <v>Southwest</v>
      </c>
      <c r="E300" s="33">
        <v>43448.87</v>
      </c>
      <c r="F300" s="33">
        <f t="shared" si="4"/>
        <v>22.2244859335038</v>
      </c>
      <c r="G300" s="33">
        <v>7916.14</v>
      </c>
      <c r="H300" s="33">
        <v>7950.88</v>
      </c>
      <c r="I300" s="33">
        <v>24629.91</v>
      </c>
      <c r="J300" s="33">
        <v>18784.22</v>
      </c>
      <c r="K300" s="33" t="s">
        <v>1504</v>
      </c>
      <c r="L300" s="40">
        <f>VLOOKUP(B300,'✈ Flights (2)'!$A$2:$R$501,13,FALSE)</f>
        <v>819.79</v>
      </c>
      <c r="M300">
        <f>VLOOKUP(B300,'✈ Flights (2)'!$A$2:$R$501,16,FALSE)</f>
        <v>53</v>
      </c>
      <c r="N300" t="str">
        <f>VLOOKUP(B300,'✈ Flights (2)'!$A$2:$R$501,14,FALSE)</f>
        <v>Unknown</v>
      </c>
      <c r="O300">
        <f>VLOOKUP(B300,'✈ Flights (2)'!$A$2:$P$502,12,FALSE)</f>
        <v>1955</v>
      </c>
    </row>
    <row r="301" spans="1:15">
      <c r="A301" s="38" t="s">
        <v>1804</v>
      </c>
      <c r="B301" s="38" t="s">
        <v>971</v>
      </c>
      <c r="C301" s="38" t="s">
        <v>67</v>
      </c>
      <c r="D301" s="33" t="str">
        <f>VLOOKUP(B301,'✈ Flights (2)'!$A$2:$P$502,3,FALSE)</f>
        <v>Spirit</v>
      </c>
      <c r="E301" s="38">
        <v>230594.08</v>
      </c>
      <c r="F301" s="33">
        <f t="shared" si="4"/>
        <v>87.247097994702997</v>
      </c>
      <c r="G301" s="38">
        <v>6843.79</v>
      </c>
      <c r="H301" s="38">
        <v>3607.51</v>
      </c>
      <c r="I301" s="38">
        <v>35340.78</v>
      </c>
      <c r="J301" s="38">
        <v>198489.58</v>
      </c>
      <c r="K301" s="38" t="s">
        <v>1504</v>
      </c>
      <c r="L301" s="40">
        <f>VLOOKUP(B301,'✈ Flights (2)'!$A$2:$R$501,13,FALSE)</f>
        <v>993.94</v>
      </c>
      <c r="M301">
        <f>VLOOKUP(B301,'✈ Flights (2)'!$A$2:$R$501,16,FALSE)</f>
        <v>232</v>
      </c>
      <c r="N301" t="str">
        <f>VLOOKUP(B301,'✈ Flights (2)'!$A$2:$R$501,14,FALSE)</f>
        <v>Business</v>
      </c>
      <c r="O301">
        <f>VLOOKUP(B301,'✈ Flights (2)'!$A$2:$P$502,12,FALSE)</f>
        <v>2643</v>
      </c>
    </row>
    <row r="302" spans="1:15">
      <c r="A302" s="33" t="s">
        <v>1805</v>
      </c>
      <c r="B302" s="33" t="s">
        <v>974</v>
      </c>
      <c r="C302" s="33" t="s">
        <v>65</v>
      </c>
      <c r="D302" s="33" t="str">
        <f>VLOOKUP(B302,'✈ Flights (2)'!$A$2:$P$502,3,FALSE)</f>
        <v>Frontier</v>
      </c>
      <c r="E302" s="33">
        <v>23195.34</v>
      </c>
      <c r="F302" s="33">
        <f t="shared" si="4"/>
        <v>8.9695823665893304</v>
      </c>
      <c r="G302" s="33">
        <v>2028</v>
      </c>
      <c r="H302" s="33">
        <v>12854.4</v>
      </c>
      <c r="I302" s="33">
        <v>14944.08</v>
      </c>
      <c r="J302" s="33">
        <v>-2575.14</v>
      </c>
      <c r="K302" s="33" t="s">
        <v>1511</v>
      </c>
      <c r="L302" s="40">
        <f>VLOOKUP(B302,'✈ Flights (2)'!$A$2:$R$501,13,FALSE)</f>
        <v>282.87</v>
      </c>
      <c r="M302">
        <f>VLOOKUP(B302,'✈ Flights (2)'!$A$2:$R$501,16,FALSE)</f>
        <v>82</v>
      </c>
      <c r="N302" t="str">
        <f>VLOOKUP(B302,'✈ Flights (2)'!$A$2:$R$501,14,FALSE)</f>
        <v>Economy</v>
      </c>
      <c r="O302">
        <f>VLOOKUP(B302,'✈ Flights (2)'!$A$2:$P$502,12,FALSE)</f>
        <v>2586</v>
      </c>
    </row>
    <row r="303" spans="1:15">
      <c r="A303" s="38" t="s">
        <v>1806</v>
      </c>
      <c r="B303" s="38" t="s">
        <v>976</v>
      </c>
      <c r="C303" s="38" t="s">
        <v>55</v>
      </c>
      <c r="D303" s="33" t="str">
        <f>VLOOKUP(B303,'✈ Flights (2)'!$A$2:$P$502,3,FALSE)</f>
        <v>Alaska</v>
      </c>
      <c r="E303" s="38">
        <v>63907.88</v>
      </c>
      <c r="F303" s="33">
        <f t="shared" si="4"/>
        <v>41.045523442517698</v>
      </c>
      <c r="G303" s="38">
        <v>4724.3599999999997</v>
      </c>
      <c r="H303" s="38">
        <v>4761.1499999999996</v>
      </c>
      <c r="I303" s="38">
        <v>28209.82</v>
      </c>
      <c r="J303" s="38">
        <v>35661.269999999997</v>
      </c>
      <c r="K303" s="38" t="s">
        <v>1504</v>
      </c>
      <c r="L303" s="40">
        <f>VLOOKUP(B303,'✈ Flights (2)'!$A$2:$R$501,13,FALSE)</f>
        <v>550.92999999999995</v>
      </c>
      <c r="M303">
        <f>VLOOKUP(B303,'✈ Flights (2)'!$A$2:$R$501,16,FALSE)</f>
        <v>116</v>
      </c>
      <c r="N303" t="str">
        <f>VLOOKUP(B303,'✈ Flights (2)'!$A$2:$R$501,14,FALSE)</f>
        <v>Business</v>
      </c>
      <c r="O303">
        <f>VLOOKUP(B303,'✈ Flights (2)'!$A$2:$P$502,12,FALSE)</f>
        <v>1557</v>
      </c>
    </row>
    <row r="304" spans="1:15">
      <c r="A304" s="33" t="s">
        <v>1807</v>
      </c>
      <c r="B304" s="33" t="s">
        <v>979</v>
      </c>
      <c r="C304" s="33" t="s">
        <v>80</v>
      </c>
      <c r="D304" s="33" t="str">
        <f>VLOOKUP(B304,'✈ Flights (2)'!$A$2:$P$502,3,FALSE)</f>
        <v>United</v>
      </c>
      <c r="E304" s="33">
        <v>118498.05</v>
      </c>
      <c r="F304" s="33">
        <f t="shared" si="4"/>
        <v>108.118658759124</v>
      </c>
      <c r="G304" s="33">
        <v>4445.12</v>
      </c>
      <c r="H304" s="33">
        <v>7413.45</v>
      </c>
      <c r="I304" s="33">
        <v>24977.57</v>
      </c>
      <c r="J304" s="33">
        <v>90552.15</v>
      </c>
      <c r="K304" s="33" t="s">
        <v>1504</v>
      </c>
      <c r="L304" s="40">
        <f>VLOOKUP(B304,'✈ Flights (2)'!$A$2:$R$501,13,FALSE)</f>
        <v>640.53</v>
      </c>
      <c r="M304">
        <f>VLOOKUP(B304,'✈ Flights (2)'!$A$2:$R$501,16,FALSE)</f>
        <v>185</v>
      </c>
      <c r="N304" t="str">
        <f>VLOOKUP(B304,'✈ Flights (2)'!$A$2:$R$501,14,FALSE)</f>
        <v>First Class</v>
      </c>
      <c r="O304">
        <f>VLOOKUP(B304,'✈ Flights (2)'!$A$2:$P$502,12,FALSE)</f>
        <v>1096</v>
      </c>
    </row>
    <row r="305" spans="1:15">
      <c r="A305" s="38" t="s">
        <v>1808</v>
      </c>
      <c r="B305" s="38" t="s">
        <v>982</v>
      </c>
      <c r="C305" s="38" t="s">
        <v>102</v>
      </c>
      <c r="D305" s="33" t="str">
        <f>VLOOKUP(B305,'✈ Flights (2)'!$A$2:$P$502,3,FALSE)</f>
        <v>American</v>
      </c>
      <c r="E305" s="38">
        <v>14424.6</v>
      </c>
      <c r="F305" s="33">
        <f t="shared" si="4"/>
        <v>6.6350505979760799</v>
      </c>
      <c r="G305" s="38">
        <v>2346.1799999999998</v>
      </c>
      <c r="H305" s="38">
        <v>3225.97</v>
      </c>
      <c r="I305" s="38">
        <v>22433.88</v>
      </c>
      <c r="J305" s="38">
        <v>-8889.07</v>
      </c>
      <c r="K305" s="38" t="s">
        <v>1511</v>
      </c>
      <c r="L305" s="40">
        <f>VLOOKUP(B305,'✈ Flights (2)'!$A$2:$R$501,13,FALSE)</f>
        <v>240.41</v>
      </c>
      <c r="M305">
        <f>VLOOKUP(B305,'✈ Flights (2)'!$A$2:$R$501,16,FALSE)</f>
        <v>60</v>
      </c>
      <c r="N305" t="str">
        <f>VLOOKUP(B305,'✈ Flights (2)'!$A$2:$R$501,14,FALSE)</f>
        <v>First Class</v>
      </c>
      <c r="O305">
        <f>VLOOKUP(B305,'✈ Flights (2)'!$A$2:$P$502,12,FALSE)</f>
        <v>2174</v>
      </c>
    </row>
    <row r="306" spans="1:15">
      <c r="A306" s="33" t="s">
        <v>1809</v>
      </c>
      <c r="B306" s="33" t="s">
        <v>983</v>
      </c>
      <c r="C306" s="33" t="s">
        <v>57</v>
      </c>
      <c r="D306" s="33" t="str">
        <f>VLOOKUP(B306,'✈ Flights (2)'!$A$2:$P$502,3,FALSE)</f>
        <v>Alaska</v>
      </c>
      <c r="E306" s="33">
        <v>52230.96</v>
      </c>
      <c r="F306" s="33">
        <f t="shared" si="4"/>
        <v>52.758545454545498</v>
      </c>
      <c r="G306" s="33">
        <v>694.72</v>
      </c>
      <c r="H306" s="33">
        <v>10848.31</v>
      </c>
      <c r="I306" s="33">
        <v>28845.93</v>
      </c>
      <c r="J306" s="33">
        <v>13231.44</v>
      </c>
      <c r="K306" s="33" t="s">
        <v>1509</v>
      </c>
      <c r="L306" s="40">
        <f>VLOOKUP(B306,'✈ Flights (2)'!$A$2:$R$501,13,FALSE)</f>
        <v>725.43</v>
      </c>
      <c r="M306">
        <f>VLOOKUP(B306,'✈ Flights (2)'!$A$2:$R$501,16,FALSE)</f>
        <v>72</v>
      </c>
      <c r="N306" t="str">
        <f>VLOOKUP(B306,'✈ Flights (2)'!$A$2:$R$501,14,FALSE)</f>
        <v>Economy</v>
      </c>
      <c r="O306">
        <f>VLOOKUP(B306,'✈ Flights (2)'!$A$2:$P$502,12,FALSE)</f>
        <v>990</v>
      </c>
    </row>
    <row r="307" spans="1:15">
      <c r="A307" s="38" t="s">
        <v>1810</v>
      </c>
      <c r="B307" s="38" t="s">
        <v>985</v>
      </c>
      <c r="C307" s="38" t="s">
        <v>67</v>
      </c>
      <c r="D307" s="33" t="str">
        <f>VLOOKUP(B307,'✈ Flights (2)'!$A$2:$P$502,3,FALSE)</f>
        <v>Spirit</v>
      </c>
      <c r="E307" s="38">
        <v>35925.519999999997</v>
      </c>
      <c r="F307" s="33">
        <f t="shared" si="4"/>
        <v>79.131101321585902</v>
      </c>
      <c r="G307" s="38">
        <v>3301.69</v>
      </c>
      <c r="H307" s="38">
        <v>3378.91</v>
      </c>
      <c r="I307" s="38">
        <v>37520.199999999997</v>
      </c>
      <c r="J307" s="38">
        <v>-1671.9</v>
      </c>
      <c r="K307" s="38" t="s">
        <v>1511</v>
      </c>
      <c r="L307" s="40">
        <f>VLOOKUP(B307,'✈ Flights (2)'!$A$2:$R$501,13,FALSE)</f>
        <v>677.84</v>
      </c>
      <c r="M307">
        <f>VLOOKUP(B307,'✈ Flights (2)'!$A$2:$R$501,16,FALSE)</f>
        <v>53</v>
      </c>
      <c r="N307" t="str">
        <f>VLOOKUP(B307,'✈ Flights (2)'!$A$2:$R$501,14,FALSE)</f>
        <v>First Class</v>
      </c>
      <c r="O307">
        <f>VLOOKUP(B307,'✈ Flights (2)'!$A$2:$P$502,12,FALSE)</f>
        <v>454</v>
      </c>
    </row>
    <row r="308" spans="1:15">
      <c r="A308" s="33" t="s">
        <v>1811</v>
      </c>
      <c r="B308" s="33" t="s">
        <v>987</v>
      </c>
      <c r="C308" s="33" t="s">
        <v>175</v>
      </c>
      <c r="D308" s="33" t="str">
        <f>VLOOKUP(B308,'✈ Flights (2)'!$A$2:$P$502,3,FALSE)</f>
        <v>Delta</v>
      </c>
      <c r="E308" s="33">
        <v>24963.84</v>
      </c>
      <c r="F308" s="33">
        <f t="shared" si="4"/>
        <v>30.149565217391299</v>
      </c>
      <c r="G308" s="33">
        <v>1653.32</v>
      </c>
      <c r="H308" s="33">
        <v>12799.09</v>
      </c>
      <c r="I308" s="33">
        <v>7837.21</v>
      </c>
      <c r="J308" s="33">
        <v>5980.86</v>
      </c>
      <c r="K308" s="33" t="s">
        <v>1509</v>
      </c>
      <c r="L308" s="40">
        <f>VLOOKUP(B308,'✈ Flights (2)'!$A$2:$R$501,13,FALSE)</f>
        <v>195.03</v>
      </c>
      <c r="M308">
        <f>VLOOKUP(B308,'✈ Flights (2)'!$A$2:$R$501,16,FALSE)</f>
        <v>128</v>
      </c>
      <c r="N308" t="str">
        <f>VLOOKUP(B308,'✈ Flights (2)'!$A$2:$R$501,14,FALSE)</f>
        <v>First Class</v>
      </c>
      <c r="O308">
        <f>VLOOKUP(B308,'✈ Flights (2)'!$A$2:$P$502,12,FALSE)</f>
        <v>828</v>
      </c>
    </row>
    <row r="309" spans="1:15">
      <c r="A309" s="38" t="s">
        <v>1812</v>
      </c>
      <c r="B309" s="38" t="s">
        <v>990</v>
      </c>
      <c r="C309" s="38" t="s">
        <v>96</v>
      </c>
      <c r="D309" s="33" t="str">
        <f>VLOOKUP(B309,'✈ Flights (2)'!$A$2:$P$502,3,FALSE)</f>
        <v>Jetblue</v>
      </c>
      <c r="E309" s="38">
        <v>45458.28</v>
      </c>
      <c r="F309" s="33">
        <f t="shared" si="4"/>
        <v>53.606462264150899</v>
      </c>
      <c r="G309" s="38">
        <v>3905.42</v>
      </c>
      <c r="H309" s="38">
        <v>9724.66</v>
      </c>
      <c r="I309" s="38">
        <v>38432.050000000003</v>
      </c>
      <c r="J309" s="38">
        <v>1206.99</v>
      </c>
      <c r="K309" s="38" t="s">
        <v>1504</v>
      </c>
      <c r="L309" s="40">
        <f>VLOOKUP(B309,'✈ Flights (2)'!$A$2:$R$501,13,FALSE)</f>
        <v>463.86</v>
      </c>
      <c r="M309">
        <f>VLOOKUP(B309,'✈ Flights (2)'!$A$2:$R$501,16,FALSE)</f>
        <v>98</v>
      </c>
      <c r="N309" t="str">
        <f>VLOOKUP(B309,'✈ Flights (2)'!$A$2:$R$501,14,FALSE)</f>
        <v>Business</v>
      </c>
      <c r="O309">
        <f>VLOOKUP(B309,'✈ Flights (2)'!$A$2:$P$502,12,FALSE)</f>
        <v>848</v>
      </c>
    </row>
    <row r="310" spans="1:15">
      <c r="A310" s="33" t="s">
        <v>1813</v>
      </c>
      <c r="B310" s="33" t="s">
        <v>993</v>
      </c>
      <c r="C310" s="33" t="s">
        <v>24</v>
      </c>
      <c r="D310" s="33" t="str">
        <f>VLOOKUP(B310,'✈ Flights (2)'!$A$2:$P$502,3,FALSE)</f>
        <v>Delta</v>
      </c>
      <c r="E310" s="33">
        <v>71084.160000000003</v>
      </c>
      <c r="F310" s="33">
        <f t="shared" si="4"/>
        <v>182.735629820051</v>
      </c>
      <c r="G310" s="33">
        <v>2970.7</v>
      </c>
      <c r="H310" s="33">
        <v>10090.74</v>
      </c>
      <c r="I310" s="33">
        <v>6534.64</v>
      </c>
      <c r="J310" s="33">
        <v>57429.48</v>
      </c>
      <c r="K310" s="33" t="s">
        <v>1509</v>
      </c>
      <c r="L310" s="40">
        <f>VLOOKUP(B310,'✈ Flights (2)'!$A$2:$R$501,13,FALSE)</f>
        <v>740.46</v>
      </c>
      <c r="M310">
        <f>VLOOKUP(B310,'✈ Flights (2)'!$A$2:$R$501,16,FALSE)</f>
        <v>96</v>
      </c>
      <c r="N310" t="str">
        <f>VLOOKUP(B310,'✈ Flights (2)'!$A$2:$R$501,14,FALSE)</f>
        <v>Unknown</v>
      </c>
      <c r="O310">
        <f>VLOOKUP(B310,'✈ Flights (2)'!$A$2:$P$502,12,FALSE)</f>
        <v>389</v>
      </c>
    </row>
    <row r="311" spans="1:15">
      <c r="A311" s="38" t="s">
        <v>1814</v>
      </c>
      <c r="B311" s="38" t="s">
        <v>996</v>
      </c>
      <c r="C311" s="38" t="s">
        <v>33</v>
      </c>
      <c r="D311" s="33" t="str">
        <f>VLOOKUP(B311,'✈ Flights (2)'!$A$2:$P$502,3,FALSE)</f>
        <v>Jetblue</v>
      </c>
      <c r="E311" s="38">
        <v>76328</v>
      </c>
      <c r="F311" s="33">
        <f t="shared" si="4"/>
        <v>102.867924528302</v>
      </c>
      <c r="G311" s="38">
        <v>2936.87</v>
      </c>
      <c r="H311" s="38">
        <v>11546.15</v>
      </c>
      <c r="I311" s="38">
        <v>30604.080000000002</v>
      </c>
      <c r="J311" s="38">
        <v>37114.639999999999</v>
      </c>
      <c r="K311" s="38" t="s">
        <v>1502</v>
      </c>
      <c r="L311" s="40">
        <f>VLOOKUP(B311,'✈ Flights (2)'!$A$2:$R$501,13,FALSE)</f>
        <v>812</v>
      </c>
      <c r="M311">
        <f>VLOOKUP(B311,'✈ Flights (2)'!$A$2:$R$501,16,FALSE)</f>
        <v>94</v>
      </c>
      <c r="N311" t="str">
        <f>VLOOKUP(B311,'✈ Flights (2)'!$A$2:$R$501,14,FALSE)</f>
        <v>Economy</v>
      </c>
      <c r="O311">
        <f>VLOOKUP(B311,'✈ Flights (2)'!$A$2:$P$502,12,FALSE)</f>
        <v>742</v>
      </c>
    </row>
    <row r="312" spans="1:15">
      <c r="A312" s="33" t="s">
        <v>1815</v>
      </c>
      <c r="B312" s="33" t="s">
        <v>998</v>
      </c>
      <c r="C312" s="33" t="s">
        <v>198</v>
      </c>
      <c r="D312" s="33" t="str">
        <f>VLOOKUP(B312,'✈ Flights (2)'!$A$2:$P$502,3,FALSE)</f>
        <v>Spirit</v>
      </c>
      <c r="E312" s="33">
        <v>16127.8</v>
      </c>
      <c r="F312" s="33">
        <f t="shared" si="4"/>
        <v>17.3978425026969</v>
      </c>
      <c r="G312" s="33">
        <v>2085.25</v>
      </c>
      <c r="H312" s="33">
        <v>10367.370000000001</v>
      </c>
      <c r="I312" s="33">
        <v>6703.88</v>
      </c>
      <c r="J312" s="33">
        <v>1141.8</v>
      </c>
      <c r="K312" s="33" t="s">
        <v>1511</v>
      </c>
      <c r="L312" s="40">
        <f>VLOOKUP(B312,'✈ Flights (2)'!$A$2:$R$501,13,FALSE)</f>
        <v>310.14999999999998</v>
      </c>
      <c r="M312">
        <f>VLOOKUP(B312,'✈ Flights (2)'!$A$2:$R$501,16,FALSE)</f>
        <v>52</v>
      </c>
      <c r="N312" t="str">
        <f>VLOOKUP(B312,'✈ Flights (2)'!$A$2:$R$501,14,FALSE)</f>
        <v>First Class</v>
      </c>
      <c r="O312">
        <f>VLOOKUP(B312,'✈ Flights (2)'!$A$2:$P$502,12,FALSE)</f>
        <v>927</v>
      </c>
    </row>
    <row r="313" spans="1:15">
      <c r="A313" s="38" t="s">
        <v>1816</v>
      </c>
      <c r="B313" s="38" t="s">
        <v>1001</v>
      </c>
      <c r="C313" s="38" t="s">
        <v>49</v>
      </c>
      <c r="D313" s="33" t="str">
        <f>VLOOKUP(B313,'✈ Flights (2)'!$A$2:$P$502,3,FALSE)</f>
        <v>Jetblue</v>
      </c>
      <c r="E313" s="38">
        <v>16313.22</v>
      </c>
      <c r="F313" s="33">
        <f t="shared" si="4"/>
        <v>5.7643886925795096</v>
      </c>
      <c r="G313" s="38">
        <v>6486.1</v>
      </c>
      <c r="H313" s="38">
        <v>9113.0300000000007</v>
      </c>
      <c r="I313" s="38">
        <v>31033</v>
      </c>
      <c r="J313" s="38">
        <v>-17346.71</v>
      </c>
      <c r="K313" s="38" t="s">
        <v>1509</v>
      </c>
      <c r="L313" s="40">
        <f>VLOOKUP(B313,'✈ Flights (2)'!$A$2:$R$501,13,FALSE)</f>
        <v>211.86</v>
      </c>
      <c r="M313">
        <f>VLOOKUP(B313,'✈ Flights (2)'!$A$2:$R$501,16,FALSE)</f>
        <v>77</v>
      </c>
      <c r="N313" t="str">
        <f>VLOOKUP(B313,'✈ Flights (2)'!$A$2:$R$501,14,FALSE)</f>
        <v>Economy</v>
      </c>
      <c r="O313">
        <f>VLOOKUP(B313,'✈ Flights (2)'!$A$2:$P$502,12,FALSE)</f>
        <v>2830</v>
      </c>
    </row>
    <row r="314" spans="1:15">
      <c r="A314" s="33" t="s">
        <v>1817</v>
      </c>
      <c r="B314" s="33" t="s">
        <v>1002</v>
      </c>
      <c r="C314" s="33" t="s">
        <v>117</v>
      </c>
      <c r="D314" s="33" t="str">
        <f>VLOOKUP(B314,'✈ Flights (2)'!$A$2:$P$502,3,FALSE)</f>
        <v>Jetblue</v>
      </c>
      <c r="E314" s="33">
        <v>19364.28</v>
      </c>
      <c r="F314" s="33">
        <f t="shared" si="4"/>
        <v>20.255523012552299</v>
      </c>
      <c r="G314" s="33">
        <v>1194.1300000000001</v>
      </c>
      <c r="H314" s="33">
        <v>5121.04</v>
      </c>
      <c r="I314" s="33">
        <v>13930.74</v>
      </c>
      <c r="J314" s="33">
        <v>1506.63</v>
      </c>
      <c r="K314" s="33" t="s">
        <v>1509</v>
      </c>
      <c r="L314" s="40">
        <f>VLOOKUP(B314,'✈ Flights (2)'!$A$2:$R$501,13,FALSE)</f>
        <v>124.13</v>
      </c>
      <c r="M314">
        <f>VLOOKUP(B314,'✈ Flights (2)'!$A$2:$R$501,16,FALSE)</f>
        <v>156</v>
      </c>
      <c r="N314" t="str">
        <f>VLOOKUP(B314,'✈ Flights (2)'!$A$2:$R$501,14,FALSE)</f>
        <v>Business</v>
      </c>
      <c r="O314">
        <f>VLOOKUP(B314,'✈ Flights (2)'!$A$2:$P$502,12,FALSE)</f>
        <v>956</v>
      </c>
    </row>
    <row r="315" spans="1:15">
      <c r="A315" s="38" t="s">
        <v>1818</v>
      </c>
      <c r="B315" s="38" t="s">
        <v>1005</v>
      </c>
      <c r="C315" s="38" t="s">
        <v>175</v>
      </c>
      <c r="D315" s="33" t="str">
        <f>VLOOKUP(B315,'✈ Flights (2)'!$A$2:$P$502,3,FALSE)</f>
        <v>Southwest</v>
      </c>
      <c r="E315" s="38">
        <v>79612.800000000003</v>
      </c>
      <c r="F315" s="33">
        <f t="shared" si="4"/>
        <v>30.0312334967937</v>
      </c>
      <c r="G315" s="38">
        <v>1168.9100000000001</v>
      </c>
      <c r="H315" s="38">
        <v>4118.2299999999996</v>
      </c>
      <c r="I315" s="38">
        <v>34832.1</v>
      </c>
      <c r="J315" s="38">
        <v>41831.379999999997</v>
      </c>
      <c r="K315" s="38" t="s">
        <v>1509</v>
      </c>
      <c r="L315" s="40">
        <f>VLOOKUP(B315,'✈ Flights (2)'!$A$2:$R$501,13,FALSE)</f>
        <v>829.3</v>
      </c>
      <c r="M315">
        <f>VLOOKUP(B315,'✈ Flights (2)'!$A$2:$R$501,16,FALSE)</f>
        <v>96</v>
      </c>
      <c r="N315" t="str">
        <f>VLOOKUP(B315,'✈ Flights (2)'!$A$2:$R$501,14,FALSE)</f>
        <v>Economy</v>
      </c>
      <c r="O315">
        <f>VLOOKUP(B315,'✈ Flights (2)'!$A$2:$P$502,12,FALSE)</f>
        <v>2651</v>
      </c>
    </row>
    <row r="316" spans="1:15">
      <c r="A316" s="33" t="s">
        <v>1819</v>
      </c>
      <c r="B316" s="33" t="s">
        <v>1007</v>
      </c>
      <c r="C316" s="33" t="s">
        <v>24</v>
      </c>
      <c r="D316" s="33" t="str">
        <f>VLOOKUP(B316,'✈ Flights (2)'!$A$2:$P$502,3,FALSE)</f>
        <v>Jetblue</v>
      </c>
      <c r="E316" s="33">
        <v>13425.3</v>
      </c>
      <c r="F316" s="33">
        <f t="shared" si="4"/>
        <v>26.584752475247502</v>
      </c>
      <c r="G316" s="33">
        <v>2637.02</v>
      </c>
      <c r="H316" s="33">
        <v>10502.84</v>
      </c>
      <c r="I316" s="33">
        <v>31339.55</v>
      </c>
      <c r="J316" s="33">
        <v>-25780.07</v>
      </c>
      <c r="K316" s="33" t="s">
        <v>1504</v>
      </c>
      <c r="L316" s="40">
        <f>VLOOKUP(B316,'✈ Flights (2)'!$A$2:$R$501,13,FALSE)</f>
        <v>191.79</v>
      </c>
      <c r="M316">
        <f>VLOOKUP(B316,'✈ Flights (2)'!$A$2:$R$501,16,FALSE)</f>
        <v>70</v>
      </c>
      <c r="N316" t="str">
        <f>VLOOKUP(B316,'✈ Flights (2)'!$A$2:$R$501,14,FALSE)</f>
        <v>Unknown</v>
      </c>
      <c r="O316">
        <f>VLOOKUP(B316,'✈ Flights (2)'!$A$2:$P$502,12,FALSE)</f>
        <v>505</v>
      </c>
    </row>
    <row r="317" spans="1:15">
      <c r="A317" s="38" t="s">
        <v>1820</v>
      </c>
      <c r="B317" s="38" t="s">
        <v>1010</v>
      </c>
      <c r="C317" s="38" t="s">
        <v>198</v>
      </c>
      <c r="D317" s="33" t="str">
        <f>VLOOKUP(B317,'✈ Flights (2)'!$A$2:$P$502,3,FALSE)</f>
        <v>Spirit</v>
      </c>
      <c r="E317" s="38">
        <v>166361.21473837199</v>
      </c>
      <c r="F317" s="33">
        <f t="shared" si="4"/>
        <v>56.393632114702399</v>
      </c>
      <c r="G317" s="38">
        <v>0</v>
      </c>
      <c r="H317" s="38">
        <v>12414.31</v>
      </c>
      <c r="I317" s="38">
        <v>15449.13</v>
      </c>
      <c r="J317" s="38">
        <v>-27863.439999999999</v>
      </c>
      <c r="K317" s="38" t="s">
        <v>1511</v>
      </c>
      <c r="L317" s="40">
        <f>VLOOKUP(B317,'✈ Flights (2)'!$A$2:$R$501,13,FALSE)</f>
        <v>607.15771802325605</v>
      </c>
      <c r="M317">
        <f>VLOOKUP(B317,'✈ Flights (2)'!$A$2:$R$501,16,FALSE)</f>
        <v>274</v>
      </c>
      <c r="N317" t="str">
        <f>VLOOKUP(B317,'✈ Flights (2)'!$A$2:$R$501,14,FALSE)</f>
        <v>Business</v>
      </c>
      <c r="O317">
        <f>VLOOKUP(B317,'✈ Flights (2)'!$A$2:$P$502,12,FALSE)</f>
        <v>2950</v>
      </c>
    </row>
    <row r="318" spans="1:15">
      <c r="A318" s="33" t="s">
        <v>1821</v>
      </c>
      <c r="B318" s="33" t="s">
        <v>1013</v>
      </c>
      <c r="C318" s="33" t="s">
        <v>65</v>
      </c>
      <c r="D318" s="33" t="str">
        <f>VLOOKUP(B318,'✈ Flights (2)'!$A$2:$P$502,3,FALSE)</f>
        <v>United</v>
      </c>
      <c r="E318" s="33">
        <v>156588.12</v>
      </c>
      <c r="F318" s="33">
        <f t="shared" si="4"/>
        <v>80.757153171737997</v>
      </c>
      <c r="G318" s="33">
        <v>7278.01</v>
      </c>
      <c r="H318" s="33">
        <v>6667.58</v>
      </c>
      <c r="I318" s="33">
        <v>26122.98</v>
      </c>
      <c r="J318" s="33">
        <v>260461.58</v>
      </c>
      <c r="K318" s="33" t="s">
        <v>1504</v>
      </c>
      <c r="L318" s="40">
        <f>VLOOKUP(B318,'✈ Flights (2)'!$A$2:$R$501,13,FALSE)</f>
        <v>633.96</v>
      </c>
      <c r="M318">
        <f>VLOOKUP(B318,'✈ Flights (2)'!$A$2:$R$501,16,FALSE)</f>
        <v>247</v>
      </c>
      <c r="N318" t="str">
        <f>VLOOKUP(B318,'✈ Flights (2)'!$A$2:$R$501,14,FALSE)</f>
        <v>Business</v>
      </c>
      <c r="O318">
        <f>VLOOKUP(B318,'✈ Flights (2)'!$A$2:$P$502,12,FALSE)</f>
        <v>1939</v>
      </c>
    </row>
    <row r="319" spans="1:15">
      <c r="A319" s="38" t="s">
        <v>1822</v>
      </c>
      <c r="B319" s="38" t="s">
        <v>1016</v>
      </c>
      <c r="C319" s="38" t="s">
        <v>198</v>
      </c>
      <c r="D319" s="33" t="str">
        <f>VLOOKUP(B319,'✈ Flights (2)'!$A$2:$P$502,3,FALSE)</f>
        <v>American</v>
      </c>
      <c r="E319" s="38">
        <v>106460.25</v>
      </c>
      <c r="F319" s="33">
        <f t="shared" si="4"/>
        <v>147.04454419889501</v>
      </c>
      <c r="G319" s="38">
        <v>6740.4</v>
      </c>
      <c r="H319" s="38">
        <v>8365.1</v>
      </c>
      <c r="I319" s="38">
        <v>22942.86</v>
      </c>
      <c r="J319" s="38">
        <v>81892.69</v>
      </c>
      <c r="K319" s="38" t="s">
        <v>1509</v>
      </c>
      <c r="L319" s="40">
        <f>VLOOKUP(B319,'✈ Flights (2)'!$A$2:$R$501,13,FALSE)</f>
        <v>545.95000000000005</v>
      </c>
      <c r="M319">
        <f>VLOOKUP(B319,'✈ Flights (2)'!$A$2:$R$501,16,FALSE)</f>
        <v>195</v>
      </c>
      <c r="N319" t="str">
        <f>VLOOKUP(B319,'✈ Flights (2)'!$A$2:$R$501,14,FALSE)</f>
        <v>First Class</v>
      </c>
      <c r="O319">
        <f>VLOOKUP(B319,'✈ Flights (2)'!$A$2:$P$502,12,FALSE)</f>
        <v>724</v>
      </c>
    </row>
    <row r="320" spans="1:15">
      <c r="A320" s="33" t="s">
        <v>1823</v>
      </c>
      <c r="B320" s="33" t="s">
        <v>1019</v>
      </c>
      <c r="C320" s="33" t="s">
        <v>49</v>
      </c>
      <c r="D320" s="33" t="str">
        <f>VLOOKUP(B320,'✈ Flights (2)'!$A$2:$P$502,3,FALSE)</f>
        <v>Alaska</v>
      </c>
      <c r="E320" s="33">
        <v>12595.89</v>
      </c>
      <c r="F320" s="33">
        <f t="shared" si="4"/>
        <v>5.4788560243584197</v>
      </c>
      <c r="G320" s="33">
        <v>4073.3</v>
      </c>
      <c r="H320" s="33">
        <v>7499.92</v>
      </c>
      <c r="I320" s="33">
        <v>24707</v>
      </c>
      <c r="J320" s="33">
        <v>-15537.73</v>
      </c>
      <c r="K320" s="33" t="s">
        <v>1509</v>
      </c>
      <c r="L320" s="40">
        <f>VLOOKUP(B320,'✈ Flights (2)'!$A$2:$R$501,13,FALSE)</f>
        <v>206.49</v>
      </c>
      <c r="M320">
        <f>VLOOKUP(B320,'✈ Flights (2)'!$A$2:$R$501,16,FALSE)</f>
        <v>61</v>
      </c>
      <c r="N320" t="str">
        <f>VLOOKUP(B320,'✈ Flights (2)'!$A$2:$R$501,14,FALSE)</f>
        <v>Business</v>
      </c>
      <c r="O320">
        <f>VLOOKUP(B320,'✈ Flights (2)'!$A$2:$P$502,12,FALSE)</f>
        <v>2299</v>
      </c>
    </row>
    <row r="321" spans="1:15">
      <c r="A321" s="38" t="s">
        <v>1824</v>
      </c>
      <c r="B321" s="38" t="s">
        <v>1021</v>
      </c>
      <c r="C321" s="38" t="s">
        <v>117</v>
      </c>
      <c r="D321" s="33" t="str">
        <f>VLOOKUP(B321,'✈ Flights (2)'!$A$2:$P$502,3,FALSE)</f>
        <v>Delta</v>
      </c>
      <c r="E321" s="38">
        <v>137569.12</v>
      </c>
      <c r="F321" s="33">
        <f t="shared" si="4"/>
        <v>81.643394658753706</v>
      </c>
      <c r="G321" s="38">
        <v>6582.46</v>
      </c>
      <c r="H321" s="38">
        <v>7643.38</v>
      </c>
      <c r="I321" s="38">
        <v>26485.37</v>
      </c>
      <c r="J321" s="38">
        <v>110022.83</v>
      </c>
      <c r="K321" s="38" t="s">
        <v>1509</v>
      </c>
      <c r="L321" s="40">
        <f>VLOOKUP(B321,'✈ Flights (2)'!$A$2:$R$501,13,FALSE)</f>
        <v>661.39</v>
      </c>
      <c r="M321">
        <f>VLOOKUP(B321,'✈ Flights (2)'!$A$2:$R$501,16,FALSE)</f>
        <v>208</v>
      </c>
      <c r="N321" t="str">
        <f>VLOOKUP(B321,'✈ Flights (2)'!$A$2:$R$501,14,FALSE)</f>
        <v>First Class</v>
      </c>
      <c r="O321">
        <f>VLOOKUP(B321,'✈ Flights (2)'!$A$2:$P$502,12,FALSE)</f>
        <v>1685</v>
      </c>
    </row>
    <row r="322" spans="1:15">
      <c r="A322" s="33" t="s">
        <v>1825</v>
      </c>
      <c r="B322" s="33" t="s">
        <v>1024</v>
      </c>
      <c r="C322" s="33" t="s">
        <v>65</v>
      </c>
      <c r="D322" s="33" t="str">
        <f>VLOOKUP(B322,'✈ Flights (2)'!$A$2:$P$502,3,FALSE)</f>
        <v>Frontier</v>
      </c>
      <c r="E322" s="33">
        <v>326685</v>
      </c>
      <c r="F322" s="33">
        <f t="shared" si="4"/>
        <v>111.30664395230001</v>
      </c>
      <c r="G322" s="33">
        <v>1197.1099999999999</v>
      </c>
      <c r="H322" s="33">
        <v>14652.53</v>
      </c>
      <c r="I322" s="33">
        <v>22966.95</v>
      </c>
      <c r="J322" s="33">
        <v>290262.63</v>
      </c>
      <c r="K322" s="33" t="s">
        <v>1502</v>
      </c>
      <c r="L322" s="40">
        <f>VLOOKUP(B322,'✈ Flights (2)'!$A$2:$R$501,13,FALSE)</f>
        <v>1126.5</v>
      </c>
      <c r="M322">
        <f>VLOOKUP(B322,'✈ Flights (2)'!$A$2:$R$501,16,FALSE)</f>
        <v>290</v>
      </c>
      <c r="N322" t="str">
        <f>VLOOKUP(B322,'✈ Flights (2)'!$A$2:$R$501,14,FALSE)</f>
        <v>First Class</v>
      </c>
      <c r="O322">
        <f>VLOOKUP(B322,'✈ Flights (2)'!$A$2:$P$502,12,FALSE)</f>
        <v>2935</v>
      </c>
    </row>
    <row r="323" spans="1:15">
      <c r="A323" s="38" t="s">
        <v>1826</v>
      </c>
      <c r="B323" s="38" t="s">
        <v>1027</v>
      </c>
      <c r="C323" s="38" t="s">
        <v>157</v>
      </c>
      <c r="D323" s="33" t="str">
        <f>VLOOKUP(B323,'✈ Flights (2)'!$A$2:$P$502,3,FALSE)</f>
        <v>Frontier</v>
      </c>
      <c r="E323" s="38">
        <v>50402.79</v>
      </c>
      <c r="F323" s="33">
        <f t="shared" ref="F323:F386" si="5">E323/O323</f>
        <v>21.213295454545499</v>
      </c>
      <c r="G323" s="38">
        <v>5357.08</v>
      </c>
      <c r="H323" s="38">
        <v>14098.68</v>
      </c>
      <c r="I323" s="38">
        <v>29977.24</v>
      </c>
      <c r="J323" s="38">
        <v>11683.95</v>
      </c>
      <c r="K323" s="38" t="s">
        <v>1504</v>
      </c>
      <c r="L323" s="40">
        <f>VLOOKUP(B323,'✈ Flights (2)'!$A$2:$R$501,13,FALSE)</f>
        <v>329.43</v>
      </c>
      <c r="M323">
        <f>VLOOKUP(B323,'✈ Flights (2)'!$A$2:$R$501,16,FALSE)</f>
        <v>153</v>
      </c>
      <c r="N323" t="str">
        <f>VLOOKUP(B323,'✈ Flights (2)'!$A$2:$R$501,14,FALSE)</f>
        <v>First Class</v>
      </c>
      <c r="O323">
        <f>VLOOKUP(B323,'✈ Flights (2)'!$A$2:$P$502,12,FALSE)</f>
        <v>2376</v>
      </c>
    </row>
    <row r="324" spans="1:15">
      <c r="A324" s="33" t="s">
        <v>1827</v>
      </c>
      <c r="B324" s="33" t="s">
        <v>1030</v>
      </c>
      <c r="C324" s="33" t="s">
        <v>74</v>
      </c>
      <c r="D324" s="33" t="str">
        <f>VLOOKUP(B324,'✈ Flights (2)'!$A$2:$P$502,3,FALSE)</f>
        <v>Frontier</v>
      </c>
      <c r="E324" s="33">
        <v>46210.15</v>
      </c>
      <c r="F324" s="33">
        <f t="shared" si="5"/>
        <v>28.990056461731498</v>
      </c>
      <c r="G324" s="33">
        <v>2680.27</v>
      </c>
      <c r="H324" s="33">
        <v>13793.7</v>
      </c>
      <c r="I324" s="33">
        <v>20307.439999999999</v>
      </c>
      <c r="J324" s="33">
        <v>14789.28</v>
      </c>
      <c r="K324" s="33" t="s">
        <v>1509</v>
      </c>
      <c r="L324" s="40">
        <f>VLOOKUP(B324,'✈ Flights (2)'!$A$2:$R$501,13,FALSE)</f>
        <v>212.95</v>
      </c>
      <c r="M324">
        <f>VLOOKUP(B324,'✈ Flights (2)'!$A$2:$R$501,16,FALSE)</f>
        <v>217</v>
      </c>
      <c r="N324" t="str">
        <f>VLOOKUP(B324,'✈ Flights (2)'!$A$2:$R$501,14,FALSE)</f>
        <v>Business</v>
      </c>
      <c r="O324">
        <f>VLOOKUP(B324,'✈ Flights (2)'!$A$2:$P$502,12,FALSE)</f>
        <v>1594</v>
      </c>
    </row>
    <row r="325" spans="1:15">
      <c r="A325" s="38" t="s">
        <v>1828</v>
      </c>
      <c r="B325" s="38" t="s">
        <v>1033</v>
      </c>
      <c r="C325" s="38" t="s">
        <v>57</v>
      </c>
      <c r="D325" s="33" t="str">
        <f>VLOOKUP(B325,'✈ Flights (2)'!$A$2:$P$502,3,FALSE)</f>
        <v>Spirit</v>
      </c>
      <c r="E325" s="38">
        <v>118192.5</v>
      </c>
      <c r="F325" s="33">
        <f t="shared" si="5"/>
        <v>42.607245854361899</v>
      </c>
      <c r="G325" s="38">
        <v>2752.95</v>
      </c>
      <c r="H325" s="38">
        <v>10896.08</v>
      </c>
      <c r="I325" s="38">
        <v>22778.588495934899</v>
      </c>
      <c r="J325" s="38">
        <v>70602.850000000006</v>
      </c>
      <c r="K325" s="38" t="s">
        <v>1511</v>
      </c>
      <c r="L325" s="40">
        <f>VLOOKUP(B325,'✈ Flights (2)'!$A$2:$R$501,13,FALSE)</f>
        <v>1158.75</v>
      </c>
      <c r="M325">
        <f>VLOOKUP(B325,'✈ Flights (2)'!$A$2:$R$501,16,FALSE)</f>
        <v>102</v>
      </c>
      <c r="N325" t="str">
        <f>VLOOKUP(B325,'✈ Flights (2)'!$A$2:$R$501,14,FALSE)</f>
        <v>First Class</v>
      </c>
      <c r="O325">
        <f>VLOOKUP(B325,'✈ Flights (2)'!$A$2:$P$502,12,FALSE)</f>
        <v>2774</v>
      </c>
    </row>
    <row r="326" spans="1:15">
      <c r="A326" s="33" t="s">
        <v>1829</v>
      </c>
      <c r="B326" s="33" t="s">
        <v>1035</v>
      </c>
      <c r="C326" s="33" t="s">
        <v>57</v>
      </c>
      <c r="D326" s="33" t="str">
        <f>VLOOKUP(B326,'✈ Flights (2)'!$A$2:$P$502,3,FALSE)</f>
        <v>Alaska</v>
      </c>
      <c r="E326" s="33">
        <v>107528.85</v>
      </c>
      <c r="F326" s="33">
        <f t="shared" si="5"/>
        <v>37.888953488372103</v>
      </c>
      <c r="G326" s="33">
        <v>6811.53</v>
      </c>
      <c r="H326" s="33">
        <v>5841.26</v>
      </c>
      <c r="I326" s="33">
        <v>23308.22</v>
      </c>
      <c r="J326" s="33">
        <v>85190.9</v>
      </c>
      <c r="K326" s="33" t="s">
        <v>1504</v>
      </c>
      <c r="L326" s="40">
        <f>VLOOKUP(B326,'✈ Flights (2)'!$A$2:$R$501,13,FALSE)</f>
        <v>751.95</v>
      </c>
      <c r="M326">
        <f>VLOOKUP(B326,'✈ Flights (2)'!$A$2:$R$501,16,FALSE)</f>
        <v>143</v>
      </c>
      <c r="N326" t="str">
        <f>VLOOKUP(B326,'✈ Flights (2)'!$A$2:$R$501,14,FALSE)</f>
        <v>Unknown</v>
      </c>
      <c r="O326">
        <f>VLOOKUP(B326,'✈ Flights (2)'!$A$2:$P$502,12,FALSE)</f>
        <v>2838</v>
      </c>
    </row>
    <row r="327" spans="1:15">
      <c r="A327" s="38" t="s">
        <v>1830</v>
      </c>
      <c r="B327" s="38" t="s">
        <v>1038</v>
      </c>
      <c r="C327" s="38" t="s">
        <v>175</v>
      </c>
      <c r="D327" s="33" t="str">
        <f>VLOOKUP(B327,'✈ Flights (2)'!$A$2:$P$502,3,FALSE)</f>
        <v>Southwest</v>
      </c>
      <c r="E327" s="38">
        <v>53367.32</v>
      </c>
      <c r="F327" s="33">
        <f t="shared" si="5"/>
        <v>21.889794913863799</v>
      </c>
      <c r="G327" s="38">
        <v>4632.46</v>
      </c>
      <c r="H327" s="38">
        <v>8674.39</v>
      </c>
      <c r="I327" s="38">
        <v>37105.57</v>
      </c>
      <c r="J327" s="38">
        <v>12219.82</v>
      </c>
      <c r="K327" s="38" t="s">
        <v>1509</v>
      </c>
      <c r="L327" s="40">
        <f>VLOOKUP(B327,'✈ Flights (2)'!$A$2:$R$501,13,FALSE)</f>
        <v>498.76</v>
      </c>
      <c r="M327">
        <f>VLOOKUP(B327,'✈ Flights (2)'!$A$2:$R$501,16,FALSE)</f>
        <v>107</v>
      </c>
      <c r="N327" t="str">
        <f>VLOOKUP(B327,'✈ Flights (2)'!$A$2:$R$501,14,FALSE)</f>
        <v>Economy</v>
      </c>
      <c r="O327">
        <f>VLOOKUP(B327,'✈ Flights (2)'!$A$2:$P$502,12,FALSE)</f>
        <v>2438</v>
      </c>
    </row>
    <row r="328" spans="1:15">
      <c r="A328" s="33" t="s">
        <v>1831</v>
      </c>
      <c r="B328" s="33" t="s">
        <v>1041</v>
      </c>
      <c r="C328" s="33" t="s">
        <v>198</v>
      </c>
      <c r="D328" s="33" t="str">
        <f>VLOOKUP(B328,'✈ Flights (2)'!$A$2:$P$502,3,FALSE)</f>
        <v>Spirit</v>
      </c>
      <c r="E328" s="33">
        <v>65573.033546511695</v>
      </c>
      <c r="F328" s="33">
        <f t="shared" si="5"/>
        <v>82.585684567395106</v>
      </c>
      <c r="G328" s="33">
        <v>3597.65</v>
      </c>
      <c r="H328" s="33">
        <v>11364.03</v>
      </c>
      <c r="I328" s="33">
        <v>21262.98</v>
      </c>
      <c r="J328" s="33">
        <v>92129.36</v>
      </c>
      <c r="K328" s="33" t="s">
        <v>1511</v>
      </c>
      <c r="L328" s="40">
        <f>VLOOKUP(B328,'✈ Flights (2)'!$A$2:$R$501,13,FALSE)</f>
        <v>607.15771802325605</v>
      </c>
      <c r="M328">
        <f>VLOOKUP(B328,'✈ Flights (2)'!$A$2:$R$501,16,FALSE)</f>
        <v>108</v>
      </c>
      <c r="N328" t="str">
        <f>VLOOKUP(B328,'✈ Flights (2)'!$A$2:$R$501,14,FALSE)</f>
        <v>Business</v>
      </c>
      <c r="O328">
        <f>VLOOKUP(B328,'✈ Flights (2)'!$A$2:$P$502,12,FALSE)</f>
        <v>794</v>
      </c>
    </row>
    <row r="329" spans="1:15">
      <c r="A329" s="38" t="s">
        <v>1832</v>
      </c>
      <c r="B329" s="38" t="s">
        <v>1044</v>
      </c>
      <c r="C329" s="38" t="s">
        <v>130</v>
      </c>
      <c r="D329" s="33" t="str">
        <f>VLOOKUP(B329,'✈ Flights (2)'!$A$2:$P$502,3,FALSE)</f>
        <v>United</v>
      </c>
      <c r="E329" s="38">
        <v>92374.11</v>
      </c>
      <c r="F329" s="33">
        <f t="shared" si="5"/>
        <v>42.5099447768063</v>
      </c>
      <c r="G329" s="38">
        <v>3165.93</v>
      </c>
      <c r="H329" s="38">
        <v>11992.41</v>
      </c>
      <c r="I329" s="38">
        <v>25494.880000000001</v>
      </c>
      <c r="J329" s="38">
        <v>58052.75</v>
      </c>
      <c r="K329" s="38" t="s">
        <v>1504</v>
      </c>
      <c r="L329" s="40">
        <f>VLOOKUP(B329,'✈ Flights (2)'!$A$2:$R$501,13,FALSE)</f>
        <v>817.47</v>
      </c>
      <c r="M329">
        <f>VLOOKUP(B329,'✈ Flights (2)'!$A$2:$R$501,16,FALSE)</f>
        <v>113</v>
      </c>
      <c r="N329" t="str">
        <f>VLOOKUP(B329,'✈ Flights (2)'!$A$2:$R$501,14,FALSE)</f>
        <v>First Class</v>
      </c>
      <c r="O329">
        <f>VLOOKUP(B329,'✈ Flights (2)'!$A$2:$P$502,12,FALSE)</f>
        <v>2173</v>
      </c>
    </row>
    <row r="330" spans="1:15">
      <c r="A330" s="33" t="s">
        <v>1833</v>
      </c>
      <c r="B330" s="33" t="s">
        <v>1046</v>
      </c>
      <c r="C330" s="33" t="s">
        <v>74</v>
      </c>
      <c r="D330" s="33" t="str">
        <f>VLOOKUP(B330,'✈ Flights (2)'!$A$2:$P$502,3,FALSE)</f>
        <v>Spirit</v>
      </c>
      <c r="E330" s="33">
        <v>27174.51</v>
      </c>
      <c r="F330" s="33">
        <f t="shared" si="5"/>
        <v>10.181532409141999</v>
      </c>
      <c r="G330" s="33">
        <v>1354.52</v>
      </c>
      <c r="H330" s="33">
        <v>4334.18</v>
      </c>
      <c r="I330" s="33">
        <v>28155.24</v>
      </c>
      <c r="J330" s="33">
        <v>-3960.39</v>
      </c>
      <c r="K330" s="33" t="s">
        <v>1502</v>
      </c>
      <c r="L330" s="40">
        <f>VLOOKUP(B330,'✈ Flights (2)'!$A$2:$R$501,13,FALSE)</f>
        <v>274.49</v>
      </c>
      <c r="M330">
        <f>VLOOKUP(B330,'✈ Flights (2)'!$A$2:$R$501,16,FALSE)</f>
        <v>99</v>
      </c>
      <c r="N330" t="str">
        <f>VLOOKUP(B330,'✈ Flights (2)'!$A$2:$R$501,14,FALSE)</f>
        <v>Economy</v>
      </c>
      <c r="O330">
        <f>VLOOKUP(B330,'✈ Flights (2)'!$A$2:$P$502,12,FALSE)</f>
        <v>2669</v>
      </c>
    </row>
    <row r="331" spans="1:15">
      <c r="A331" s="38" t="s">
        <v>1834</v>
      </c>
      <c r="B331" s="38" t="s">
        <v>1049</v>
      </c>
      <c r="C331" s="38" t="s">
        <v>130</v>
      </c>
      <c r="D331" s="33" t="str">
        <f>VLOOKUP(B331,'✈ Flights (2)'!$A$2:$P$502,3,FALSE)</f>
        <v>Spirit</v>
      </c>
      <c r="E331" s="38">
        <v>59893.38</v>
      </c>
      <c r="F331" s="33">
        <f t="shared" si="5"/>
        <v>39.822726063829798</v>
      </c>
      <c r="G331" s="38">
        <v>6821.82</v>
      </c>
      <c r="H331" s="38">
        <v>7411.27</v>
      </c>
      <c r="I331" s="38">
        <v>6584.06</v>
      </c>
      <c r="J331" s="38">
        <v>52719.87</v>
      </c>
      <c r="K331" s="38" t="s">
        <v>1511</v>
      </c>
      <c r="L331" s="40">
        <f>VLOOKUP(B331,'✈ Flights (2)'!$A$2:$R$501,13,FALSE)</f>
        <v>587.19000000000005</v>
      </c>
      <c r="M331">
        <f>VLOOKUP(B331,'✈ Flights (2)'!$A$2:$R$501,16,FALSE)</f>
        <v>102</v>
      </c>
      <c r="N331" t="str">
        <f>VLOOKUP(B331,'✈ Flights (2)'!$A$2:$R$501,14,FALSE)</f>
        <v>Economy</v>
      </c>
      <c r="O331">
        <f>VLOOKUP(B331,'✈ Flights (2)'!$A$2:$P$502,12,FALSE)</f>
        <v>1504</v>
      </c>
    </row>
    <row r="332" spans="1:15">
      <c r="A332" s="33" t="s">
        <v>1835</v>
      </c>
      <c r="B332" s="33" t="s">
        <v>1051</v>
      </c>
      <c r="C332" s="33" t="s">
        <v>33</v>
      </c>
      <c r="D332" s="33" t="str">
        <f>VLOOKUP(B332,'✈ Flights (2)'!$A$2:$P$502,3,FALSE)</f>
        <v>Jetblue</v>
      </c>
      <c r="E332" s="33">
        <v>107511.66</v>
      </c>
      <c r="F332" s="33">
        <f t="shared" si="5"/>
        <v>92.842538860103602</v>
      </c>
      <c r="G332" s="33">
        <v>2854.6</v>
      </c>
      <c r="H332" s="33">
        <v>11845.61</v>
      </c>
      <c r="I332" s="33">
        <v>30343.31</v>
      </c>
      <c r="J332" s="33">
        <v>68177.34</v>
      </c>
      <c r="K332" s="33" t="s">
        <v>1509</v>
      </c>
      <c r="L332" s="40">
        <f>VLOOKUP(B332,'✈ Flights (2)'!$A$2:$R$501,13,FALSE)</f>
        <v>779.07</v>
      </c>
      <c r="M332">
        <f>VLOOKUP(B332,'✈ Flights (2)'!$A$2:$R$501,16,FALSE)</f>
        <v>138</v>
      </c>
      <c r="N332" t="str">
        <f>VLOOKUP(B332,'✈ Flights (2)'!$A$2:$R$501,14,FALSE)</f>
        <v>Business</v>
      </c>
      <c r="O332">
        <f>VLOOKUP(B332,'✈ Flights (2)'!$A$2:$P$502,12,FALSE)</f>
        <v>1158</v>
      </c>
    </row>
    <row r="333" spans="1:15">
      <c r="A333" s="38" t="s">
        <v>1836</v>
      </c>
      <c r="B333" s="38" t="s">
        <v>1054</v>
      </c>
      <c r="C333" s="38" t="s">
        <v>198</v>
      </c>
      <c r="D333" s="33" t="str">
        <f>VLOOKUP(B333,'✈ Flights (2)'!$A$2:$P$502,3,FALSE)</f>
        <v>Alaska</v>
      </c>
      <c r="E333" s="38">
        <v>117163.29807017501</v>
      </c>
      <c r="F333" s="33">
        <f t="shared" si="5"/>
        <v>44.430526382318902</v>
      </c>
      <c r="G333" s="38">
        <v>5178.58</v>
      </c>
      <c r="H333" s="38">
        <v>14567.36</v>
      </c>
      <c r="I333" s="38">
        <v>14277.6</v>
      </c>
      <c r="J333" s="38">
        <v>187590.56</v>
      </c>
      <c r="K333" s="38" t="s">
        <v>1502</v>
      </c>
      <c r="L333" s="40">
        <f>VLOOKUP(B333,'✈ Flights (2)'!$A$2:$R$501,13,FALSE)</f>
        <v>629.91020467836302</v>
      </c>
      <c r="M333">
        <f>VLOOKUP(B333,'✈ Flights (2)'!$A$2:$R$501,16,FALSE)</f>
        <v>186</v>
      </c>
      <c r="N333" t="str">
        <f>VLOOKUP(B333,'✈ Flights (2)'!$A$2:$R$501,14,FALSE)</f>
        <v>First Class</v>
      </c>
      <c r="O333">
        <f>VLOOKUP(B333,'✈ Flights (2)'!$A$2:$P$502,12,FALSE)</f>
        <v>2637</v>
      </c>
    </row>
    <row r="334" spans="1:15">
      <c r="A334" s="33" t="s">
        <v>1837</v>
      </c>
      <c r="B334" s="33" t="s">
        <v>1057</v>
      </c>
      <c r="C334" s="33" t="s">
        <v>117</v>
      </c>
      <c r="D334" s="33" t="str">
        <f>VLOOKUP(B334,'✈ Flights (2)'!$A$2:$P$502,3,FALSE)</f>
        <v>Delta</v>
      </c>
      <c r="E334" s="33">
        <v>121279.28</v>
      </c>
      <c r="F334" s="33">
        <f t="shared" si="5"/>
        <v>234.58274661508699</v>
      </c>
      <c r="G334" s="33">
        <v>2083.0100000000002</v>
      </c>
      <c r="H334" s="33">
        <v>14768.42</v>
      </c>
      <c r="I334" s="33">
        <v>7737.72</v>
      </c>
      <c r="J334" s="33">
        <v>100856.15</v>
      </c>
      <c r="K334" s="33" t="s">
        <v>1511</v>
      </c>
      <c r="L334" s="40">
        <f>VLOOKUP(B334,'✈ Flights (2)'!$A$2:$R$501,13,FALSE)</f>
        <v>830.68</v>
      </c>
      <c r="M334">
        <f>VLOOKUP(B334,'✈ Flights (2)'!$A$2:$R$501,16,FALSE)</f>
        <v>146</v>
      </c>
      <c r="N334" t="str">
        <f>VLOOKUP(B334,'✈ Flights (2)'!$A$2:$R$501,14,FALSE)</f>
        <v>Economy</v>
      </c>
      <c r="O334">
        <f>VLOOKUP(B334,'✈ Flights (2)'!$A$2:$P$502,12,FALSE)</f>
        <v>517</v>
      </c>
    </row>
    <row r="335" spans="1:15">
      <c r="A335" s="38" t="s">
        <v>1838</v>
      </c>
      <c r="B335" s="38" t="s">
        <v>1060</v>
      </c>
      <c r="C335" s="38" t="s">
        <v>57</v>
      </c>
      <c r="D335" s="33" t="str">
        <f>VLOOKUP(B335,'✈ Flights (2)'!$A$2:$P$502,3,FALSE)</f>
        <v>American</v>
      </c>
      <c r="E335" s="38">
        <v>37592.54</v>
      </c>
      <c r="F335" s="33">
        <f t="shared" si="5"/>
        <v>17.460538783093401</v>
      </c>
      <c r="G335" s="38">
        <v>7037.12</v>
      </c>
      <c r="H335" s="38">
        <v>8946.89</v>
      </c>
      <c r="I335" s="38">
        <v>8721.57</v>
      </c>
      <c r="J335" s="38">
        <v>26961.200000000001</v>
      </c>
      <c r="K335" s="38" t="s">
        <v>1504</v>
      </c>
      <c r="L335" s="40">
        <f>VLOOKUP(B335,'✈ Flights (2)'!$A$2:$R$501,13,FALSE)</f>
        <v>194.78</v>
      </c>
      <c r="M335">
        <f>VLOOKUP(B335,'✈ Flights (2)'!$A$2:$R$501,16,FALSE)</f>
        <v>193</v>
      </c>
      <c r="N335" t="str">
        <f>VLOOKUP(B335,'✈ Flights (2)'!$A$2:$R$501,14,FALSE)</f>
        <v>First Class</v>
      </c>
      <c r="O335">
        <f>VLOOKUP(B335,'✈ Flights (2)'!$A$2:$P$502,12,FALSE)</f>
        <v>2153</v>
      </c>
    </row>
    <row r="336" spans="1:15">
      <c r="A336" s="33" t="s">
        <v>1839</v>
      </c>
      <c r="B336" s="33" t="s">
        <v>1062</v>
      </c>
      <c r="C336" s="33" t="s">
        <v>117</v>
      </c>
      <c r="D336" s="33" t="str">
        <f>VLOOKUP(B336,'✈ Flights (2)'!$A$2:$P$502,3,FALSE)</f>
        <v>Southwest</v>
      </c>
      <c r="E336" s="33">
        <v>34432.65</v>
      </c>
      <c r="F336" s="33">
        <f t="shared" si="5"/>
        <v>18.247297297297301</v>
      </c>
      <c r="G336" s="33">
        <v>3462</v>
      </c>
      <c r="H336" s="33">
        <v>10525.41</v>
      </c>
      <c r="I336" s="33">
        <v>5465.66</v>
      </c>
      <c r="J336" s="33">
        <v>21903.58</v>
      </c>
      <c r="K336" s="33" t="s">
        <v>1509</v>
      </c>
      <c r="L336" s="40">
        <f>VLOOKUP(B336,'✈ Flights (2)'!$A$2:$R$501,13,FALSE)</f>
        <v>546.54999999999995</v>
      </c>
      <c r="M336">
        <f>VLOOKUP(B336,'✈ Flights (2)'!$A$2:$R$501,16,FALSE)</f>
        <v>63</v>
      </c>
      <c r="N336" t="str">
        <f>VLOOKUP(B336,'✈ Flights (2)'!$A$2:$R$501,14,FALSE)</f>
        <v>First Class</v>
      </c>
      <c r="O336">
        <f>VLOOKUP(B336,'✈ Flights (2)'!$A$2:$P$502,12,FALSE)</f>
        <v>1887</v>
      </c>
    </row>
    <row r="337" spans="1:15">
      <c r="A337" s="38" t="s">
        <v>1840</v>
      </c>
      <c r="B337" s="38" t="s">
        <v>1065</v>
      </c>
      <c r="C337" s="38" t="s">
        <v>49</v>
      </c>
      <c r="D337" s="33" t="str">
        <f>VLOOKUP(B337,'✈ Flights (2)'!$A$2:$P$502,3,FALSE)</f>
        <v>Southwest</v>
      </c>
      <c r="E337" s="38">
        <v>103139.29</v>
      </c>
      <c r="F337" s="33">
        <f t="shared" si="5"/>
        <v>38.058778597786002</v>
      </c>
      <c r="G337" s="38">
        <v>5688.55</v>
      </c>
      <c r="H337" s="38">
        <v>14555.45</v>
      </c>
      <c r="I337" s="38">
        <v>35407.32</v>
      </c>
      <c r="J337" s="38">
        <v>58865.07</v>
      </c>
      <c r="K337" s="38" t="s">
        <v>1509</v>
      </c>
      <c r="L337" s="40">
        <f>VLOOKUP(B337,'✈ Flights (2)'!$A$2:$R$501,13,FALSE)</f>
        <v>692.21</v>
      </c>
      <c r="M337">
        <f>VLOOKUP(B337,'✈ Flights (2)'!$A$2:$R$501,16,FALSE)</f>
        <v>149</v>
      </c>
      <c r="N337" t="str">
        <f>VLOOKUP(B337,'✈ Flights (2)'!$A$2:$R$501,14,FALSE)</f>
        <v>First Class</v>
      </c>
      <c r="O337">
        <f>VLOOKUP(B337,'✈ Flights (2)'!$A$2:$P$502,12,FALSE)</f>
        <v>2710</v>
      </c>
    </row>
    <row r="338" spans="1:15">
      <c r="A338" s="33" t="s">
        <v>1841</v>
      </c>
      <c r="B338" s="33" t="s">
        <v>1068</v>
      </c>
      <c r="C338" s="33" t="s">
        <v>39</v>
      </c>
      <c r="D338" s="33" t="str">
        <f>VLOOKUP(B338,'✈ Flights (2)'!$A$2:$P$502,3,FALSE)</f>
        <v>Frontier</v>
      </c>
      <c r="E338" s="33">
        <v>25855.279999999999</v>
      </c>
      <c r="F338" s="33">
        <f t="shared" si="5"/>
        <v>10.755108153078201</v>
      </c>
      <c r="G338" s="33">
        <v>2771</v>
      </c>
      <c r="H338" s="33">
        <v>10017.68</v>
      </c>
      <c r="I338" s="33">
        <v>33459.64</v>
      </c>
      <c r="J338" s="33">
        <v>-14851.04</v>
      </c>
      <c r="K338" s="33" t="s">
        <v>1509</v>
      </c>
      <c r="L338" s="40">
        <f>VLOOKUP(B338,'✈ Flights (2)'!$A$2:$R$501,13,FALSE)</f>
        <v>213.68</v>
      </c>
      <c r="M338">
        <f>VLOOKUP(B338,'✈ Flights (2)'!$A$2:$R$501,16,FALSE)</f>
        <v>121</v>
      </c>
      <c r="N338" t="str">
        <f>VLOOKUP(B338,'✈ Flights (2)'!$A$2:$R$501,14,FALSE)</f>
        <v>Economy</v>
      </c>
      <c r="O338">
        <f>VLOOKUP(B338,'✈ Flights (2)'!$A$2:$P$502,12,FALSE)</f>
        <v>2404</v>
      </c>
    </row>
    <row r="339" spans="1:15">
      <c r="A339" s="38" t="s">
        <v>1842</v>
      </c>
      <c r="B339" s="38" t="s">
        <v>1071</v>
      </c>
      <c r="C339" s="38" t="s">
        <v>74</v>
      </c>
      <c r="D339" s="33" t="str">
        <f>VLOOKUP(B339,'✈ Flights (2)'!$A$2:$P$502,3,FALSE)</f>
        <v>American</v>
      </c>
      <c r="E339" s="38">
        <v>7857.99</v>
      </c>
      <c r="F339" s="33">
        <f t="shared" si="5"/>
        <v>8.4132655246252703</v>
      </c>
      <c r="G339" s="38">
        <v>6534.81</v>
      </c>
      <c r="H339" s="38">
        <v>3756.48</v>
      </c>
      <c r="I339" s="38">
        <v>8067.23</v>
      </c>
      <c r="J339" s="38">
        <v>2569.09</v>
      </c>
      <c r="K339" s="38" t="s">
        <v>1502</v>
      </c>
      <c r="L339" s="40">
        <f>VLOOKUP(B339,'✈ Flights (2)'!$A$2:$R$501,13,FALSE)</f>
        <v>124.73</v>
      </c>
      <c r="M339">
        <f>VLOOKUP(B339,'✈ Flights (2)'!$A$2:$R$501,16,FALSE)</f>
        <v>63</v>
      </c>
      <c r="N339" t="str">
        <f>VLOOKUP(B339,'✈ Flights (2)'!$A$2:$R$501,14,FALSE)</f>
        <v>Business</v>
      </c>
      <c r="O339">
        <f>VLOOKUP(B339,'✈ Flights (2)'!$A$2:$P$502,12,FALSE)</f>
        <v>934</v>
      </c>
    </row>
    <row r="340" spans="1:15">
      <c r="A340" s="33" t="s">
        <v>1843</v>
      </c>
      <c r="B340" s="33" t="s">
        <v>1073</v>
      </c>
      <c r="C340" s="33" t="s">
        <v>74</v>
      </c>
      <c r="D340" s="33" t="str">
        <f>VLOOKUP(B340,'✈ Flights (2)'!$A$2:$P$502,3,FALSE)</f>
        <v>Frontier</v>
      </c>
      <c r="E340" s="33">
        <v>44785.48</v>
      </c>
      <c r="F340" s="33">
        <f t="shared" si="5"/>
        <v>27.973441599000601</v>
      </c>
      <c r="G340" s="33">
        <v>1339.34</v>
      </c>
      <c r="H340" s="33">
        <v>14616.76</v>
      </c>
      <c r="I340" s="33">
        <v>5555.98</v>
      </c>
      <c r="J340" s="33">
        <v>25952.080000000002</v>
      </c>
      <c r="K340" s="33" t="s">
        <v>1504</v>
      </c>
      <c r="L340" s="40">
        <f>VLOOKUP(B340,'✈ Flights (2)'!$A$2:$R$501,13,FALSE)</f>
        <v>668.44</v>
      </c>
      <c r="M340">
        <f>VLOOKUP(B340,'✈ Flights (2)'!$A$2:$R$501,16,FALSE)</f>
        <v>67</v>
      </c>
      <c r="N340" t="str">
        <f>VLOOKUP(B340,'✈ Flights (2)'!$A$2:$R$501,14,FALSE)</f>
        <v>Economy</v>
      </c>
      <c r="O340">
        <f>VLOOKUP(B340,'✈ Flights (2)'!$A$2:$P$502,12,FALSE)</f>
        <v>1601</v>
      </c>
    </row>
    <row r="341" spans="1:15">
      <c r="A341" s="38" t="s">
        <v>1844</v>
      </c>
      <c r="B341" s="38" t="s">
        <v>1077</v>
      </c>
      <c r="C341" s="38" t="s">
        <v>55</v>
      </c>
      <c r="D341" s="33" t="str">
        <f>VLOOKUP(B341,'✈ Flights (2)'!$A$2:$P$502,3,FALSE)</f>
        <v>Spirit</v>
      </c>
      <c r="E341" s="38">
        <v>65815.34</v>
      </c>
      <c r="F341" s="33">
        <f t="shared" si="5"/>
        <v>39.671693791440603</v>
      </c>
      <c r="G341" s="38">
        <v>2069.2199999999998</v>
      </c>
      <c r="H341" s="38">
        <v>10446.620000000001</v>
      </c>
      <c r="I341" s="38">
        <v>27701.81</v>
      </c>
      <c r="J341" s="38">
        <v>29736.13</v>
      </c>
      <c r="K341" s="38" t="s">
        <v>1509</v>
      </c>
      <c r="L341" s="40">
        <f>VLOOKUP(B341,'✈ Flights (2)'!$A$2:$R$501,13,FALSE)</f>
        <v>450.79</v>
      </c>
      <c r="M341">
        <f>VLOOKUP(B341,'✈ Flights (2)'!$A$2:$R$501,16,FALSE)</f>
        <v>146</v>
      </c>
      <c r="N341" t="str">
        <f>VLOOKUP(B341,'✈ Flights (2)'!$A$2:$R$501,14,FALSE)</f>
        <v>Business</v>
      </c>
      <c r="O341">
        <f>VLOOKUP(B341,'✈ Flights (2)'!$A$2:$P$502,12,FALSE)</f>
        <v>1659</v>
      </c>
    </row>
    <row r="342" spans="1:15">
      <c r="A342" s="33" t="s">
        <v>1845</v>
      </c>
      <c r="B342" s="33" t="s">
        <v>1080</v>
      </c>
      <c r="C342" s="33" t="s">
        <v>198</v>
      </c>
      <c r="D342" s="33" t="str">
        <f>VLOOKUP(B342,'✈ Flights (2)'!$A$2:$P$502,3,FALSE)</f>
        <v>Delta</v>
      </c>
      <c r="E342" s="33">
        <v>77618.8</v>
      </c>
      <c r="F342" s="33">
        <f t="shared" si="5"/>
        <v>27.592890152861699</v>
      </c>
      <c r="G342" s="33">
        <v>6815.67</v>
      </c>
      <c r="H342" s="33">
        <v>9001.57</v>
      </c>
      <c r="I342" s="33">
        <v>35036.629999999997</v>
      </c>
      <c r="J342" s="33">
        <v>40396.269999999997</v>
      </c>
      <c r="K342" s="33" t="s">
        <v>1504</v>
      </c>
      <c r="L342" s="40">
        <f>VLOOKUP(B342,'✈ Flights (2)'!$A$2:$R$501,13,FALSE)</f>
        <v>1108.8399999999999</v>
      </c>
      <c r="M342">
        <f>VLOOKUP(B342,'✈ Flights (2)'!$A$2:$R$501,16,FALSE)</f>
        <v>70</v>
      </c>
      <c r="N342" t="str">
        <f>VLOOKUP(B342,'✈ Flights (2)'!$A$2:$R$501,14,FALSE)</f>
        <v>Economy</v>
      </c>
      <c r="O342">
        <f>VLOOKUP(B342,'✈ Flights (2)'!$A$2:$P$502,12,FALSE)</f>
        <v>2813</v>
      </c>
    </row>
    <row r="343" spans="1:15">
      <c r="A343" s="38" t="s">
        <v>1846</v>
      </c>
      <c r="B343" s="38" t="s">
        <v>1082</v>
      </c>
      <c r="C343" s="38" t="s">
        <v>67</v>
      </c>
      <c r="D343" s="33" t="str">
        <f>VLOOKUP(B343,'✈ Flights (2)'!$A$2:$P$502,3,FALSE)</f>
        <v>United</v>
      </c>
      <c r="E343" s="38">
        <v>180136.8</v>
      </c>
      <c r="F343" s="33">
        <f t="shared" si="5"/>
        <v>74.529085643359494</v>
      </c>
      <c r="G343" s="38">
        <v>2756.88</v>
      </c>
      <c r="H343" s="38">
        <v>8161.86</v>
      </c>
      <c r="I343" s="38">
        <v>21219.89</v>
      </c>
      <c r="J343" s="38">
        <v>153511.93</v>
      </c>
      <c r="K343" s="38" t="s">
        <v>1504</v>
      </c>
      <c r="L343" s="40">
        <f>VLOOKUP(B343,'✈ Flights (2)'!$A$2:$R$501,13,FALSE)</f>
        <v>1000.76</v>
      </c>
      <c r="M343">
        <f>VLOOKUP(B343,'✈ Flights (2)'!$A$2:$R$501,16,FALSE)</f>
        <v>180</v>
      </c>
      <c r="N343" t="str">
        <f>VLOOKUP(B343,'✈ Flights (2)'!$A$2:$R$501,14,FALSE)</f>
        <v>Business</v>
      </c>
      <c r="O343">
        <f>VLOOKUP(B343,'✈ Flights (2)'!$A$2:$P$502,12,FALSE)</f>
        <v>2417</v>
      </c>
    </row>
    <row r="344" spans="1:15">
      <c r="A344" s="33" t="s">
        <v>1847</v>
      </c>
      <c r="B344" s="33" t="s">
        <v>1084</v>
      </c>
      <c r="C344" s="33" t="s">
        <v>184</v>
      </c>
      <c r="D344" s="33" t="str">
        <f>VLOOKUP(B344,'✈ Flights (2)'!$A$2:$P$502,3,FALSE)</f>
        <v>Jetblue</v>
      </c>
      <c r="E344" s="33">
        <v>59579.22</v>
      </c>
      <c r="F344" s="33">
        <f t="shared" si="5"/>
        <v>60.486517766497499</v>
      </c>
      <c r="G344" s="33">
        <v>1373.44</v>
      </c>
      <c r="H344" s="33">
        <v>11604.16</v>
      </c>
      <c r="I344" s="33">
        <v>36584.54</v>
      </c>
      <c r="J344" s="33">
        <v>12763.96</v>
      </c>
      <c r="K344" s="33" t="s">
        <v>1509</v>
      </c>
      <c r="L344" s="40">
        <f>VLOOKUP(B344,'✈ Flights (2)'!$A$2:$R$501,13,FALSE)</f>
        <v>1168.22</v>
      </c>
      <c r="M344">
        <f>VLOOKUP(B344,'✈ Flights (2)'!$A$2:$R$501,16,FALSE)</f>
        <v>51</v>
      </c>
      <c r="N344" t="str">
        <f>VLOOKUP(B344,'✈ Flights (2)'!$A$2:$R$501,14,FALSE)</f>
        <v>First Class</v>
      </c>
      <c r="O344">
        <f>VLOOKUP(B344,'✈ Flights (2)'!$A$2:$P$502,12,FALSE)</f>
        <v>985</v>
      </c>
    </row>
    <row r="345" spans="1:15">
      <c r="A345" s="38" t="s">
        <v>1848</v>
      </c>
      <c r="B345" s="38" t="s">
        <v>1087</v>
      </c>
      <c r="C345" s="38" t="s">
        <v>130</v>
      </c>
      <c r="D345" s="33" t="str">
        <f>VLOOKUP(B345,'✈ Flights (2)'!$A$2:$P$502,3,FALSE)</f>
        <v>Southwest</v>
      </c>
      <c r="E345" s="38">
        <v>72405.08</v>
      </c>
      <c r="F345" s="33">
        <f t="shared" si="5"/>
        <v>121.689210084034</v>
      </c>
      <c r="G345" s="38">
        <v>7729</v>
      </c>
      <c r="H345" s="38">
        <v>13177.35</v>
      </c>
      <c r="I345" s="38">
        <v>21502.12</v>
      </c>
      <c r="J345" s="38">
        <v>45454.61</v>
      </c>
      <c r="K345" s="38" t="s">
        <v>1502</v>
      </c>
      <c r="L345" s="40">
        <f>VLOOKUP(B345,'✈ Flights (2)'!$A$2:$R$501,13,FALSE)</f>
        <v>916.52</v>
      </c>
      <c r="M345">
        <f>VLOOKUP(B345,'✈ Flights (2)'!$A$2:$R$501,16,FALSE)</f>
        <v>79</v>
      </c>
      <c r="N345" t="str">
        <f>VLOOKUP(B345,'✈ Flights (2)'!$A$2:$R$501,14,FALSE)</f>
        <v>Economy</v>
      </c>
      <c r="O345">
        <f>VLOOKUP(B345,'✈ Flights (2)'!$A$2:$P$502,12,FALSE)</f>
        <v>595</v>
      </c>
    </row>
    <row r="346" spans="1:15">
      <c r="A346" s="33" t="s">
        <v>1849</v>
      </c>
      <c r="B346" s="33" t="s">
        <v>1089</v>
      </c>
      <c r="C346" s="33" t="s">
        <v>57</v>
      </c>
      <c r="D346" s="33" t="str">
        <f>VLOOKUP(B346,'✈ Flights (2)'!$A$2:$P$502,3,FALSE)</f>
        <v>United</v>
      </c>
      <c r="E346" s="33">
        <v>181549.5</v>
      </c>
      <c r="F346" s="33">
        <f t="shared" si="5"/>
        <v>147.361607142857</v>
      </c>
      <c r="G346" s="33">
        <v>2010.04</v>
      </c>
      <c r="H346" s="33">
        <v>12839.9</v>
      </c>
      <c r="I346" s="33">
        <v>24930.07</v>
      </c>
      <c r="J346" s="33">
        <v>145789.57</v>
      </c>
      <c r="K346" s="33" t="s">
        <v>1504</v>
      </c>
      <c r="L346" s="40">
        <f>VLOOKUP(B346,'✈ Flights (2)'!$A$2:$R$501,13,FALSE)</f>
        <v>1100.3</v>
      </c>
      <c r="M346">
        <f>VLOOKUP(B346,'✈ Flights (2)'!$A$2:$R$501,16,FALSE)</f>
        <v>165</v>
      </c>
      <c r="N346" t="str">
        <f>VLOOKUP(B346,'✈ Flights (2)'!$A$2:$R$501,14,FALSE)</f>
        <v>Business</v>
      </c>
      <c r="O346">
        <f>VLOOKUP(B346,'✈ Flights (2)'!$A$2:$P$502,12,FALSE)</f>
        <v>1232</v>
      </c>
    </row>
    <row r="347" spans="1:15">
      <c r="A347" s="38" t="s">
        <v>1850</v>
      </c>
      <c r="B347" s="38" t="s">
        <v>1091</v>
      </c>
      <c r="C347" s="38" t="s">
        <v>175</v>
      </c>
      <c r="D347" s="33" t="str">
        <f>VLOOKUP(B347,'✈ Flights (2)'!$A$2:$P$502,3,FALSE)</f>
        <v>Alaska</v>
      </c>
      <c r="E347" s="38">
        <v>43911.45</v>
      </c>
      <c r="F347" s="33">
        <f t="shared" si="5"/>
        <v>135.52916666666701</v>
      </c>
      <c r="G347" s="38">
        <v>3003.88</v>
      </c>
      <c r="H347" s="38">
        <v>13019.18</v>
      </c>
      <c r="I347" s="38">
        <v>8593.2199999999993</v>
      </c>
      <c r="J347" s="38">
        <v>25302.93</v>
      </c>
      <c r="K347" s="38" t="s">
        <v>1509</v>
      </c>
      <c r="L347" s="40">
        <f>VLOOKUP(B347,'✈ Flights (2)'!$A$2:$R$501,13,FALSE)</f>
        <v>798.39</v>
      </c>
      <c r="M347">
        <f>VLOOKUP(B347,'✈ Flights (2)'!$A$2:$R$501,16,FALSE)</f>
        <v>55</v>
      </c>
      <c r="N347" t="str">
        <f>VLOOKUP(B347,'✈ Flights (2)'!$A$2:$R$501,14,FALSE)</f>
        <v>First Class</v>
      </c>
      <c r="O347">
        <f>VLOOKUP(B347,'✈ Flights (2)'!$A$2:$P$502,12,FALSE)</f>
        <v>324</v>
      </c>
    </row>
    <row r="348" spans="1:15">
      <c r="A348" s="33" t="s">
        <v>1851</v>
      </c>
      <c r="B348" s="33" t="s">
        <v>1094</v>
      </c>
      <c r="C348" s="33" t="s">
        <v>96</v>
      </c>
      <c r="D348" s="33" t="str">
        <f>VLOOKUP(B348,'✈ Flights (2)'!$A$2:$P$502,3,FALSE)</f>
        <v>United</v>
      </c>
      <c r="E348" s="33">
        <v>40574.400000000001</v>
      </c>
      <c r="F348" s="33">
        <f t="shared" si="5"/>
        <v>19.395028680688299</v>
      </c>
      <c r="G348" s="33">
        <v>7846.15</v>
      </c>
      <c r="H348" s="33">
        <v>11582.02</v>
      </c>
      <c r="I348" s="33">
        <v>34701.57</v>
      </c>
      <c r="J348" s="33">
        <v>2136.96</v>
      </c>
      <c r="K348" s="33" t="s">
        <v>1511</v>
      </c>
      <c r="L348" s="40">
        <f>VLOOKUP(B348,'✈ Flights (2)'!$A$2:$R$501,13,FALSE)</f>
        <v>507.18</v>
      </c>
      <c r="M348">
        <f>VLOOKUP(B348,'✈ Flights (2)'!$A$2:$R$501,16,FALSE)</f>
        <v>80</v>
      </c>
      <c r="N348" t="str">
        <f>VLOOKUP(B348,'✈ Flights (2)'!$A$2:$R$501,14,FALSE)</f>
        <v>First Class</v>
      </c>
      <c r="O348">
        <f>VLOOKUP(B348,'✈ Flights (2)'!$A$2:$P$502,12,FALSE)</f>
        <v>2092</v>
      </c>
    </row>
    <row r="349" spans="1:15">
      <c r="A349" s="38" t="s">
        <v>1852</v>
      </c>
      <c r="B349" s="38" t="s">
        <v>1097</v>
      </c>
      <c r="C349" s="38" t="s">
        <v>67</v>
      </c>
      <c r="D349" s="33" t="str">
        <f>VLOOKUP(B349,'✈ Flights (2)'!$A$2:$P$502,3,FALSE)</f>
        <v>American</v>
      </c>
      <c r="E349" s="38">
        <v>95598.720000000001</v>
      </c>
      <c r="F349" s="33">
        <f t="shared" si="5"/>
        <v>32.373423636979297</v>
      </c>
      <c r="G349" s="38">
        <v>777.63</v>
      </c>
      <c r="H349" s="38">
        <v>8673.6200000000008</v>
      </c>
      <c r="I349" s="38">
        <v>18988.810000000001</v>
      </c>
      <c r="J349" s="38">
        <v>68713.919999999998</v>
      </c>
      <c r="K349" s="38" t="s">
        <v>1509</v>
      </c>
      <c r="L349" s="40">
        <f>VLOOKUP(B349,'✈ Flights (2)'!$A$2:$R$501,13,FALSE)</f>
        <v>497.91</v>
      </c>
      <c r="M349">
        <f>VLOOKUP(B349,'✈ Flights (2)'!$A$2:$R$501,16,FALSE)</f>
        <v>192</v>
      </c>
      <c r="N349" t="str">
        <f>VLOOKUP(B349,'✈ Flights (2)'!$A$2:$R$501,14,FALSE)</f>
        <v>Economy</v>
      </c>
      <c r="O349">
        <f>VLOOKUP(B349,'✈ Flights (2)'!$A$2:$P$502,12,FALSE)</f>
        <v>2953</v>
      </c>
    </row>
    <row r="350" spans="1:15">
      <c r="A350" s="33" t="s">
        <v>1853</v>
      </c>
      <c r="B350" s="33" t="s">
        <v>1100</v>
      </c>
      <c r="C350" s="33" t="s">
        <v>74</v>
      </c>
      <c r="D350" s="33" t="str">
        <f>VLOOKUP(B350,'✈ Flights (2)'!$A$2:$P$502,3,FALSE)</f>
        <v>Delta</v>
      </c>
      <c r="E350" s="33">
        <v>95481.36</v>
      </c>
      <c r="F350" s="33">
        <f t="shared" si="5"/>
        <v>82.311517241379306</v>
      </c>
      <c r="G350" s="33">
        <v>2239.29</v>
      </c>
      <c r="H350" s="33">
        <v>2247.2600000000002</v>
      </c>
      <c r="I350" s="33">
        <v>7124.66</v>
      </c>
      <c r="J350" s="33">
        <v>88348.73</v>
      </c>
      <c r="K350" s="33" t="s">
        <v>1511</v>
      </c>
      <c r="L350" s="40">
        <f>VLOOKUP(B350,'✈ Flights (2)'!$A$2:$R$501,13,FALSE)</f>
        <v>918.09</v>
      </c>
      <c r="M350">
        <f>VLOOKUP(B350,'✈ Flights (2)'!$A$2:$R$501,16,FALSE)</f>
        <v>104</v>
      </c>
      <c r="N350" t="str">
        <f>VLOOKUP(B350,'✈ Flights (2)'!$A$2:$R$501,14,FALSE)</f>
        <v>First Class</v>
      </c>
      <c r="O350">
        <f>VLOOKUP(B350,'✈ Flights (2)'!$A$2:$P$502,12,FALSE)</f>
        <v>1160</v>
      </c>
    </row>
    <row r="351" spans="1:15">
      <c r="A351" s="38" t="s">
        <v>1854</v>
      </c>
      <c r="B351" s="38" t="s">
        <v>1103</v>
      </c>
      <c r="C351" s="38" t="s">
        <v>39</v>
      </c>
      <c r="D351" s="33" t="str">
        <f>VLOOKUP(B351,'✈ Flights (2)'!$A$2:$P$502,3,FALSE)</f>
        <v>American</v>
      </c>
      <c r="E351" s="38">
        <v>21800.240000000002</v>
      </c>
      <c r="F351" s="33">
        <f t="shared" si="5"/>
        <v>28.348816644993502</v>
      </c>
      <c r="G351" s="38">
        <v>4649.42</v>
      </c>
      <c r="H351" s="38">
        <v>10427.9</v>
      </c>
      <c r="I351" s="38">
        <v>14374.71</v>
      </c>
      <c r="J351" s="38">
        <v>1647.05</v>
      </c>
      <c r="K351" s="38" t="s">
        <v>1509</v>
      </c>
      <c r="L351" s="40">
        <f>VLOOKUP(B351,'✈ Flights (2)'!$A$2:$R$501,13,FALSE)</f>
        <v>283.12</v>
      </c>
      <c r="M351">
        <f>VLOOKUP(B351,'✈ Flights (2)'!$A$2:$R$501,16,FALSE)</f>
        <v>77</v>
      </c>
      <c r="N351" t="str">
        <f>VLOOKUP(B351,'✈ Flights (2)'!$A$2:$R$501,14,FALSE)</f>
        <v>First Class</v>
      </c>
      <c r="O351">
        <f>VLOOKUP(B351,'✈ Flights (2)'!$A$2:$P$502,12,FALSE)</f>
        <v>769</v>
      </c>
    </row>
    <row r="352" spans="1:15">
      <c r="A352" s="33" t="s">
        <v>1855</v>
      </c>
      <c r="B352" s="33" t="s">
        <v>1105</v>
      </c>
      <c r="C352" s="33" t="s">
        <v>96</v>
      </c>
      <c r="D352" s="33" t="str">
        <f>VLOOKUP(B352,'✈ Flights (2)'!$A$2:$P$502,3,FALSE)</f>
        <v>United</v>
      </c>
      <c r="E352" s="33">
        <v>51303.3</v>
      </c>
      <c r="F352" s="33">
        <f t="shared" si="5"/>
        <v>19.1573188946975</v>
      </c>
      <c r="G352" s="33">
        <v>1377.06</v>
      </c>
      <c r="H352" s="33">
        <v>10400.34</v>
      </c>
      <c r="I352" s="33">
        <v>26794.38</v>
      </c>
      <c r="J352" s="33">
        <v>15485.64</v>
      </c>
      <c r="K352" s="33" t="s">
        <v>1509</v>
      </c>
      <c r="L352" s="40">
        <f>VLOOKUP(B352,'✈ Flights (2)'!$A$2:$R$501,13,FALSE)</f>
        <v>625.65</v>
      </c>
      <c r="M352">
        <f>VLOOKUP(B352,'✈ Flights (2)'!$A$2:$R$501,16,FALSE)</f>
        <v>82</v>
      </c>
      <c r="N352" t="str">
        <f>VLOOKUP(B352,'✈ Flights (2)'!$A$2:$R$501,14,FALSE)</f>
        <v>Business</v>
      </c>
      <c r="O352">
        <f>VLOOKUP(B352,'✈ Flights (2)'!$A$2:$P$502,12,FALSE)</f>
        <v>2678</v>
      </c>
    </row>
    <row r="353" spans="1:15">
      <c r="A353" s="38" t="s">
        <v>1856</v>
      </c>
      <c r="B353" s="38" t="s">
        <v>1108</v>
      </c>
      <c r="C353" s="38" t="s">
        <v>49</v>
      </c>
      <c r="D353" s="33" t="str">
        <f>VLOOKUP(B353,'✈ Flights (2)'!$A$2:$P$502,3,FALSE)</f>
        <v>Jetblue</v>
      </c>
      <c r="E353" s="38">
        <v>39849.75</v>
      </c>
      <c r="F353" s="33">
        <f t="shared" si="5"/>
        <v>18.577972027971999</v>
      </c>
      <c r="G353" s="38">
        <v>5731.36</v>
      </c>
      <c r="H353" s="38">
        <v>5744.14</v>
      </c>
      <c r="I353" s="38">
        <v>5728.24</v>
      </c>
      <c r="J353" s="38">
        <v>34108.730000000003</v>
      </c>
      <c r="K353" s="38" t="s">
        <v>1502</v>
      </c>
      <c r="L353" s="40">
        <f>VLOOKUP(B353,'✈ Flights (2)'!$A$2:$R$501,13,FALSE)</f>
        <v>447.75</v>
      </c>
      <c r="M353">
        <f>VLOOKUP(B353,'✈ Flights (2)'!$A$2:$R$501,16,FALSE)</f>
        <v>89</v>
      </c>
      <c r="N353" t="str">
        <f>VLOOKUP(B353,'✈ Flights (2)'!$A$2:$R$501,14,FALSE)</f>
        <v>First Class</v>
      </c>
      <c r="O353">
        <f>VLOOKUP(B353,'✈ Flights (2)'!$A$2:$P$502,12,FALSE)</f>
        <v>2145</v>
      </c>
    </row>
    <row r="354" spans="1:15">
      <c r="A354" s="33" t="s">
        <v>1857</v>
      </c>
      <c r="B354" s="33" t="s">
        <v>1110</v>
      </c>
      <c r="C354" s="33" t="s">
        <v>130</v>
      </c>
      <c r="D354" s="33" t="str">
        <f>VLOOKUP(B354,'✈ Flights (2)'!$A$2:$P$502,3,FALSE)</f>
        <v>Alaska</v>
      </c>
      <c r="E354" s="33">
        <v>105319.2</v>
      </c>
      <c r="F354" s="33">
        <f t="shared" si="5"/>
        <v>87.257000828500395</v>
      </c>
      <c r="G354" s="33">
        <v>4019.3</v>
      </c>
      <c r="H354" s="33">
        <v>8599.27</v>
      </c>
      <c r="I354" s="33">
        <v>20333.87</v>
      </c>
      <c r="J354" s="33">
        <v>80405.36</v>
      </c>
      <c r="K354" s="33" t="s">
        <v>1511</v>
      </c>
      <c r="L354" s="40">
        <f>VLOOKUP(B354,'✈ Flights (2)'!$A$2:$R$501,13,FALSE)</f>
        <v>877.66</v>
      </c>
      <c r="M354">
        <f>VLOOKUP(B354,'✈ Flights (2)'!$A$2:$R$501,16,FALSE)</f>
        <v>120</v>
      </c>
      <c r="N354" t="str">
        <f>VLOOKUP(B354,'✈ Flights (2)'!$A$2:$R$501,14,FALSE)</f>
        <v>First Class</v>
      </c>
      <c r="O354">
        <f>VLOOKUP(B354,'✈ Flights (2)'!$A$2:$P$502,12,FALSE)</f>
        <v>1207</v>
      </c>
    </row>
    <row r="355" spans="1:15">
      <c r="A355" s="38" t="s">
        <v>1858</v>
      </c>
      <c r="B355" s="38" t="s">
        <v>1112</v>
      </c>
      <c r="C355" s="38" t="s">
        <v>41</v>
      </c>
      <c r="D355" s="33" t="str">
        <f>VLOOKUP(B355,'✈ Flights (2)'!$A$2:$P$502,3,FALSE)</f>
        <v>Frontier</v>
      </c>
      <c r="E355" s="38">
        <v>14132.3</v>
      </c>
      <c r="F355" s="33">
        <f t="shared" si="5"/>
        <v>5.5225869480265697</v>
      </c>
      <c r="G355" s="38">
        <v>7413.02</v>
      </c>
      <c r="H355" s="38">
        <v>11297.59</v>
      </c>
      <c r="I355" s="38">
        <v>34870.879999999997</v>
      </c>
      <c r="J355" s="38">
        <v>-24623.15</v>
      </c>
      <c r="K355" s="38" t="s">
        <v>1509</v>
      </c>
      <c r="L355" s="40">
        <f>VLOOKUP(B355,'✈ Flights (2)'!$A$2:$R$501,13,FALSE)</f>
        <v>201.89</v>
      </c>
      <c r="M355">
        <f>VLOOKUP(B355,'✈ Flights (2)'!$A$2:$R$501,16,FALSE)</f>
        <v>70</v>
      </c>
      <c r="N355" t="str">
        <f>VLOOKUP(B355,'✈ Flights (2)'!$A$2:$R$501,14,FALSE)</f>
        <v>First Class</v>
      </c>
      <c r="O355">
        <f>VLOOKUP(B355,'✈ Flights (2)'!$A$2:$P$502,12,FALSE)</f>
        <v>2559</v>
      </c>
    </row>
    <row r="356" spans="1:15">
      <c r="A356" s="33" t="s">
        <v>1859</v>
      </c>
      <c r="B356" s="33" t="s">
        <v>1114</v>
      </c>
      <c r="C356" s="33" t="s">
        <v>55</v>
      </c>
      <c r="D356" s="33" t="str">
        <f>VLOOKUP(B356,'✈ Flights (2)'!$A$2:$P$502,3,FALSE)</f>
        <v>Jetblue</v>
      </c>
      <c r="E356" s="33">
        <v>28822.5</v>
      </c>
      <c r="F356" s="33">
        <f t="shared" si="5"/>
        <v>10.7909022837888</v>
      </c>
      <c r="G356" s="33">
        <v>1483.69</v>
      </c>
      <c r="H356" s="33">
        <v>11248.01</v>
      </c>
      <c r="I356" s="33">
        <v>15268.79</v>
      </c>
      <c r="J356" s="33">
        <v>3789.39</v>
      </c>
      <c r="K356" s="33" t="s">
        <v>1509</v>
      </c>
      <c r="L356" s="40">
        <f>VLOOKUP(B356,'✈ Flights (2)'!$A$2:$R$501,13,FALSE)</f>
        <v>533.75</v>
      </c>
      <c r="M356">
        <f>VLOOKUP(B356,'✈ Flights (2)'!$A$2:$R$501,16,FALSE)</f>
        <v>54</v>
      </c>
      <c r="N356" t="str">
        <f>VLOOKUP(B356,'✈ Flights (2)'!$A$2:$R$501,14,FALSE)</f>
        <v>First Class</v>
      </c>
      <c r="O356">
        <f>VLOOKUP(B356,'✈ Flights (2)'!$A$2:$P$502,12,FALSE)</f>
        <v>2671</v>
      </c>
    </row>
    <row r="357" spans="1:15">
      <c r="A357" s="38" t="s">
        <v>1860</v>
      </c>
      <c r="B357" s="38" t="s">
        <v>1116</v>
      </c>
      <c r="C357" s="38" t="s">
        <v>65</v>
      </c>
      <c r="D357" s="33" t="str">
        <f>VLOOKUP(B357,'✈ Flights (2)'!$A$2:$P$502,3,FALSE)</f>
        <v>American</v>
      </c>
      <c r="E357" s="38">
        <v>91700.18</v>
      </c>
      <c r="F357" s="33">
        <f t="shared" si="5"/>
        <v>41.625138447571501</v>
      </c>
      <c r="G357" s="38">
        <v>6748.11</v>
      </c>
      <c r="H357" s="38">
        <v>11549.6</v>
      </c>
      <c r="I357" s="38">
        <v>28558.76</v>
      </c>
      <c r="J357" s="38">
        <v>58339.93</v>
      </c>
      <c r="K357" s="38" t="s">
        <v>1509</v>
      </c>
      <c r="L357" s="40">
        <f>VLOOKUP(B357,'✈ Flights (2)'!$A$2:$R$501,13,FALSE)</f>
        <v>641.26</v>
      </c>
      <c r="M357">
        <f>VLOOKUP(B357,'✈ Flights (2)'!$A$2:$R$501,16,FALSE)</f>
        <v>143</v>
      </c>
      <c r="N357" t="str">
        <f>VLOOKUP(B357,'✈ Flights (2)'!$A$2:$R$501,14,FALSE)</f>
        <v>Economy</v>
      </c>
      <c r="O357">
        <f>VLOOKUP(B357,'✈ Flights (2)'!$A$2:$P$502,12,FALSE)</f>
        <v>2203</v>
      </c>
    </row>
    <row r="358" spans="1:15">
      <c r="A358" s="33" t="s">
        <v>1861</v>
      </c>
      <c r="B358" s="33" t="s">
        <v>1118</v>
      </c>
      <c r="C358" s="33" t="s">
        <v>117</v>
      </c>
      <c r="D358" s="33" t="str">
        <f>VLOOKUP(B358,'✈ Flights (2)'!$A$2:$P$502,3,FALSE)</f>
        <v>American</v>
      </c>
      <c r="E358" s="33">
        <v>141677.44</v>
      </c>
      <c r="F358" s="33">
        <f t="shared" si="5"/>
        <v>54.096006109202001</v>
      </c>
      <c r="G358" s="33">
        <v>6498.16</v>
      </c>
      <c r="H358" s="33">
        <v>10083.950000000001</v>
      </c>
      <c r="I358" s="33">
        <v>34558.589999999997</v>
      </c>
      <c r="J358" s="33">
        <v>103533.06</v>
      </c>
      <c r="K358" s="33" t="s">
        <v>1511</v>
      </c>
      <c r="L358" s="40">
        <f>VLOOKUP(B358,'✈ Flights (2)'!$A$2:$R$501,13,FALSE)</f>
        <v>1142.56</v>
      </c>
      <c r="M358">
        <f>VLOOKUP(B358,'✈ Flights (2)'!$A$2:$R$501,16,FALSE)</f>
        <v>124</v>
      </c>
      <c r="N358" t="str">
        <f>VLOOKUP(B358,'✈ Flights (2)'!$A$2:$R$501,14,FALSE)</f>
        <v>First Class</v>
      </c>
      <c r="O358">
        <f>VLOOKUP(B358,'✈ Flights (2)'!$A$2:$P$502,12,FALSE)</f>
        <v>2619</v>
      </c>
    </row>
    <row r="359" spans="1:15">
      <c r="A359" s="38" t="s">
        <v>1862</v>
      </c>
      <c r="B359" s="38" t="s">
        <v>1120</v>
      </c>
      <c r="C359" s="38" t="s">
        <v>24</v>
      </c>
      <c r="D359" s="33" t="str">
        <f>VLOOKUP(B359,'✈ Flights (2)'!$A$2:$P$502,3,FALSE)</f>
        <v>Delta</v>
      </c>
      <c r="E359" s="38">
        <v>39683.599999999999</v>
      </c>
      <c r="F359" s="33">
        <f t="shared" si="5"/>
        <v>21.888361831219001</v>
      </c>
      <c r="G359" s="38">
        <v>5680.23</v>
      </c>
      <c r="H359" s="38">
        <v>8277.57</v>
      </c>
      <c r="I359" s="38">
        <v>8016.72</v>
      </c>
      <c r="J359" s="38">
        <v>29069.54</v>
      </c>
      <c r="K359" s="38" t="s">
        <v>1502</v>
      </c>
      <c r="L359" s="40">
        <f>VLOOKUP(B359,'✈ Flights (2)'!$A$2:$R$501,13,FALSE)</f>
        <v>342.1</v>
      </c>
      <c r="M359">
        <f>VLOOKUP(B359,'✈ Flights (2)'!$A$2:$R$501,16,FALSE)</f>
        <v>116</v>
      </c>
      <c r="N359" t="str">
        <f>VLOOKUP(B359,'✈ Flights (2)'!$A$2:$R$501,14,FALSE)</f>
        <v>First Class</v>
      </c>
      <c r="O359">
        <f>VLOOKUP(B359,'✈ Flights (2)'!$A$2:$P$502,12,FALSE)</f>
        <v>1813</v>
      </c>
    </row>
    <row r="360" spans="1:15">
      <c r="A360" s="33" t="s">
        <v>1863</v>
      </c>
      <c r="B360" s="33" t="s">
        <v>1122</v>
      </c>
      <c r="C360" s="33" t="s">
        <v>41</v>
      </c>
      <c r="D360" s="33" t="str">
        <f>VLOOKUP(B360,'✈ Flights (2)'!$A$2:$P$502,3,FALSE)</f>
        <v>Frontier</v>
      </c>
      <c r="E360" s="33">
        <v>145286.39999999999</v>
      </c>
      <c r="F360" s="33">
        <f t="shared" si="5"/>
        <v>59.665872689938404</v>
      </c>
      <c r="G360" s="33">
        <v>1996.13</v>
      </c>
      <c r="H360" s="33">
        <v>3311.75</v>
      </c>
      <c r="I360" s="33">
        <v>26201.22</v>
      </c>
      <c r="J360" s="33">
        <v>117769.56</v>
      </c>
      <c r="K360" s="33" t="s">
        <v>1509</v>
      </c>
      <c r="L360" s="40">
        <f>VLOOKUP(B360,'✈ Flights (2)'!$A$2:$R$501,13,FALSE)</f>
        <v>789.6</v>
      </c>
      <c r="M360">
        <f>VLOOKUP(B360,'✈ Flights (2)'!$A$2:$R$501,16,FALSE)</f>
        <v>184</v>
      </c>
      <c r="N360" t="str">
        <f>VLOOKUP(B360,'✈ Flights (2)'!$A$2:$R$501,14,FALSE)</f>
        <v>Business</v>
      </c>
      <c r="O360">
        <f>VLOOKUP(B360,'✈ Flights (2)'!$A$2:$P$502,12,FALSE)</f>
        <v>2435</v>
      </c>
    </row>
    <row r="361" spans="1:15">
      <c r="A361" s="38" t="s">
        <v>1864</v>
      </c>
      <c r="B361" s="38" t="s">
        <v>1125</v>
      </c>
      <c r="C361" s="38" t="s">
        <v>67</v>
      </c>
      <c r="D361" s="33" t="str">
        <f>VLOOKUP(B361,'✈ Flights (2)'!$A$2:$P$502,3,FALSE)</f>
        <v>Spirit</v>
      </c>
      <c r="E361" s="38">
        <v>76727.97</v>
      </c>
      <c r="F361" s="33">
        <f t="shared" si="5"/>
        <v>57.690203007518797</v>
      </c>
      <c r="G361" s="38">
        <v>7572.91</v>
      </c>
      <c r="H361" s="38">
        <v>5051.3500000000004</v>
      </c>
      <c r="I361" s="38">
        <v>22280.38</v>
      </c>
      <c r="J361" s="38">
        <v>56969.15</v>
      </c>
      <c r="K361" s="38" t="s">
        <v>1504</v>
      </c>
      <c r="L361" s="40">
        <f>VLOOKUP(B361,'✈ Flights (2)'!$A$2:$R$501,13,FALSE)</f>
        <v>501.49</v>
      </c>
      <c r="M361">
        <f>VLOOKUP(B361,'✈ Flights (2)'!$A$2:$R$501,16,FALSE)</f>
        <v>153</v>
      </c>
      <c r="N361" t="str">
        <f>VLOOKUP(B361,'✈ Flights (2)'!$A$2:$R$501,14,FALSE)</f>
        <v>Economy</v>
      </c>
      <c r="O361">
        <f>VLOOKUP(B361,'✈ Flights (2)'!$A$2:$P$502,12,FALSE)</f>
        <v>1330</v>
      </c>
    </row>
    <row r="362" spans="1:15">
      <c r="A362" s="33" t="s">
        <v>1865</v>
      </c>
      <c r="B362" s="33" t="s">
        <v>1127</v>
      </c>
      <c r="C362" s="33" t="s">
        <v>80</v>
      </c>
      <c r="D362" s="33" t="str">
        <f>VLOOKUP(B362,'✈ Flights (2)'!$A$2:$P$502,3,FALSE)</f>
        <v>Frontier</v>
      </c>
      <c r="E362" s="33">
        <v>40848.39</v>
      </c>
      <c r="F362" s="33">
        <f t="shared" si="5"/>
        <v>41.767269938650301</v>
      </c>
      <c r="G362" s="33">
        <v>7994.46</v>
      </c>
      <c r="H362" s="33">
        <v>5390.5</v>
      </c>
      <c r="I362" s="33">
        <v>17557.54</v>
      </c>
      <c r="J362" s="33">
        <v>25894.81</v>
      </c>
      <c r="K362" s="33" t="s">
        <v>1502</v>
      </c>
      <c r="L362" s="40">
        <f>VLOOKUP(B362,'✈ Flights (2)'!$A$2:$R$501,13,FALSE)</f>
        <v>337.59</v>
      </c>
      <c r="M362">
        <f>VLOOKUP(B362,'✈ Flights (2)'!$A$2:$R$501,16,FALSE)</f>
        <v>121</v>
      </c>
      <c r="N362" t="str">
        <f>VLOOKUP(B362,'✈ Flights (2)'!$A$2:$R$501,14,FALSE)</f>
        <v>First Class</v>
      </c>
      <c r="O362">
        <f>VLOOKUP(B362,'✈ Flights (2)'!$A$2:$P$502,12,FALSE)</f>
        <v>978</v>
      </c>
    </row>
    <row r="363" spans="1:15">
      <c r="A363" s="38" t="s">
        <v>1866</v>
      </c>
      <c r="B363" s="38" t="s">
        <v>1129</v>
      </c>
      <c r="C363" s="38" t="s">
        <v>65</v>
      </c>
      <c r="D363" s="33" t="str">
        <f>VLOOKUP(B363,'✈ Flights (2)'!$A$2:$P$502,3,FALSE)</f>
        <v>American</v>
      </c>
      <c r="E363" s="38">
        <v>90658.62</v>
      </c>
      <c r="F363" s="33">
        <f t="shared" si="5"/>
        <v>54.878099273607702</v>
      </c>
      <c r="G363" s="38">
        <v>1810.36</v>
      </c>
      <c r="H363" s="38">
        <v>8545.23</v>
      </c>
      <c r="I363" s="38">
        <v>35081.160000000003</v>
      </c>
      <c r="J363" s="38">
        <v>110694.65</v>
      </c>
      <c r="K363" s="38" t="s">
        <v>1504</v>
      </c>
      <c r="L363" s="40">
        <f>VLOOKUP(B363,'✈ Flights (2)'!$A$2:$R$501,13,FALSE)</f>
        <v>527.08500000000004</v>
      </c>
      <c r="M363">
        <f>VLOOKUP(B363,'✈ Flights (2)'!$A$2:$R$501,16,FALSE)</f>
        <v>172</v>
      </c>
      <c r="N363" t="str">
        <f>VLOOKUP(B363,'✈ Flights (2)'!$A$2:$R$501,14,FALSE)</f>
        <v>Business</v>
      </c>
      <c r="O363">
        <f>VLOOKUP(B363,'✈ Flights (2)'!$A$2:$P$502,12,FALSE)</f>
        <v>1652</v>
      </c>
    </row>
    <row r="364" spans="1:15">
      <c r="A364" s="33" t="s">
        <v>1867</v>
      </c>
      <c r="B364" s="33" t="s">
        <v>1131</v>
      </c>
      <c r="C364" s="33" t="s">
        <v>175</v>
      </c>
      <c r="D364" s="33" t="str">
        <f>VLOOKUP(B364,'✈ Flights (2)'!$A$2:$P$502,3,FALSE)</f>
        <v>Spirit</v>
      </c>
      <c r="E364" s="33">
        <v>15627.6</v>
      </c>
      <c r="F364" s="33">
        <f t="shared" si="5"/>
        <v>5.7327953044754203</v>
      </c>
      <c r="G364" s="33">
        <v>3033.01</v>
      </c>
      <c r="H364" s="33">
        <v>4946.97</v>
      </c>
      <c r="I364" s="33">
        <v>8988.93</v>
      </c>
      <c r="J364" s="33">
        <v>4724.71</v>
      </c>
      <c r="K364" s="33" t="s">
        <v>1502</v>
      </c>
      <c r="L364" s="40">
        <f>VLOOKUP(B364,'✈ Flights (2)'!$A$2:$R$501,13,FALSE)</f>
        <v>260.45999999999998</v>
      </c>
      <c r="M364">
        <f>VLOOKUP(B364,'✈ Flights (2)'!$A$2:$R$501,16,FALSE)</f>
        <v>60</v>
      </c>
      <c r="N364" t="str">
        <f>VLOOKUP(B364,'✈ Flights (2)'!$A$2:$R$501,14,FALSE)</f>
        <v>First Class</v>
      </c>
      <c r="O364">
        <f>VLOOKUP(B364,'✈ Flights (2)'!$A$2:$P$502,12,FALSE)</f>
        <v>2726</v>
      </c>
    </row>
    <row r="365" spans="1:15">
      <c r="A365" s="38" t="s">
        <v>1868</v>
      </c>
      <c r="B365" s="38" t="s">
        <v>1134</v>
      </c>
      <c r="C365" s="38" t="s">
        <v>22</v>
      </c>
      <c r="D365" s="33" t="str">
        <f>VLOOKUP(B365,'✈ Flights (2)'!$A$2:$P$502,3,FALSE)</f>
        <v>American</v>
      </c>
      <c r="E365" s="38">
        <v>173916.66</v>
      </c>
      <c r="F365" s="33">
        <f t="shared" si="5"/>
        <v>66.685835889570598</v>
      </c>
      <c r="G365" s="38">
        <v>4147.74</v>
      </c>
      <c r="H365" s="38">
        <v>12203.52</v>
      </c>
      <c r="I365" s="38">
        <v>39778.199999999997</v>
      </c>
      <c r="J365" s="38">
        <v>126082.68</v>
      </c>
      <c r="K365" s="38" t="s">
        <v>1504</v>
      </c>
      <c r="L365" s="40">
        <f>VLOOKUP(B365,'✈ Flights (2)'!$A$2:$R$501,13,FALSE)</f>
        <v>794.14</v>
      </c>
      <c r="M365">
        <f>VLOOKUP(B365,'✈ Flights (2)'!$A$2:$R$501,16,FALSE)</f>
        <v>219</v>
      </c>
      <c r="N365" t="str">
        <f>VLOOKUP(B365,'✈ Flights (2)'!$A$2:$R$501,14,FALSE)</f>
        <v>First Class</v>
      </c>
      <c r="O365">
        <f>VLOOKUP(B365,'✈ Flights (2)'!$A$2:$P$502,12,FALSE)</f>
        <v>2608</v>
      </c>
    </row>
    <row r="366" spans="1:15">
      <c r="A366" s="33" t="s">
        <v>1869</v>
      </c>
      <c r="B366" s="33" t="s">
        <v>1137</v>
      </c>
      <c r="C366" s="33" t="s">
        <v>49</v>
      </c>
      <c r="D366" s="33" t="str">
        <f>VLOOKUP(B366,'✈ Flights (2)'!$A$2:$P$502,3,FALSE)</f>
        <v>Frontier</v>
      </c>
      <c r="E366" s="33">
        <v>107670.42</v>
      </c>
      <c r="F366" s="33">
        <f t="shared" si="5"/>
        <v>54.3241271442987</v>
      </c>
      <c r="G366" s="33">
        <v>6275.71</v>
      </c>
      <c r="H366" s="33">
        <v>13652.13</v>
      </c>
      <c r="I366" s="33">
        <v>24495.78</v>
      </c>
      <c r="J366" s="33">
        <v>75798.22</v>
      </c>
      <c r="K366" s="33" t="s">
        <v>1504</v>
      </c>
      <c r="L366" s="40">
        <f>VLOOKUP(B366,'✈ Flights (2)'!$A$2:$R$501,13,FALSE)</f>
        <v>752.94</v>
      </c>
      <c r="M366">
        <f>VLOOKUP(B366,'✈ Flights (2)'!$A$2:$R$501,16,FALSE)</f>
        <v>143</v>
      </c>
      <c r="N366" t="str">
        <f>VLOOKUP(B366,'✈ Flights (2)'!$A$2:$R$501,14,FALSE)</f>
        <v>First Class</v>
      </c>
      <c r="O366">
        <f>VLOOKUP(B366,'✈ Flights (2)'!$A$2:$P$502,12,FALSE)</f>
        <v>1982</v>
      </c>
    </row>
    <row r="367" spans="1:15">
      <c r="A367" s="38" t="s">
        <v>1870</v>
      </c>
      <c r="B367" s="38" t="s">
        <v>1140</v>
      </c>
      <c r="C367" s="38" t="s">
        <v>39</v>
      </c>
      <c r="D367" s="33" t="str">
        <f>VLOOKUP(B367,'✈ Flights (2)'!$A$2:$P$502,3,FALSE)</f>
        <v>Jetblue</v>
      </c>
      <c r="E367" s="38">
        <v>31726.639999999999</v>
      </c>
      <c r="F367" s="33">
        <f t="shared" si="5"/>
        <v>17.158810167658199</v>
      </c>
      <c r="G367" s="38">
        <v>5798.04</v>
      </c>
      <c r="H367" s="38">
        <v>7691.75</v>
      </c>
      <c r="I367" s="38">
        <v>37432.120000000003</v>
      </c>
      <c r="J367" s="38">
        <v>-7599.19</v>
      </c>
      <c r="K367" s="38" t="s">
        <v>1509</v>
      </c>
      <c r="L367" s="40">
        <f>VLOOKUP(B367,'✈ Flights (2)'!$A$2:$R$501,13,FALSE)</f>
        <v>511.72</v>
      </c>
      <c r="M367">
        <f>VLOOKUP(B367,'✈ Flights (2)'!$A$2:$R$501,16,FALSE)</f>
        <v>62</v>
      </c>
      <c r="N367" t="str">
        <f>VLOOKUP(B367,'✈ Flights (2)'!$A$2:$R$501,14,FALSE)</f>
        <v>Economy</v>
      </c>
      <c r="O367">
        <f>VLOOKUP(B367,'✈ Flights (2)'!$A$2:$P$502,12,FALSE)</f>
        <v>1849</v>
      </c>
    </row>
    <row r="368" spans="1:15">
      <c r="A368" s="33" t="s">
        <v>1871</v>
      </c>
      <c r="B368" s="33" t="s">
        <v>1142</v>
      </c>
      <c r="C368" s="33" t="s">
        <v>102</v>
      </c>
      <c r="D368" s="33" t="str">
        <f>VLOOKUP(B368,'✈ Flights (2)'!$A$2:$P$502,3,FALSE)</f>
        <v>Spirit</v>
      </c>
      <c r="E368" s="33">
        <v>9897.6</v>
      </c>
      <c r="F368" s="33">
        <f t="shared" si="5"/>
        <v>3.59129172714078</v>
      </c>
      <c r="G368" s="33">
        <v>7719.85</v>
      </c>
      <c r="H368" s="33">
        <v>14670.58</v>
      </c>
      <c r="I368" s="33">
        <v>31451.75</v>
      </c>
      <c r="J368" s="33">
        <v>-28504.880000000001</v>
      </c>
      <c r="K368" s="33" t="s">
        <v>1504</v>
      </c>
      <c r="L368" s="40">
        <f>VLOOKUP(B368,'✈ Flights (2)'!$A$2:$R$501,13,FALSE)</f>
        <v>123.72</v>
      </c>
      <c r="M368">
        <f>VLOOKUP(B368,'✈ Flights (2)'!$A$2:$R$501,16,FALSE)</f>
        <v>80</v>
      </c>
      <c r="N368" t="str">
        <f>VLOOKUP(B368,'✈ Flights (2)'!$A$2:$R$501,14,FALSE)</f>
        <v>First Class</v>
      </c>
      <c r="O368">
        <f>VLOOKUP(B368,'✈ Flights (2)'!$A$2:$P$502,12,FALSE)</f>
        <v>2756</v>
      </c>
    </row>
    <row r="369" spans="1:15">
      <c r="A369" s="38" t="s">
        <v>1872</v>
      </c>
      <c r="B369" s="38" t="s">
        <v>1144</v>
      </c>
      <c r="C369" s="38" t="s">
        <v>130</v>
      </c>
      <c r="D369" s="33" t="str">
        <f>VLOOKUP(B369,'✈ Flights (2)'!$A$2:$P$502,3,FALSE)</f>
        <v>Delta</v>
      </c>
      <c r="E369" s="38">
        <v>137865.78</v>
      </c>
      <c r="F369" s="33">
        <f t="shared" si="5"/>
        <v>55.816105263157901</v>
      </c>
      <c r="G369" s="38">
        <v>6677.08</v>
      </c>
      <c r="H369" s="38">
        <v>3370.34</v>
      </c>
      <c r="I369" s="38">
        <v>6468.93</v>
      </c>
      <c r="J369" s="38">
        <v>134703.59</v>
      </c>
      <c r="K369" s="38" t="s">
        <v>1504</v>
      </c>
      <c r="L369" s="40">
        <f>VLOOKUP(B369,'✈ Flights (2)'!$A$2:$R$501,13,FALSE)</f>
        <v>560.42999999999995</v>
      </c>
      <c r="M369">
        <f>VLOOKUP(B369,'✈ Flights (2)'!$A$2:$R$501,16,FALSE)</f>
        <v>246</v>
      </c>
      <c r="N369" t="str">
        <f>VLOOKUP(B369,'✈ Flights (2)'!$A$2:$R$501,14,FALSE)</f>
        <v>Unknown</v>
      </c>
      <c r="O369">
        <f>VLOOKUP(B369,'✈ Flights (2)'!$A$2:$P$502,12,FALSE)</f>
        <v>2470</v>
      </c>
    </row>
    <row r="370" spans="1:15">
      <c r="A370" s="33" t="s">
        <v>1873</v>
      </c>
      <c r="B370" s="33" t="s">
        <v>1146</v>
      </c>
      <c r="C370" s="33" t="s">
        <v>102</v>
      </c>
      <c r="D370" s="33" t="str">
        <f>VLOOKUP(B370,'✈ Flights (2)'!$A$2:$P$502,3,FALSE)</f>
        <v>Spirit</v>
      </c>
      <c r="E370" s="33">
        <v>86260.35</v>
      </c>
      <c r="F370" s="33">
        <f t="shared" si="5"/>
        <v>59.082431506849296</v>
      </c>
      <c r="G370" s="33">
        <v>7031.52</v>
      </c>
      <c r="H370" s="33">
        <v>4041.42</v>
      </c>
      <c r="I370" s="33">
        <v>36884.5</v>
      </c>
      <c r="J370" s="33">
        <v>52365.95</v>
      </c>
      <c r="K370" s="33" t="s">
        <v>1511</v>
      </c>
      <c r="L370" s="40">
        <f>VLOOKUP(B370,'✈ Flights (2)'!$A$2:$R$501,13,FALSE)</f>
        <v>750.09</v>
      </c>
      <c r="M370">
        <f>VLOOKUP(B370,'✈ Flights (2)'!$A$2:$R$501,16,FALSE)</f>
        <v>115</v>
      </c>
      <c r="N370" t="str">
        <f>VLOOKUP(B370,'✈ Flights (2)'!$A$2:$R$501,14,FALSE)</f>
        <v>First Class</v>
      </c>
      <c r="O370">
        <f>VLOOKUP(B370,'✈ Flights (2)'!$A$2:$P$502,12,FALSE)</f>
        <v>1460</v>
      </c>
    </row>
    <row r="371" spans="1:15">
      <c r="A371" s="38" t="s">
        <v>1874</v>
      </c>
      <c r="B371" s="38" t="s">
        <v>1148</v>
      </c>
      <c r="C371" s="38" t="s">
        <v>117</v>
      </c>
      <c r="D371" s="33" t="str">
        <f>VLOOKUP(B371,'✈ Flights (2)'!$A$2:$P$502,3,FALSE)</f>
        <v>United</v>
      </c>
      <c r="E371" s="38">
        <v>55942.64</v>
      </c>
      <c r="F371" s="33">
        <f t="shared" si="5"/>
        <v>35.117790332705603</v>
      </c>
      <c r="G371" s="38">
        <v>5811.23</v>
      </c>
      <c r="H371" s="38">
        <v>8479.08</v>
      </c>
      <c r="I371" s="38">
        <v>31668.76</v>
      </c>
      <c r="J371" s="38">
        <v>21606.03</v>
      </c>
      <c r="K371" s="38" t="s">
        <v>1504</v>
      </c>
      <c r="L371" s="40">
        <f>VLOOKUP(B371,'✈ Flights (2)'!$A$2:$R$501,13,FALSE)</f>
        <v>537.91</v>
      </c>
      <c r="M371">
        <f>VLOOKUP(B371,'✈ Flights (2)'!$A$2:$R$501,16,FALSE)</f>
        <v>104</v>
      </c>
      <c r="N371" t="str">
        <f>VLOOKUP(B371,'✈ Flights (2)'!$A$2:$R$501,14,FALSE)</f>
        <v>Unknown</v>
      </c>
      <c r="O371">
        <f>VLOOKUP(B371,'✈ Flights (2)'!$A$2:$P$502,12,FALSE)</f>
        <v>1593</v>
      </c>
    </row>
    <row r="372" spans="1:15">
      <c r="A372" s="33" t="s">
        <v>1875</v>
      </c>
      <c r="B372" s="33" t="s">
        <v>1150</v>
      </c>
      <c r="C372" s="33" t="s">
        <v>74</v>
      </c>
      <c r="D372" s="33" t="str">
        <f>VLOOKUP(B372,'✈ Flights (2)'!$A$2:$P$502,3,FALSE)</f>
        <v>Spirit</v>
      </c>
      <c r="E372" s="33">
        <v>177709.44</v>
      </c>
      <c r="F372" s="33">
        <f t="shared" si="5"/>
        <v>92.220778412039394</v>
      </c>
      <c r="G372" s="33">
        <v>1657.22</v>
      </c>
      <c r="H372" s="33">
        <v>12649.09</v>
      </c>
      <c r="I372" s="38">
        <v>22778.588495934899</v>
      </c>
      <c r="J372" s="33">
        <v>148986.78</v>
      </c>
      <c r="K372" s="33" t="s">
        <v>1504</v>
      </c>
      <c r="L372" s="40">
        <f>VLOOKUP(B372,'✈ Flights (2)'!$A$2:$R$501,13,FALSE)</f>
        <v>925.57</v>
      </c>
      <c r="M372">
        <f>VLOOKUP(B372,'✈ Flights (2)'!$A$2:$R$501,16,FALSE)</f>
        <v>192</v>
      </c>
      <c r="N372" t="str">
        <f>VLOOKUP(B372,'✈ Flights (2)'!$A$2:$R$501,14,FALSE)</f>
        <v>Business</v>
      </c>
      <c r="O372">
        <f>VLOOKUP(B372,'✈ Flights (2)'!$A$2:$P$502,12,FALSE)</f>
        <v>1927</v>
      </c>
    </row>
    <row r="373" spans="1:15">
      <c r="A373" s="38" t="s">
        <v>1876</v>
      </c>
      <c r="B373" s="38" t="s">
        <v>1153</v>
      </c>
      <c r="C373" s="38" t="s">
        <v>22</v>
      </c>
      <c r="D373" s="33" t="str">
        <f>VLOOKUP(B373,'✈ Flights (2)'!$A$2:$P$502,3,FALSE)</f>
        <v>Frontier</v>
      </c>
      <c r="E373" s="38">
        <v>39240.682500000003</v>
      </c>
      <c r="F373" s="33">
        <f t="shared" si="5"/>
        <v>20.331959844559599</v>
      </c>
      <c r="G373" s="38">
        <v>6864.46</v>
      </c>
      <c r="H373" s="38">
        <v>7404.75</v>
      </c>
      <c r="I373" s="38">
        <v>20368.8</v>
      </c>
      <c r="J373" s="38">
        <v>50513.23</v>
      </c>
      <c r="K373" s="38" t="s">
        <v>1504</v>
      </c>
      <c r="L373" s="40">
        <f>VLOOKUP(B373,'✈ Flights (2)'!$A$2:$R$501,13,FALSE)</f>
        <v>496.71749999999997</v>
      </c>
      <c r="M373">
        <f>VLOOKUP(B373,'✈ Flights (2)'!$A$2:$R$501,16,FALSE)</f>
        <v>79</v>
      </c>
      <c r="N373" t="str">
        <f>VLOOKUP(B373,'✈ Flights (2)'!$A$2:$R$501,14,FALSE)</f>
        <v>First Class</v>
      </c>
      <c r="O373">
        <f>VLOOKUP(B373,'✈ Flights (2)'!$A$2:$P$502,12,FALSE)</f>
        <v>1930</v>
      </c>
    </row>
    <row r="374" spans="1:15">
      <c r="A374" s="33" t="s">
        <v>1877</v>
      </c>
      <c r="B374" s="33" t="s">
        <v>1156</v>
      </c>
      <c r="C374" s="33" t="s">
        <v>184</v>
      </c>
      <c r="D374" s="33" t="str">
        <f>VLOOKUP(B374,'✈ Flights (2)'!$A$2:$P$502,3,FALSE)</f>
        <v>United</v>
      </c>
      <c r="E374" s="33">
        <v>60249</v>
      </c>
      <c r="F374" s="33">
        <f t="shared" si="5"/>
        <v>21.4028419182949</v>
      </c>
      <c r="G374" s="33">
        <v>2339.87</v>
      </c>
      <c r="H374" s="33">
        <v>6437.16</v>
      </c>
      <c r="I374" s="33">
        <v>33320.080000000002</v>
      </c>
      <c r="J374" s="33">
        <v>22831.63</v>
      </c>
      <c r="K374" s="33" t="s">
        <v>1502</v>
      </c>
      <c r="L374" s="40">
        <f>VLOOKUP(B374,'✈ Flights (2)'!$A$2:$R$501,13,FALSE)</f>
        <v>860.7</v>
      </c>
      <c r="M374">
        <f>VLOOKUP(B374,'✈ Flights (2)'!$A$2:$R$501,16,FALSE)</f>
        <v>70</v>
      </c>
      <c r="N374" t="str">
        <f>VLOOKUP(B374,'✈ Flights (2)'!$A$2:$R$501,14,FALSE)</f>
        <v>First Class</v>
      </c>
      <c r="O374">
        <f>VLOOKUP(B374,'✈ Flights (2)'!$A$2:$P$502,12,FALSE)</f>
        <v>2815</v>
      </c>
    </row>
    <row r="375" spans="1:15">
      <c r="A375" s="38" t="s">
        <v>1878</v>
      </c>
      <c r="B375" s="38" t="s">
        <v>1159</v>
      </c>
      <c r="C375" s="38" t="s">
        <v>102</v>
      </c>
      <c r="D375" s="33" t="str">
        <f>VLOOKUP(B375,'✈ Flights (2)'!$A$2:$P$502,3,FALSE)</f>
        <v>United</v>
      </c>
      <c r="E375" s="38">
        <v>20231.64</v>
      </c>
      <c r="F375" s="33">
        <f t="shared" si="5"/>
        <v>35.999359430604997</v>
      </c>
      <c r="G375" s="38">
        <v>1139.25</v>
      </c>
      <c r="H375" s="38">
        <v>11812.99</v>
      </c>
      <c r="I375" s="38">
        <v>18035.27</v>
      </c>
      <c r="J375" s="38">
        <v>-8477.3700000000008</v>
      </c>
      <c r="K375" s="38" t="s">
        <v>1511</v>
      </c>
      <c r="L375" s="40">
        <f>VLOOKUP(B375,'✈ Flights (2)'!$A$2:$R$501,13,FALSE)</f>
        <v>374.66</v>
      </c>
      <c r="M375">
        <f>VLOOKUP(B375,'✈ Flights (2)'!$A$2:$R$501,16,FALSE)</f>
        <v>54</v>
      </c>
      <c r="N375" t="str">
        <f>VLOOKUP(B375,'✈ Flights (2)'!$A$2:$R$501,14,FALSE)</f>
        <v>Business</v>
      </c>
      <c r="O375">
        <f>VLOOKUP(B375,'✈ Flights (2)'!$A$2:$P$502,12,FALSE)</f>
        <v>562</v>
      </c>
    </row>
    <row r="376" spans="1:15">
      <c r="A376" s="33" t="s">
        <v>1879</v>
      </c>
      <c r="B376" s="33" t="s">
        <v>1160</v>
      </c>
      <c r="C376" s="33" t="s">
        <v>49</v>
      </c>
      <c r="D376" s="33" t="str">
        <f>VLOOKUP(B376,'✈ Flights (2)'!$A$2:$P$502,3,FALSE)</f>
        <v>Jetblue</v>
      </c>
      <c r="E376" s="33">
        <v>157021.20000000001</v>
      </c>
      <c r="F376" s="33">
        <f t="shared" si="5"/>
        <v>457.78775510204099</v>
      </c>
      <c r="G376" s="33">
        <v>5220.8</v>
      </c>
      <c r="H376" s="33">
        <v>11791.68</v>
      </c>
      <c r="I376" s="33">
        <v>13590.79</v>
      </c>
      <c r="J376" s="33">
        <v>76199.98</v>
      </c>
      <c r="K376" s="33" t="s">
        <v>1509</v>
      </c>
      <c r="L376" s="40">
        <f>VLOOKUP(B376,'✈ Flights (2)'!$A$2:$R$501,13,FALSE)</f>
        <v>498.48</v>
      </c>
      <c r="M376">
        <f>VLOOKUP(B376,'✈ Flights (2)'!$A$2:$R$501,16,FALSE)</f>
        <v>315</v>
      </c>
      <c r="N376" t="str">
        <f>VLOOKUP(B376,'✈ Flights (2)'!$A$2:$R$501,14,FALSE)</f>
        <v>First Class</v>
      </c>
      <c r="O376">
        <f>VLOOKUP(B376,'✈ Flights (2)'!$A$2:$P$502,12,FALSE)</f>
        <v>343</v>
      </c>
    </row>
    <row r="377" spans="1:15">
      <c r="A377" s="38" t="s">
        <v>1880</v>
      </c>
      <c r="B377" s="38" t="s">
        <v>1163</v>
      </c>
      <c r="C377" s="38" t="s">
        <v>49</v>
      </c>
      <c r="D377" s="33" t="str">
        <f>VLOOKUP(B377,'✈ Flights (2)'!$A$2:$P$502,3,FALSE)</f>
        <v>Southwest</v>
      </c>
      <c r="E377" s="38">
        <v>69157.7</v>
      </c>
      <c r="F377" s="33">
        <f t="shared" si="5"/>
        <v>54.0716966379984</v>
      </c>
      <c r="G377" s="38">
        <v>6404.12</v>
      </c>
      <c r="H377" s="38">
        <v>7574.7</v>
      </c>
      <c r="I377" s="38">
        <v>9829.7999999999993</v>
      </c>
      <c r="J377" s="38">
        <v>58157.32</v>
      </c>
      <c r="K377" s="38" t="s">
        <v>1509</v>
      </c>
      <c r="L377" s="40">
        <f>VLOOKUP(B377,'✈ Flights (2)'!$A$2:$R$501,13,FALSE)</f>
        <v>813.62</v>
      </c>
      <c r="M377">
        <f>VLOOKUP(B377,'✈ Flights (2)'!$A$2:$R$501,16,FALSE)</f>
        <v>85</v>
      </c>
      <c r="N377" t="str">
        <f>VLOOKUP(B377,'✈ Flights (2)'!$A$2:$R$501,14,FALSE)</f>
        <v>Economy</v>
      </c>
      <c r="O377">
        <f>VLOOKUP(B377,'✈ Flights (2)'!$A$2:$P$502,12,FALSE)</f>
        <v>1279</v>
      </c>
    </row>
    <row r="378" spans="1:15">
      <c r="A378" s="33" t="s">
        <v>1881</v>
      </c>
      <c r="B378" s="33" t="s">
        <v>1165</v>
      </c>
      <c r="C378" s="33" t="s">
        <v>74</v>
      </c>
      <c r="D378" s="33" t="str">
        <f>VLOOKUP(B378,'✈ Flights (2)'!$A$2:$P$502,3,FALSE)</f>
        <v>Spirit</v>
      </c>
      <c r="E378" s="33">
        <v>157546.16</v>
      </c>
      <c r="F378" s="33">
        <f t="shared" si="5"/>
        <v>271.16378657487098</v>
      </c>
      <c r="G378" s="33">
        <v>7235.49</v>
      </c>
      <c r="H378" s="33">
        <v>8710.02</v>
      </c>
      <c r="I378" s="33">
        <v>38314.42</v>
      </c>
      <c r="J378" s="33">
        <v>117757.21</v>
      </c>
      <c r="K378" s="33" t="s">
        <v>1511</v>
      </c>
      <c r="L378" s="40">
        <f>VLOOKUP(B378,'✈ Flights (2)'!$A$2:$R$501,13,FALSE)</f>
        <v>1109.48</v>
      </c>
      <c r="M378">
        <f>VLOOKUP(B378,'✈ Flights (2)'!$A$2:$R$501,16,FALSE)</f>
        <v>142</v>
      </c>
      <c r="N378" t="str">
        <f>VLOOKUP(B378,'✈ Flights (2)'!$A$2:$R$501,14,FALSE)</f>
        <v>First Class</v>
      </c>
      <c r="O378">
        <f>VLOOKUP(B378,'✈ Flights (2)'!$A$2:$P$502,12,FALSE)</f>
        <v>581</v>
      </c>
    </row>
    <row r="379" spans="1:15">
      <c r="A379" s="38" t="s">
        <v>1882</v>
      </c>
      <c r="B379" s="38" t="s">
        <v>1168</v>
      </c>
      <c r="C379" s="38" t="s">
        <v>22</v>
      </c>
      <c r="D379" s="33" t="str">
        <f>VLOOKUP(B379,'✈ Flights (2)'!$A$2:$P$502,3,FALSE)</f>
        <v>Alaska</v>
      </c>
      <c r="E379" s="38">
        <v>63993.78</v>
      </c>
      <c r="F379" s="33">
        <f t="shared" si="5"/>
        <v>32.750143295803497</v>
      </c>
      <c r="G379" s="38">
        <v>7578.05</v>
      </c>
      <c r="H379" s="38">
        <v>12011.97</v>
      </c>
      <c r="I379" s="38">
        <v>20490.25</v>
      </c>
      <c r="J379" s="38">
        <v>48913.63</v>
      </c>
      <c r="K379" s="38" t="s">
        <v>1504</v>
      </c>
      <c r="L379" s="40">
        <f>VLOOKUP(B379,'✈ Flights (2)'!$A$2:$R$501,13,FALSE)</f>
        <v>627.39</v>
      </c>
      <c r="M379">
        <f>VLOOKUP(B379,'✈ Flights (2)'!$A$2:$R$501,16,FALSE)</f>
        <v>102</v>
      </c>
      <c r="N379" t="str">
        <f>VLOOKUP(B379,'✈ Flights (2)'!$A$2:$R$501,14,FALSE)</f>
        <v>Business</v>
      </c>
      <c r="O379">
        <f>VLOOKUP(B379,'✈ Flights (2)'!$A$2:$P$502,12,FALSE)</f>
        <v>1954</v>
      </c>
    </row>
    <row r="380" spans="1:15">
      <c r="A380" s="33" t="s">
        <v>1883</v>
      </c>
      <c r="B380" s="33" t="s">
        <v>1170</v>
      </c>
      <c r="C380" s="33" t="s">
        <v>157</v>
      </c>
      <c r="D380" s="33" t="str">
        <f>VLOOKUP(B380,'✈ Flights (2)'!$A$2:$P$502,3,FALSE)</f>
        <v>Jetblue</v>
      </c>
      <c r="E380" s="33">
        <v>87518.88</v>
      </c>
      <c r="F380" s="33">
        <f t="shared" si="5"/>
        <v>32.976217030896798</v>
      </c>
      <c r="G380" s="33">
        <v>1135.8399999999999</v>
      </c>
      <c r="H380" s="33">
        <v>14765.28</v>
      </c>
      <c r="I380" s="33">
        <v>16018.16</v>
      </c>
      <c r="J380" s="33">
        <v>57871.28</v>
      </c>
      <c r="K380" s="33" t="s">
        <v>1502</v>
      </c>
      <c r="L380" s="40">
        <f>VLOOKUP(B380,'✈ Flights (2)'!$A$2:$R$501,13,FALSE)</f>
        <v>360.16</v>
      </c>
      <c r="M380">
        <f>VLOOKUP(B380,'✈ Flights (2)'!$A$2:$R$501,16,FALSE)</f>
        <v>243</v>
      </c>
      <c r="N380" t="str">
        <f>VLOOKUP(B380,'✈ Flights (2)'!$A$2:$R$501,14,FALSE)</f>
        <v>Business</v>
      </c>
      <c r="O380">
        <f>VLOOKUP(B380,'✈ Flights (2)'!$A$2:$P$502,12,FALSE)</f>
        <v>2654</v>
      </c>
    </row>
    <row r="381" spans="1:15">
      <c r="A381" s="38" t="s">
        <v>1884</v>
      </c>
      <c r="B381" s="38" t="s">
        <v>1173</v>
      </c>
      <c r="C381" s="38" t="s">
        <v>41</v>
      </c>
      <c r="D381" s="33" t="str">
        <f>VLOOKUP(B381,'✈ Flights (2)'!$A$2:$P$502,3,FALSE)</f>
        <v>Alaska</v>
      </c>
      <c r="E381" s="38">
        <v>92558.76</v>
      </c>
      <c r="F381" s="33">
        <f t="shared" si="5"/>
        <v>119.27675257732</v>
      </c>
      <c r="G381" s="38">
        <v>0</v>
      </c>
      <c r="H381" s="38">
        <v>7112.46</v>
      </c>
      <c r="I381" s="38">
        <v>20192.53</v>
      </c>
      <c r="J381" s="38">
        <v>-27304.99</v>
      </c>
      <c r="K381" s="38" t="s">
        <v>1504</v>
      </c>
      <c r="L381" s="40">
        <f>VLOOKUP(B381,'✈ Flights (2)'!$A$2:$R$501,13,FALSE)</f>
        <v>368.76</v>
      </c>
      <c r="M381">
        <f>VLOOKUP(B381,'✈ Flights (2)'!$A$2:$R$501,16,FALSE)</f>
        <v>251</v>
      </c>
      <c r="N381" t="str">
        <f>VLOOKUP(B381,'✈ Flights (2)'!$A$2:$R$501,14,FALSE)</f>
        <v>Business</v>
      </c>
      <c r="O381">
        <f>VLOOKUP(B381,'✈ Flights (2)'!$A$2:$P$502,12,FALSE)</f>
        <v>776</v>
      </c>
    </row>
    <row r="382" spans="1:15">
      <c r="A382" s="33" t="s">
        <v>1885</v>
      </c>
      <c r="B382" s="33" t="s">
        <v>1176</v>
      </c>
      <c r="C382" s="33" t="s">
        <v>130</v>
      </c>
      <c r="D382" s="33" t="str">
        <f>VLOOKUP(B382,'✈ Flights (2)'!$A$2:$P$502,3,FALSE)</f>
        <v>Alaska</v>
      </c>
      <c r="E382" s="33">
        <v>49052.85</v>
      </c>
      <c r="F382" s="33">
        <f t="shared" si="5"/>
        <v>35.597133526850499</v>
      </c>
      <c r="G382" s="33">
        <v>5451.32</v>
      </c>
      <c r="H382" s="33">
        <v>13732.64</v>
      </c>
      <c r="I382" s="33">
        <v>27451.3</v>
      </c>
      <c r="J382" s="33">
        <v>13320.23</v>
      </c>
      <c r="K382" s="33" t="s">
        <v>1504</v>
      </c>
      <c r="L382" s="40">
        <f>VLOOKUP(B382,'✈ Flights (2)'!$A$2:$R$501,13,FALSE)</f>
        <v>358.05</v>
      </c>
      <c r="M382">
        <f>VLOOKUP(B382,'✈ Flights (2)'!$A$2:$R$501,16,FALSE)</f>
        <v>137</v>
      </c>
      <c r="N382" t="str">
        <f>VLOOKUP(B382,'✈ Flights (2)'!$A$2:$R$501,14,FALSE)</f>
        <v>Economy</v>
      </c>
      <c r="O382">
        <f>VLOOKUP(B382,'✈ Flights (2)'!$A$2:$P$502,12,FALSE)</f>
        <v>1378</v>
      </c>
    </row>
    <row r="383" spans="1:15">
      <c r="A383" s="38" t="s">
        <v>1886</v>
      </c>
      <c r="B383" s="38" t="s">
        <v>1178</v>
      </c>
      <c r="C383" s="38" t="s">
        <v>157</v>
      </c>
      <c r="D383" s="33" t="str">
        <f>VLOOKUP(B383,'✈ Flights (2)'!$A$2:$P$502,3,FALSE)</f>
        <v>Frontier</v>
      </c>
      <c r="E383" s="38">
        <v>91998.720000000001</v>
      </c>
      <c r="F383" s="33">
        <f t="shared" si="5"/>
        <v>85.342040816326502</v>
      </c>
      <c r="G383" s="38">
        <v>7833</v>
      </c>
      <c r="H383" s="38">
        <v>12387.92</v>
      </c>
      <c r="I383" s="38">
        <v>39301.65</v>
      </c>
      <c r="J383" s="38">
        <v>48142.15</v>
      </c>
      <c r="K383" s="38" t="s">
        <v>1511</v>
      </c>
      <c r="L383" s="40">
        <f>VLOOKUP(B383,'✈ Flights (2)'!$A$2:$R$501,13,FALSE)</f>
        <v>638.88</v>
      </c>
      <c r="M383">
        <f>VLOOKUP(B383,'✈ Flights (2)'!$A$2:$R$501,16,FALSE)</f>
        <v>144</v>
      </c>
      <c r="N383" t="str">
        <f>VLOOKUP(B383,'✈ Flights (2)'!$A$2:$R$501,14,FALSE)</f>
        <v>Economy</v>
      </c>
      <c r="O383">
        <f>VLOOKUP(B383,'✈ Flights (2)'!$A$2:$P$502,12,FALSE)</f>
        <v>1078</v>
      </c>
    </row>
    <row r="384" spans="1:15">
      <c r="A384" s="33" t="s">
        <v>1887</v>
      </c>
      <c r="B384" s="33" t="s">
        <v>1181</v>
      </c>
      <c r="C384" s="33" t="s">
        <v>24</v>
      </c>
      <c r="D384" s="33" t="str">
        <f>VLOOKUP(B384,'✈ Flights (2)'!$A$2:$P$502,3,FALSE)</f>
        <v>Southwest</v>
      </c>
      <c r="E384" s="33">
        <v>46922.94</v>
      </c>
      <c r="F384" s="33">
        <f t="shared" si="5"/>
        <v>63.753994565217397</v>
      </c>
      <c r="G384" s="33">
        <v>3644.79</v>
      </c>
      <c r="H384" s="33">
        <v>11110.28</v>
      </c>
      <c r="I384" s="33">
        <v>36002.400000000001</v>
      </c>
      <c r="J384" s="33">
        <v>3455.05</v>
      </c>
      <c r="K384" s="33" t="s">
        <v>1511</v>
      </c>
      <c r="L384" s="40">
        <f>VLOOKUP(B384,'✈ Flights (2)'!$A$2:$R$501,13,FALSE)</f>
        <v>214.26</v>
      </c>
      <c r="M384">
        <f>VLOOKUP(B384,'✈ Flights (2)'!$A$2:$R$501,16,FALSE)</f>
        <v>219</v>
      </c>
      <c r="N384" t="str">
        <f>VLOOKUP(B384,'✈ Flights (2)'!$A$2:$R$501,14,FALSE)</f>
        <v>Economy</v>
      </c>
      <c r="O384">
        <f>VLOOKUP(B384,'✈ Flights (2)'!$A$2:$P$502,12,FALSE)</f>
        <v>736</v>
      </c>
    </row>
    <row r="385" spans="1:15">
      <c r="A385" s="38" t="s">
        <v>1888</v>
      </c>
      <c r="B385" s="38" t="s">
        <v>1183</v>
      </c>
      <c r="C385" s="38" t="s">
        <v>80</v>
      </c>
      <c r="D385" s="33" t="str">
        <f>VLOOKUP(B385,'✈ Flights (2)'!$A$2:$P$502,3,FALSE)</f>
        <v>Delta</v>
      </c>
      <c r="E385" s="38">
        <v>121097.3</v>
      </c>
      <c r="F385" s="33">
        <f t="shared" si="5"/>
        <v>45.6454202789295</v>
      </c>
      <c r="G385" s="38">
        <v>5911.63</v>
      </c>
      <c r="H385" s="38">
        <v>6474.05</v>
      </c>
      <c r="I385" s="38">
        <v>15979.33</v>
      </c>
      <c r="J385" s="38">
        <v>104555.55</v>
      </c>
      <c r="K385" s="38" t="s">
        <v>1511</v>
      </c>
      <c r="L385" s="40">
        <f>VLOOKUP(B385,'✈ Flights (2)'!$A$2:$R$501,13,FALSE)</f>
        <v>1053.02</v>
      </c>
      <c r="M385">
        <f>VLOOKUP(B385,'✈ Flights (2)'!$A$2:$R$501,16,FALSE)</f>
        <v>115</v>
      </c>
      <c r="N385" t="str">
        <f>VLOOKUP(B385,'✈ Flights (2)'!$A$2:$R$501,14,FALSE)</f>
        <v>Business</v>
      </c>
      <c r="O385">
        <f>VLOOKUP(B385,'✈ Flights (2)'!$A$2:$P$502,12,FALSE)</f>
        <v>2653</v>
      </c>
    </row>
    <row r="386" spans="1:15">
      <c r="A386" s="33" t="s">
        <v>1889</v>
      </c>
      <c r="B386" s="33" t="s">
        <v>1186</v>
      </c>
      <c r="C386" s="33" t="s">
        <v>57</v>
      </c>
      <c r="D386" s="33" t="str">
        <f>VLOOKUP(B386,'✈ Flights (2)'!$A$2:$P$502,3,FALSE)</f>
        <v>American</v>
      </c>
      <c r="E386" s="33">
        <v>89345.03</v>
      </c>
      <c r="F386" s="33">
        <f t="shared" si="5"/>
        <v>206.33956120092401</v>
      </c>
      <c r="G386" s="33">
        <v>7251.56</v>
      </c>
      <c r="H386" s="33">
        <v>3909.2</v>
      </c>
      <c r="I386" s="33">
        <v>26364.04</v>
      </c>
      <c r="J386" s="33">
        <v>66323.350000000006</v>
      </c>
      <c r="K386" s="33" t="s">
        <v>1509</v>
      </c>
      <c r="L386" s="40">
        <f>VLOOKUP(B386,'✈ Flights (2)'!$A$2:$R$501,13,FALSE)</f>
        <v>642.77</v>
      </c>
      <c r="M386">
        <f>VLOOKUP(B386,'✈ Flights (2)'!$A$2:$R$501,16,FALSE)</f>
        <v>139</v>
      </c>
      <c r="N386" t="str">
        <f>VLOOKUP(B386,'✈ Flights (2)'!$A$2:$R$501,14,FALSE)</f>
        <v>Business</v>
      </c>
      <c r="O386">
        <f>VLOOKUP(B386,'✈ Flights (2)'!$A$2:$P$502,12,FALSE)</f>
        <v>433</v>
      </c>
    </row>
    <row r="387" spans="1:15">
      <c r="A387" s="38" t="s">
        <v>1890</v>
      </c>
      <c r="B387" s="38" t="s">
        <v>1189</v>
      </c>
      <c r="C387" s="38" t="s">
        <v>157</v>
      </c>
      <c r="D387" s="33" t="str">
        <f>VLOOKUP(B387,'✈ Flights (2)'!$A$2:$P$502,3,FALSE)</f>
        <v>Frontier</v>
      </c>
      <c r="E387" s="38">
        <v>22369.439999999999</v>
      </c>
      <c r="F387" s="33">
        <f t="shared" ref="F387:F450" si="6">E387/O387</f>
        <v>8.3499216125419906</v>
      </c>
      <c r="G387" s="38">
        <v>3846.42</v>
      </c>
      <c r="H387" s="38">
        <v>9077.5300000000007</v>
      </c>
      <c r="I387" s="38">
        <v>12179.67</v>
      </c>
      <c r="J387" s="38">
        <v>4958.66</v>
      </c>
      <c r="K387" s="38" t="s">
        <v>1509</v>
      </c>
      <c r="L387" s="40">
        <f>VLOOKUP(B387,'✈ Flights (2)'!$A$2:$R$501,13,FALSE)</f>
        <v>192.84</v>
      </c>
      <c r="M387">
        <f>VLOOKUP(B387,'✈ Flights (2)'!$A$2:$R$501,16,FALSE)</f>
        <v>116</v>
      </c>
      <c r="N387" t="str">
        <f>VLOOKUP(B387,'✈ Flights (2)'!$A$2:$R$501,14,FALSE)</f>
        <v>Business</v>
      </c>
      <c r="O387">
        <f>VLOOKUP(B387,'✈ Flights (2)'!$A$2:$P$502,12,FALSE)</f>
        <v>2679</v>
      </c>
    </row>
    <row r="388" spans="1:15">
      <c r="A388" s="33" t="s">
        <v>1891</v>
      </c>
      <c r="B388" s="33" t="s">
        <v>1192</v>
      </c>
      <c r="C388" s="33" t="s">
        <v>22</v>
      </c>
      <c r="D388" s="33" t="str">
        <f>VLOOKUP(B388,'✈ Flights (2)'!$A$2:$P$502,3,FALSE)</f>
        <v>Southwest</v>
      </c>
      <c r="E388" s="33">
        <v>92599.9</v>
      </c>
      <c r="F388" s="33">
        <f t="shared" si="6"/>
        <v>87.939126305792996</v>
      </c>
      <c r="G388" s="33">
        <v>5731.03</v>
      </c>
      <c r="H388" s="33">
        <v>12160.32</v>
      </c>
      <c r="I388" s="33">
        <v>36068.620000000003</v>
      </c>
      <c r="J388" s="33">
        <v>50101.99</v>
      </c>
      <c r="K388" s="33" t="s">
        <v>1509</v>
      </c>
      <c r="L388" s="40">
        <f>VLOOKUP(B388,'✈ Flights (2)'!$A$2:$R$501,13,FALSE)</f>
        <v>638.62</v>
      </c>
      <c r="M388">
        <f>VLOOKUP(B388,'✈ Flights (2)'!$A$2:$R$501,16,FALSE)</f>
        <v>145</v>
      </c>
      <c r="N388" t="str">
        <f>VLOOKUP(B388,'✈ Flights (2)'!$A$2:$R$501,14,FALSE)</f>
        <v>Economy</v>
      </c>
      <c r="O388">
        <f>VLOOKUP(B388,'✈ Flights (2)'!$A$2:$P$502,12,FALSE)</f>
        <v>1053</v>
      </c>
    </row>
    <row r="389" spans="1:15">
      <c r="A389" s="38" t="s">
        <v>1892</v>
      </c>
      <c r="B389" s="38" t="s">
        <v>1194</v>
      </c>
      <c r="C389" s="38" t="s">
        <v>41</v>
      </c>
      <c r="D389" s="33" t="str">
        <f>VLOOKUP(B389,'✈ Flights (2)'!$A$2:$P$502,3,FALSE)</f>
        <v>Jetblue</v>
      </c>
      <c r="E389" s="38">
        <v>150767.28</v>
      </c>
      <c r="F389" s="33">
        <f t="shared" si="6"/>
        <v>121.98</v>
      </c>
      <c r="G389" s="38">
        <v>6315.5</v>
      </c>
      <c r="H389" s="38">
        <v>3095.65</v>
      </c>
      <c r="I389" s="38">
        <v>35834.11</v>
      </c>
      <c r="J389" s="38">
        <v>118153.02</v>
      </c>
      <c r="K389" s="38" t="s">
        <v>1511</v>
      </c>
      <c r="L389" s="40">
        <f>VLOOKUP(B389,'✈ Flights (2)'!$A$2:$R$501,13,FALSE)</f>
        <v>991.89</v>
      </c>
      <c r="M389">
        <f>VLOOKUP(B389,'✈ Flights (2)'!$A$2:$R$501,16,FALSE)</f>
        <v>152</v>
      </c>
      <c r="N389" t="str">
        <f>VLOOKUP(B389,'✈ Flights (2)'!$A$2:$R$501,14,FALSE)</f>
        <v>First Class</v>
      </c>
      <c r="O389">
        <f>VLOOKUP(B389,'✈ Flights (2)'!$A$2:$P$502,12,FALSE)</f>
        <v>1236</v>
      </c>
    </row>
    <row r="390" spans="1:15">
      <c r="A390" s="33" t="s">
        <v>1893</v>
      </c>
      <c r="B390" s="33" t="s">
        <v>1196</v>
      </c>
      <c r="C390" s="33" t="s">
        <v>184</v>
      </c>
      <c r="D390" s="33" t="str">
        <f>VLOOKUP(B390,'✈ Flights (2)'!$A$2:$P$502,3,FALSE)</f>
        <v>Spirit</v>
      </c>
      <c r="E390" s="33">
        <v>76334.7</v>
      </c>
      <c r="F390" s="33">
        <f t="shared" si="6"/>
        <v>225.17610619468999</v>
      </c>
      <c r="G390" s="33">
        <v>3424.95</v>
      </c>
      <c r="H390" s="33">
        <v>13438.38</v>
      </c>
      <c r="I390" s="33">
        <v>30160.82</v>
      </c>
      <c r="J390" s="33">
        <v>-4060.25</v>
      </c>
      <c r="K390" s="33" t="s">
        <v>1511</v>
      </c>
      <c r="L390" s="40">
        <f>VLOOKUP(B390,'✈ Flights (2)'!$A$2:$R$501,13,FALSE)</f>
        <v>587.19000000000005</v>
      </c>
      <c r="M390">
        <f>VLOOKUP(B390,'✈ Flights (2)'!$A$2:$R$501,16,FALSE)</f>
        <v>130</v>
      </c>
      <c r="N390" t="str">
        <f>VLOOKUP(B390,'✈ Flights (2)'!$A$2:$R$501,14,FALSE)</f>
        <v>Business</v>
      </c>
      <c r="O390">
        <f>VLOOKUP(B390,'✈ Flights (2)'!$A$2:$P$502,12,FALSE)</f>
        <v>339</v>
      </c>
    </row>
    <row r="391" spans="1:15">
      <c r="A391" s="38" t="s">
        <v>1894</v>
      </c>
      <c r="B391" s="38" t="s">
        <v>1198</v>
      </c>
      <c r="C391" s="38" t="s">
        <v>96</v>
      </c>
      <c r="D391" s="33" t="str">
        <f>VLOOKUP(B391,'✈ Flights (2)'!$A$2:$P$502,3,FALSE)</f>
        <v>Frontier</v>
      </c>
      <c r="E391" s="38">
        <v>131425.14000000001</v>
      </c>
      <c r="F391" s="33">
        <f t="shared" si="6"/>
        <v>186.41863829787201</v>
      </c>
      <c r="G391" s="38">
        <v>2103.0100000000002</v>
      </c>
      <c r="H391" s="38">
        <v>6059.28</v>
      </c>
      <c r="I391" s="38">
        <v>22908.51</v>
      </c>
      <c r="J391" s="38">
        <v>104560.36</v>
      </c>
      <c r="K391" s="38" t="s">
        <v>1511</v>
      </c>
      <c r="L391" s="40">
        <f>VLOOKUP(B391,'✈ Flights (2)'!$A$2:$R$501,13,FALSE)</f>
        <v>853.41</v>
      </c>
      <c r="M391">
        <f>VLOOKUP(B391,'✈ Flights (2)'!$A$2:$R$501,16,FALSE)</f>
        <v>154</v>
      </c>
      <c r="N391" t="str">
        <f>VLOOKUP(B391,'✈ Flights (2)'!$A$2:$R$501,14,FALSE)</f>
        <v>Economy</v>
      </c>
      <c r="O391">
        <f>VLOOKUP(B391,'✈ Flights (2)'!$A$2:$P$502,12,FALSE)</f>
        <v>705</v>
      </c>
    </row>
    <row r="392" spans="1:15">
      <c r="A392" s="33" t="s">
        <v>1895</v>
      </c>
      <c r="B392" s="33" t="s">
        <v>1201</v>
      </c>
      <c r="C392" s="33" t="s">
        <v>157</v>
      </c>
      <c r="D392" s="33" t="str">
        <f>VLOOKUP(B392,'✈ Flights (2)'!$A$2:$P$502,3,FALSE)</f>
        <v>Frontier</v>
      </c>
      <c r="E392" s="33">
        <v>61801.85</v>
      </c>
      <c r="F392" s="33">
        <f t="shared" si="6"/>
        <v>23.926384049554802</v>
      </c>
      <c r="G392" s="33">
        <v>6177.85</v>
      </c>
      <c r="H392" s="33">
        <v>2362.59</v>
      </c>
      <c r="I392" s="33">
        <v>10600.96</v>
      </c>
      <c r="J392" s="33">
        <v>55016.15</v>
      </c>
      <c r="K392" s="33" t="s">
        <v>1511</v>
      </c>
      <c r="L392" s="40">
        <f>VLOOKUP(B392,'✈ Flights (2)'!$A$2:$R$501,13,FALSE)</f>
        <v>1123.67</v>
      </c>
      <c r="M392">
        <f>VLOOKUP(B392,'✈ Flights (2)'!$A$2:$R$501,16,FALSE)</f>
        <v>55</v>
      </c>
      <c r="N392" t="str">
        <f>VLOOKUP(B392,'✈ Flights (2)'!$A$2:$R$501,14,FALSE)</f>
        <v>Business</v>
      </c>
      <c r="O392">
        <f>VLOOKUP(B392,'✈ Flights (2)'!$A$2:$P$502,12,FALSE)</f>
        <v>2583</v>
      </c>
    </row>
    <row r="393" spans="1:15">
      <c r="A393" s="38" t="s">
        <v>1896</v>
      </c>
      <c r="B393" s="38" t="s">
        <v>1204</v>
      </c>
      <c r="C393" s="38" t="s">
        <v>74</v>
      </c>
      <c r="D393" s="33" t="str">
        <f>VLOOKUP(B393,'✈ Flights (2)'!$A$2:$P$502,3,FALSE)</f>
        <v>Southwest</v>
      </c>
      <c r="E393" s="38">
        <v>72832.399999999994</v>
      </c>
      <c r="F393" s="33">
        <f t="shared" si="6"/>
        <v>41.523603192702403</v>
      </c>
      <c r="G393" s="38">
        <v>2310.0500000000002</v>
      </c>
      <c r="H393" s="38">
        <v>11444.62</v>
      </c>
      <c r="I393" s="38">
        <v>32095.52</v>
      </c>
      <c r="J393" s="38">
        <v>31602.31</v>
      </c>
      <c r="K393" s="38" t="s">
        <v>1504</v>
      </c>
      <c r="L393" s="40">
        <f>VLOOKUP(B393,'✈ Flights (2)'!$A$2:$R$501,13,FALSE)</f>
        <v>444.1</v>
      </c>
      <c r="M393">
        <f>VLOOKUP(B393,'✈ Flights (2)'!$A$2:$R$501,16,FALSE)</f>
        <v>164</v>
      </c>
      <c r="N393" t="str">
        <f>VLOOKUP(B393,'✈ Flights (2)'!$A$2:$R$501,14,FALSE)</f>
        <v>First Class</v>
      </c>
      <c r="O393">
        <f>VLOOKUP(B393,'✈ Flights (2)'!$A$2:$P$502,12,FALSE)</f>
        <v>1754</v>
      </c>
    </row>
    <row r="394" spans="1:15">
      <c r="A394" s="33" t="s">
        <v>1897</v>
      </c>
      <c r="B394" s="33" t="s">
        <v>1207</v>
      </c>
      <c r="C394" s="33" t="s">
        <v>102</v>
      </c>
      <c r="D394" s="33" t="str">
        <f>VLOOKUP(B394,'✈ Flights (2)'!$A$2:$P$502,3,FALSE)</f>
        <v>Frontier</v>
      </c>
      <c r="E394" s="33">
        <v>65857.94</v>
      </c>
      <c r="F394" s="33">
        <f t="shared" si="6"/>
        <v>22.827708838821501</v>
      </c>
      <c r="G394" s="33">
        <v>5989.9</v>
      </c>
      <c r="H394" s="33">
        <v>5376.83</v>
      </c>
      <c r="I394" s="33">
        <v>34455.42</v>
      </c>
      <c r="J394" s="33">
        <v>32015.59</v>
      </c>
      <c r="K394" s="33" t="s">
        <v>1511</v>
      </c>
      <c r="L394" s="40">
        <f>VLOOKUP(B394,'✈ Flights (2)'!$A$2:$R$501,13,FALSE)</f>
        <v>765.79</v>
      </c>
      <c r="M394">
        <f>VLOOKUP(B394,'✈ Flights (2)'!$A$2:$R$501,16,FALSE)</f>
        <v>86</v>
      </c>
      <c r="N394" t="str">
        <f>VLOOKUP(B394,'✈ Flights (2)'!$A$2:$R$501,14,FALSE)</f>
        <v>Unknown</v>
      </c>
      <c r="O394">
        <f>VLOOKUP(B394,'✈ Flights (2)'!$A$2:$P$502,12,FALSE)</f>
        <v>2885</v>
      </c>
    </row>
    <row r="395" spans="1:15">
      <c r="A395" s="38" t="s">
        <v>1898</v>
      </c>
      <c r="B395" s="38" t="s">
        <v>1210</v>
      </c>
      <c r="C395" s="38" t="s">
        <v>157</v>
      </c>
      <c r="D395" s="33" t="str">
        <f>VLOOKUP(B395,'✈ Flights (2)'!$A$2:$P$502,3,FALSE)</f>
        <v>Southwest</v>
      </c>
      <c r="E395" s="38">
        <v>123558.89</v>
      </c>
      <c r="F395" s="33">
        <f t="shared" si="6"/>
        <v>88.572681003584194</v>
      </c>
      <c r="G395" s="38">
        <v>1428.6</v>
      </c>
      <c r="H395" s="38">
        <v>14237.46</v>
      </c>
      <c r="I395" s="38">
        <v>31479.599999999999</v>
      </c>
      <c r="J395" s="38">
        <v>79270.429999999993</v>
      </c>
      <c r="K395" s="38" t="s">
        <v>1509</v>
      </c>
      <c r="L395" s="40">
        <f>VLOOKUP(B395,'✈ Flights (2)'!$A$2:$R$501,13,FALSE)</f>
        <v>758.03</v>
      </c>
      <c r="M395">
        <f>VLOOKUP(B395,'✈ Flights (2)'!$A$2:$R$501,16,FALSE)</f>
        <v>163</v>
      </c>
      <c r="N395" t="str">
        <f>VLOOKUP(B395,'✈ Flights (2)'!$A$2:$R$501,14,FALSE)</f>
        <v>Business</v>
      </c>
      <c r="O395">
        <f>VLOOKUP(B395,'✈ Flights (2)'!$A$2:$P$502,12,FALSE)</f>
        <v>1395</v>
      </c>
    </row>
    <row r="396" spans="1:15">
      <c r="A396" s="33" t="s">
        <v>1899</v>
      </c>
      <c r="B396" s="33" t="s">
        <v>1213</v>
      </c>
      <c r="C396" s="33" t="s">
        <v>130</v>
      </c>
      <c r="D396" s="33" t="str">
        <f>VLOOKUP(B396,'✈ Flights (2)'!$A$2:$P$502,3,FALSE)</f>
        <v>Frontier</v>
      </c>
      <c r="E396" s="33">
        <v>119708.9175</v>
      </c>
      <c r="F396" s="33">
        <f t="shared" si="6"/>
        <v>94.931734734337795</v>
      </c>
      <c r="G396" s="33">
        <v>2734.71</v>
      </c>
      <c r="H396" s="33">
        <v>7890.91</v>
      </c>
      <c r="I396" s="33">
        <v>30790.05</v>
      </c>
      <c r="J396" s="33">
        <v>162028.01999999999</v>
      </c>
      <c r="K396" s="33" t="s">
        <v>1502</v>
      </c>
      <c r="L396" s="40">
        <f>VLOOKUP(B396,'✈ Flights (2)'!$A$2:$R$501,13,FALSE)</f>
        <v>496.71749999999997</v>
      </c>
      <c r="M396">
        <f>VLOOKUP(B396,'✈ Flights (2)'!$A$2:$R$501,16,FALSE)</f>
        <v>241</v>
      </c>
      <c r="N396" t="str">
        <f>VLOOKUP(B396,'✈ Flights (2)'!$A$2:$R$501,14,FALSE)</f>
        <v>First Class</v>
      </c>
      <c r="O396">
        <f>VLOOKUP(B396,'✈ Flights (2)'!$A$2:$P$502,12,FALSE)</f>
        <v>1261</v>
      </c>
    </row>
    <row r="397" spans="1:15">
      <c r="A397" s="38" t="s">
        <v>1900</v>
      </c>
      <c r="B397" s="38" t="s">
        <v>1216</v>
      </c>
      <c r="C397" s="38" t="s">
        <v>198</v>
      </c>
      <c r="D397" s="33" t="str">
        <f>VLOOKUP(B397,'✈ Flights (2)'!$A$2:$P$502,3,FALSE)</f>
        <v>Spirit</v>
      </c>
      <c r="E397" s="38">
        <v>7776.63</v>
      </c>
      <c r="F397" s="33">
        <f t="shared" si="6"/>
        <v>14.955057692307699</v>
      </c>
      <c r="G397" s="38">
        <v>6540.41</v>
      </c>
      <c r="H397" s="38">
        <v>9352.76</v>
      </c>
      <c r="I397" s="38">
        <v>39615</v>
      </c>
      <c r="J397" s="38">
        <v>-34650.720000000001</v>
      </c>
      <c r="K397" s="38" t="s">
        <v>1502</v>
      </c>
      <c r="L397" s="40">
        <f>VLOOKUP(B397,'✈ Flights (2)'!$A$2:$R$501,13,FALSE)</f>
        <v>109.53</v>
      </c>
      <c r="M397">
        <f>VLOOKUP(B397,'✈ Flights (2)'!$A$2:$R$501,16,FALSE)</f>
        <v>71</v>
      </c>
      <c r="N397" t="str">
        <f>VLOOKUP(B397,'✈ Flights (2)'!$A$2:$R$501,14,FALSE)</f>
        <v>Business</v>
      </c>
      <c r="O397">
        <f>VLOOKUP(B397,'✈ Flights (2)'!$A$2:$P$502,12,FALSE)</f>
        <v>520</v>
      </c>
    </row>
    <row r="398" spans="1:15">
      <c r="A398" s="33" t="s">
        <v>1901</v>
      </c>
      <c r="B398" s="33" t="s">
        <v>1219</v>
      </c>
      <c r="C398" s="33" t="s">
        <v>67</v>
      </c>
      <c r="D398" s="33" t="str">
        <f>VLOOKUP(B398,'✈ Flights (2)'!$A$2:$P$502,3,FALSE)</f>
        <v>United</v>
      </c>
      <c r="E398" s="33">
        <v>67431.78</v>
      </c>
      <c r="F398" s="33">
        <f t="shared" si="6"/>
        <v>46.091442241968601</v>
      </c>
      <c r="G398" s="33">
        <v>3127.53</v>
      </c>
      <c r="H398" s="33">
        <v>12202.26</v>
      </c>
      <c r="I398" s="33">
        <v>14958.74</v>
      </c>
      <c r="J398" s="33">
        <v>43398.31</v>
      </c>
      <c r="K398" s="33" t="s">
        <v>1502</v>
      </c>
      <c r="L398" s="40">
        <f>VLOOKUP(B398,'✈ Flights (2)'!$A$2:$R$501,13,FALSE)</f>
        <v>576.34</v>
      </c>
      <c r="M398">
        <f>VLOOKUP(B398,'✈ Flights (2)'!$A$2:$R$501,16,FALSE)</f>
        <v>117</v>
      </c>
      <c r="N398" t="str">
        <f>VLOOKUP(B398,'✈ Flights (2)'!$A$2:$R$501,14,FALSE)</f>
        <v>Economy</v>
      </c>
      <c r="O398">
        <f>VLOOKUP(B398,'✈ Flights (2)'!$A$2:$P$502,12,FALSE)</f>
        <v>1463</v>
      </c>
    </row>
    <row r="399" spans="1:15">
      <c r="A399" s="38" t="s">
        <v>1902</v>
      </c>
      <c r="B399" s="38" t="s">
        <v>1221</v>
      </c>
      <c r="C399" s="38" t="s">
        <v>157</v>
      </c>
      <c r="D399" s="33" t="str">
        <f>VLOOKUP(B399,'✈ Flights (2)'!$A$2:$P$502,3,FALSE)</f>
        <v>Alaska</v>
      </c>
      <c r="E399" s="38">
        <v>21976.35</v>
      </c>
      <c r="F399" s="33">
        <f t="shared" si="6"/>
        <v>10.3564326107446</v>
      </c>
      <c r="G399" s="38">
        <v>5857.63</v>
      </c>
      <c r="H399" s="38">
        <v>5219.2299999999996</v>
      </c>
      <c r="I399" s="38">
        <v>23188.33</v>
      </c>
      <c r="J399" s="38">
        <v>-573.58000000000004</v>
      </c>
      <c r="K399" s="38" t="s">
        <v>1511</v>
      </c>
      <c r="L399" s="40">
        <f>VLOOKUP(B399,'✈ Flights (2)'!$A$2:$R$501,13,FALSE)</f>
        <v>231.33</v>
      </c>
      <c r="M399">
        <f>VLOOKUP(B399,'✈ Flights (2)'!$A$2:$R$501,16,FALSE)</f>
        <v>95</v>
      </c>
      <c r="N399" t="str">
        <f>VLOOKUP(B399,'✈ Flights (2)'!$A$2:$R$501,14,FALSE)</f>
        <v>First Class</v>
      </c>
      <c r="O399">
        <f>VLOOKUP(B399,'✈ Flights (2)'!$A$2:$P$502,12,FALSE)</f>
        <v>2122</v>
      </c>
    </row>
    <row r="400" spans="1:15">
      <c r="A400" s="33" t="s">
        <v>1903</v>
      </c>
      <c r="B400" s="33" t="s">
        <v>1224</v>
      </c>
      <c r="C400" s="33" t="s">
        <v>117</v>
      </c>
      <c r="D400" s="33" t="str">
        <f>VLOOKUP(B400,'✈ Flights (2)'!$A$2:$P$502,3,FALSE)</f>
        <v>Spirit</v>
      </c>
      <c r="E400" s="33">
        <v>42800.639999999999</v>
      </c>
      <c r="F400" s="33">
        <f t="shared" si="6"/>
        <v>17.0520478087649</v>
      </c>
      <c r="G400" s="33">
        <v>4373.3900000000003</v>
      </c>
      <c r="H400" s="33">
        <v>12121.14</v>
      </c>
      <c r="I400" s="33">
        <v>11739.43</v>
      </c>
      <c r="J400" s="33">
        <v>23313.46</v>
      </c>
      <c r="K400" s="33" t="s">
        <v>1509</v>
      </c>
      <c r="L400" s="40">
        <f>VLOOKUP(B400,'✈ Flights (2)'!$A$2:$R$501,13,FALSE)</f>
        <v>334.38</v>
      </c>
      <c r="M400">
        <f>VLOOKUP(B400,'✈ Flights (2)'!$A$2:$R$501,16,FALSE)</f>
        <v>128</v>
      </c>
      <c r="N400" t="str">
        <f>VLOOKUP(B400,'✈ Flights (2)'!$A$2:$R$501,14,FALSE)</f>
        <v>Economy</v>
      </c>
      <c r="O400">
        <f>VLOOKUP(B400,'✈ Flights (2)'!$A$2:$P$502,12,FALSE)</f>
        <v>2510</v>
      </c>
    </row>
    <row r="401" spans="1:15">
      <c r="A401" s="38" t="s">
        <v>1904</v>
      </c>
      <c r="B401" s="38" t="s">
        <v>1226</v>
      </c>
      <c r="C401" s="38" t="s">
        <v>96</v>
      </c>
      <c r="D401" s="33" t="str">
        <f>VLOOKUP(B401,'✈ Flights (2)'!$A$2:$P$502,3,FALSE)</f>
        <v>American</v>
      </c>
      <c r="E401" s="38">
        <v>105962.5</v>
      </c>
      <c r="F401" s="33">
        <f t="shared" si="6"/>
        <v>71.887720488466798</v>
      </c>
      <c r="G401" s="38">
        <v>0</v>
      </c>
      <c r="H401" s="38">
        <v>11251.33</v>
      </c>
      <c r="I401" s="38">
        <v>8429.57</v>
      </c>
      <c r="J401" s="38">
        <v>-19680.900000000001</v>
      </c>
      <c r="K401" s="38" t="s">
        <v>1509</v>
      </c>
      <c r="L401" s="40">
        <f>VLOOKUP(B401,'✈ Flights (2)'!$A$2:$R$501,13,FALSE)</f>
        <v>605.5</v>
      </c>
      <c r="M401">
        <f>VLOOKUP(B401,'✈ Flights (2)'!$A$2:$R$501,16,FALSE)</f>
        <v>175</v>
      </c>
      <c r="N401" t="str">
        <f>VLOOKUP(B401,'✈ Flights (2)'!$A$2:$R$501,14,FALSE)</f>
        <v>Economy</v>
      </c>
      <c r="O401">
        <f>VLOOKUP(B401,'✈ Flights (2)'!$A$2:$P$502,12,FALSE)</f>
        <v>1474</v>
      </c>
    </row>
    <row r="402" spans="1:15">
      <c r="A402" s="33" t="s">
        <v>1905</v>
      </c>
      <c r="B402" s="33" t="s">
        <v>1229</v>
      </c>
      <c r="C402" s="33" t="s">
        <v>175</v>
      </c>
      <c r="D402" s="33" t="str">
        <f>VLOOKUP(B402,'✈ Flights (2)'!$A$2:$P$502,3,FALSE)</f>
        <v>Jetblue</v>
      </c>
      <c r="E402" s="33">
        <v>136085.04</v>
      </c>
      <c r="F402" s="33">
        <f t="shared" si="6"/>
        <v>53.471528487229897</v>
      </c>
      <c r="G402" s="33">
        <v>1114.5999999999999</v>
      </c>
      <c r="H402" s="33">
        <v>13550.62</v>
      </c>
      <c r="I402" s="33">
        <v>7176.78</v>
      </c>
      <c r="J402" s="33">
        <v>116472.24</v>
      </c>
      <c r="K402" s="33" t="s">
        <v>1509</v>
      </c>
      <c r="L402" s="40">
        <f>VLOOKUP(B402,'✈ Flights (2)'!$A$2:$R$501,13,FALSE)</f>
        <v>498.48</v>
      </c>
      <c r="M402">
        <f>VLOOKUP(B402,'✈ Flights (2)'!$A$2:$R$501,16,FALSE)</f>
        <v>273</v>
      </c>
      <c r="N402" t="str">
        <f>VLOOKUP(B402,'✈ Flights (2)'!$A$2:$R$501,14,FALSE)</f>
        <v>Unknown</v>
      </c>
      <c r="O402">
        <f>VLOOKUP(B402,'✈ Flights (2)'!$A$2:$P$502,12,FALSE)</f>
        <v>2545</v>
      </c>
    </row>
    <row r="403" spans="1:15">
      <c r="A403" s="38" t="s">
        <v>1906</v>
      </c>
      <c r="B403" s="38" t="s">
        <v>1232</v>
      </c>
      <c r="C403" s="38" t="s">
        <v>67</v>
      </c>
      <c r="D403" s="33" t="str">
        <f>VLOOKUP(B403,'✈ Flights (2)'!$A$2:$P$502,3,FALSE)</f>
        <v>Spirit</v>
      </c>
      <c r="E403" s="38">
        <v>65830.59</v>
      </c>
      <c r="F403" s="33">
        <f t="shared" si="6"/>
        <v>23.009643481300198</v>
      </c>
      <c r="G403" s="38">
        <v>2110.88</v>
      </c>
      <c r="H403" s="38">
        <v>10798.69</v>
      </c>
      <c r="I403" s="38">
        <v>7732.54</v>
      </c>
      <c r="J403" s="38">
        <v>49410.239999999998</v>
      </c>
      <c r="K403" s="38" t="s">
        <v>1509</v>
      </c>
      <c r="L403" s="40">
        <f>VLOOKUP(B403,'✈ Flights (2)'!$A$2:$R$501,13,FALSE)</f>
        <v>348.31</v>
      </c>
      <c r="M403">
        <f>VLOOKUP(B403,'✈ Flights (2)'!$A$2:$R$501,16,FALSE)</f>
        <v>189</v>
      </c>
      <c r="N403" t="str">
        <f>VLOOKUP(B403,'✈ Flights (2)'!$A$2:$R$501,14,FALSE)</f>
        <v>First Class</v>
      </c>
      <c r="O403">
        <f>VLOOKUP(B403,'✈ Flights (2)'!$A$2:$P$502,12,FALSE)</f>
        <v>2861</v>
      </c>
    </row>
    <row r="404" spans="1:15">
      <c r="A404" s="33" t="s">
        <v>1907</v>
      </c>
      <c r="B404" s="33" t="s">
        <v>1235</v>
      </c>
      <c r="C404" s="33" t="s">
        <v>130</v>
      </c>
      <c r="D404" s="33" t="str">
        <f>VLOOKUP(B404,'✈ Flights (2)'!$A$2:$P$502,3,FALSE)</f>
        <v>Jetblue</v>
      </c>
      <c r="E404" s="33">
        <v>33594</v>
      </c>
      <c r="F404" s="33">
        <f t="shared" si="6"/>
        <v>22.606998654104999</v>
      </c>
      <c r="G404" s="33">
        <v>4911.8</v>
      </c>
      <c r="H404" s="33">
        <v>7132.17</v>
      </c>
      <c r="I404" s="33">
        <v>23163.07</v>
      </c>
      <c r="J404" s="33">
        <v>8210.56</v>
      </c>
      <c r="K404" s="33" t="s">
        <v>1511</v>
      </c>
      <c r="L404" s="40">
        <f>VLOOKUP(B404,'✈ Flights (2)'!$A$2:$R$501,13,FALSE)</f>
        <v>203.6</v>
      </c>
      <c r="M404">
        <f>VLOOKUP(B404,'✈ Flights (2)'!$A$2:$R$501,16,FALSE)</f>
        <v>165</v>
      </c>
      <c r="N404" t="str">
        <f>VLOOKUP(B404,'✈ Flights (2)'!$A$2:$R$501,14,FALSE)</f>
        <v>Business</v>
      </c>
      <c r="O404">
        <f>VLOOKUP(B404,'✈ Flights (2)'!$A$2:$P$502,12,FALSE)</f>
        <v>1486</v>
      </c>
    </row>
    <row r="405" spans="1:15">
      <c r="A405" s="38" t="s">
        <v>1908</v>
      </c>
      <c r="B405" s="38" t="s">
        <v>1237</v>
      </c>
      <c r="C405" s="38" t="s">
        <v>157</v>
      </c>
      <c r="D405" s="33" t="str">
        <f>VLOOKUP(B405,'✈ Flights (2)'!$A$2:$P$502,3,FALSE)</f>
        <v>Southwest</v>
      </c>
      <c r="E405" s="38">
        <v>24213</v>
      </c>
      <c r="F405" s="33">
        <f t="shared" si="6"/>
        <v>62.084615384615397</v>
      </c>
      <c r="G405" s="38">
        <v>4882.28</v>
      </c>
      <c r="H405" s="38">
        <v>14954.65</v>
      </c>
      <c r="I405" s="38">
        <v>27276.14</v>
      </c>
      <c r="J405" s="38">
        <v>-13135.51</v>
      </c>
      <c r="K405" s="38" t="s">
        <v>1509</v>
      </c>
      <c r="L405" s="40">
        <f>VLOOKUP(B405,'✈ Flights (2)'!$A$2:$R$501,13,FALSE)</f>
        <v>288.25</v>
      </c>
      <c r="M405">
        <f>VLOOKUP(B405,'✈ Flights (2)'!$A$2:$R$501,16,FALSE)</f>
        <v>84</v>
      </c>
      <c r="N405" t="str">
        <f>VLOOKUP(B405,'✈ Flights (2)'!$A$2:$R$501,14,FALSE)</f>
        <v>Economy</v>
      </c>
      <c r="O405">
        <f>VLOOKUP(B405,'✈ Flights (2)'!$A$2:$P$502,12,FALSE)</f>
        <v>390</v>
      </c>
    </row>
    <row r="406" spans="1:15">
      <c r="A406" s="33" t="s">
        <v>1909</v>
      </c>
      <c r="B406" s="33" t="s">
        <v>1240</v>
      </c>
      <c r="C406" s="33" t="s">
        <v>24</v>
      </c>
      <c r="D406" s="33" t="str">
        <f>VLOOKUP(B406,'✈ Flights (2)'!$A$2:$P$502,3,FALSE)</f>
        <v>Delta</v>
      </c>
      <c r="E406" s="33">
        <v>117586.76</v>
      </c>
      <c r="F406" s="33">
        <f t="shared" si="6"/>
        <v>98.895508830950405</v>
      </c>
      <c r="G406" s="33">
        <v>5987.88</v>
      </c>
      <c r="H406" s="33">
        <v>4116.96</v>
      </c>
      <c r="I406" s="33">
        <v>19592.28</v>
      </c>
      <c r="J406" s="33">
        <v>99865.4</v>
      </c>
      <c r="K406" s="33" t="s">
        <v>1502</v>
      </c>
      <c r="L406" s="40">
        <f>VLOOKUP(B406,'✈ Flights (2)'!$A$2:$R$501,13,FALSE)</f>
        <v>462.94</v>
      </c>
      <c r="M406">
        <f>VLOOKUP(B406,'✈ Flights (2)'!$A$2:$R$501,16,FALSE)</f>
        <v>254</v>
      </c>
      <c r="N406" t="str">
        <f>VLOOKUP(B406,'✈ Flights (2)'!$A$2:$R$501,14,FALSE)</f>
        <v>Business</v>
      </c>
      <c r="O406">
        <f>VLOOKUP(B406,'✈ Flights (2)'!$A$2:$P$502,12,FALSE)</f>
        <v>1189</v>
      </c>
    </row>
    <row r="407" spans="1:15">
      <c r="A407" s="38" t="s">
        <v>1910</v>
      </c>
      <c r="B407" s="38" t="s">
        <v>1243</v>
      </c>
      <c r="C407" s="38" t="s">
        <v>57</v>
      </c>
      <c r="D407" s="33" t="str">
        <f>VLOOKUP(B407,'✈ Flights (2)'!$A$2:$P$502,3,FALSE)</f>
        <v>Frontier</v>
      </c>
      <c r="E407" s="38">
        <v>161284.1</v>
      </c>
      <c r="F407" s="33">
        <f t="shared" si="6"/>
        <v>115.948310567937</v>
      </c>
      <c r="G407" s="38">
        <v>4135.7299999999996</v>
      </c>
      <c r="H407" s="38">
        <v>14584.41</v>
      </c>
      <c r="I407" s="38">
        <v>21019.95</v>
      </c>
      <c r="J407" s="38">
        <v>129815.47</v>
      </c>
      <c r="K407" s="38" t="s">
        <v>1504</v>
      </c>
      <c r="L407" s="40">
        <f>VLOOKUP(B407,'✈ Flights (2)'!$A$2:$R$501,13,FALSE)</f>
        <v>948.73</v>
      </c>
      <c r="M407">
        <f>VLOOKUP(B407,'✈ Flights (2)'!$A$2:$R$501,16,FALSE)</f>
        <v>170</v>
      </c>
      <c r="N407" t="str">
        <f>VLOOKUP(B407,'✈ Flights (2)'!$A$2:$R$501,14,FALSE)</f>
        <v>Economy</v>
      </c>
      <c r="O407">
        <f>VLOOKUP(B407,'✈ Flights (2)'!$A$2:$P$502,12,FALSE)</f>
        <v>1391</v>
      </c>
    </row>
    <row r="408" spans="1:15">
      <c r="A408" s="33" t="s">
        <v>1911</v>
      </c>
      <c r="B408" s="33" t="s">
        <v>1244</v>
      </c>
      <c r="C408" s="33" t="s">
        <v>175</v>
      </c>
      <c r="D408" s="33" t="str">
        <f>VLOOKUP(B408,'✈ Flights (2)'!$A$2:$P$502,3,FALSE)</f>
        <v>Spirit</v>
      </c>
      <c r="E408" s="33">
        <v>63416.52</v>
      </c>
      <c r="F408" s="33">
        <f t="shared" si="6"/>
        <v>29.998353831598902</v>
      </c>
      <c r="G408" s="33">
        <v>5708.53</v>
      </c>
      <c r="H408" s="33">
        <v>2423.9</v>
      </c>
      <c r="I408" s="33">
        <v>20940.13</v>
      </c>
      <c r="J408" s="33">
        <v>20881.060000000001</v>
      </c>
      <c r="K408" s="33" t="s">
        <v>1502</v>
      </c>
      <c r="L408" s="40">
        <f>VLOOKUP(B408,'✈ Flights (2)'!$A$2:$R$501,13,FALSE)</f>
        <v>587.19000000000005</v>
      </c>
      <c r="M408">
        <f>VLOOKUP(B408,'✈ Flights (2)'!$A$2:$R$501,16,FALSE)</f>
        <v>108</v>
      </c>
      <c r="N408" t="str">
        <f>VLOOKUP(B408,'✈ Flights (2)'!$A$2:$R$501,14,FALSE)</f>
        <v>Economy</v>
      </c>
      <c r="O408">
        <f>VLOOKUP(B408,'✈ Flights (2)'!$A$2:$P$502,12,FALSE)</f>
        <v>2114</v>
      </c>
    </row>
    <row r="409" spans="1:15">
      <c r="A409" s="38" t="s">
        <v>1912</v>
      </c>
      <c r="B409" s="38" t="s">
        <v>1247</v>
      </c>
      <c r="C409" s="38" t="s">
        <v>80</v>
      </c>
      <c r="D409" s="33" t="str">
        <f>VLOOKUP(B409,'✈ Flights (2)'!$A$2:$P$502,3,FALSE)</f>
        <v>Southwest</v>
      </c>
      <c r="E409" s="38">
        <v>226766.74</v>
      </c>
      <c r="F409" s="33">
        <f t="shared" si="6"/>
        <v>238.953361433087</v>
      </c>
      <c r="G409" s="38">
        <v>7580.52</v>
      </c>
      <c r="H409" s="38">
        <v>14373.68</v>
      </c>
      <c r="I409" s="38">
        <v>17926.62</v>
      </c>
      <c r="J409" s="38">
        <v>202046.96</v>
      </c>
      <c r="K409" s="38" t="s">
        <v>1509</v>
      </c>
      <c r="L409" s="40">
        <f>VLOOKUP(B409,'✈ Flights (2)'!$A$2:$R$501,13,FALSE)</f>
        <v>784.66</v>
      </c>
      <c r="M409">
        <f>VLOOKUP(B409,'✈ Flights (2)'!$A$2:$R$501,16,FALSE)</f>
        <v>289</v>
      </c>
      <c r="N409" t="str">
        <f>VLOOKUP(B409,'✈ Flights (2)'!$A$2:$R$501,14,FALSE)</f>
        <v>Economy</v>
      </c>
      <c r="O409">
        <f>VLOOKUP(B409,'✈ Flights (2)'!$A$2:$P$502,12,FALSE)</f>
        <v>949</v>
      </c>
    </row>
    <row r="410" spans="1:15">
      <c r="A410" s="33" t="s">
        <v>1913</v>
      </c>
      <c r="B410" s="33" t="s">
        <v>1248</v>
      </c>
      <c r="C410" s="33" t="s">
        <v>80</v>
      </c>
      <c r="D410" s="33" t="str">
        <f>VLOOKUP(B410,'✈ Flights (2)'!$A$2:$P$502,3,FALSE)</f>
        <v>Jetblue</v>
      </c>
      <c r="E410" s="33">
        <v>80255.28</v>
      </c>
      <c r="F410" s="33">
        <f t="shared" si="6"/>
        <v>67.328255033556999</v>
      </c>
      <c r="G410" s="33">
        <v>1327.52</v>
      </c>
      <c r="H410" s="33">
        <v>5764.68</v>
      </c>
      <c r="I410" s="33">
        <v>17935.509999999998</v>
      </c>
      <c r="J410" s="33">
        <v>166008.6</v>
      </c>
      <c r="K410" s="33" t="s">
        <v>1502</v>
      </c>
      <c r="L410" s="40">
        <f>VLOOKUP(B410,'✈ Flights (2)'!$A$2:$R$501,13,FALSE)</f>
        <v>498.48</v>
      </c>
      <c r="M410">
        <f>VLOOKUP(B410,'✈ Flights (2)'!$A$2:$R$501,16,FALSE)</f>
        <v>161</v>
      </c>
      <c r="N410" t="str">
        <f>VLOOKUP(B410,'✈ Flights (2)'!$A$2:$R$501,14,FALSE)</f>
        <v>Economy</v>
      </c>
      <c r="O410">
        <f>VLOOKUP(B410,'✈ Flights (2)'!$A$2:$P$502,12,FALSE)</f>
        <v>1192</v>
      </c>
    </row>
    <row r="411" spans="1:15">
      <c r="A411" s="38" t="s">
        <v>1914</v>
      </c>
      <c r="B411" s="38" t="s">
        <v>1251</v>
      </c>
      <c r="C411" s="38" t="s">
        <v>74</v>
      </c>
      <c r="D411" s="33" t="str">
        <f>VLOOKUP(B411,'✈ Flights (2)'!$A$2:$P$502,3,FALSE)</f>
        <v>Jetblue</v>
      </c>
      <c r="E411" s="38">
        <v>147623.62</v>
      </c>
      <c r="F411" s="33">
        <f t="shared" si="6"/>
        <v>312.76190677966099</v>
      </c>
      <c r="G411" s="38">
        <v>1383.07</v>
      </c>
      <c r="H411" s="38">
        <v>6867.98</v>
      </c>
      <c r="I411" s="38">
        <v>15672.36</v>
      </c>
      <c r="J411" s="38">
        <v>126466.35</v>
      </c>
      <c r="K411" s="38" t="s">
        <v>1511</v>
      </c>
      <c r="L411" s="40">
        <f>VLOOKUP(B411,'✈ Flights (2)'!$A$2:$R$501,13,FALSE)</f>
        <v>730.81</v>
      </c>
      <c r="M411">
        <f>VLOOKUP(B411,'✈ Flights (2)'!$A$2:$R$501,16,FALSE)</f>
        <v>202</v>
      </c>
      <c r="N411" t="str">
        <f>VLOOKUP(B411,'✈ Flights (2)'!$A$2:$R$501,14,FALSE)</f>
        <v>First Class</v>
      </c>
      <c r="O411">
        <f>VLOOKUP(B411,'✈ Flights (2)'!$A$2:$P$502,12,FALSE)</f>
        <v>472</v>
      </c>
    </row>
    <row r="412" spans="1:15">
      <c r="A412" s="33" t="s">
        <v>1915</v>
      </c>
      <c r="B412" s="33" t="s">
        <v>1254</v>
      </c>
      <c r="C412" s="33" t="s">
        <v>39</v>
      </c>
      <c r="D412" s="33" t="str">
        <f>VLOOKUP(B412,'✈ Flights (2)'!$A$2:$P$502,3,FALSE)</f>
        <v>Southwest</v>
      </c>
      <c r="E412" s="33">
        <v>13106.14</v>
      </c>
      <c r="F412" s="33">
        <f t="shared" si="6"/>
        <v>4.5825664335664298</v>
      </c>
      <c r="G412" s="33">
        <v>4144.4399999999996</v>
      </c>
      <c r="H412" s="33">
        <v>3847.82</v>
      </c>
      <c r="I412" s="33">
        <v>32692.13</v>
      </c>
      <c r="J412" s="33">
        <v>-19289.37</v>
      </c>
      <c r="K412" s="33" t="s">
        <v>1509</v>
      </c>
      <c r="L412" s="40">
        <f>VLOOKUP(B412,'✈ Flights (2)'!$A$2:$R$501,13,FALSE)</f>
        <v>147.26</v>
      </c>
      <c r="M412">
        <f>VLOOKUP(B412,'✈ Flights (2)'!$A$2:$R$501,16,FALSE)</f>
        <v>89</v>
      </c>
      <c r="N412" t="str">
        <f>VLOOKUP(B412,'✈ Flights (2)'!$A$2:$R$501,14,FALSE)</f>
        <v>Business</v>
      </c>
      <c r="O412">
        <f>VLOOKUP(B412,'✈ Flights (2)'!$A$2:$P$502,12,FALSE)</f>
        <v>2860</v>
      </c>
    </row>
    <row r="413" spans="1:15">
      <c r="A413" s="38" t="s">
        <v>1916</v>
      </c>
      <c r="B413" s="38" t="s">
        <v>1257</v>
      </c>
      <c r="C413" s="38" t="s">
        <v>24</v>
      </c>
      <c r="D413" s="33" t="str">
        <f>VLOOKUP(B413,'✈ Flights (2)'!$A$2:$P$502,3,FALSE)</f>
        <v>Frontier</v>
      </c>
      <c r="E413" s="38">
        <v>8729.2800000000007</v>
      </c>
      <c r="F413" s="33">
        <f t="shared" si="6"/>
        <v>8.0085137614678903</v>
      </c>
      <c r="G413" s="38">
        <v>864.88</v>
      </c>
      <c r="H413" s="38">
        <v>13557.74</v>
      </c>
      <c r="I413" s="38">
        <v>36298.85</v>
      </c>
      <c r="J413" s="38">
        <v>-40262.43</v>
      </c>
      <c r="K413" s="38" t="s">
        <v>1502</v>
      </c>
      <c r="L413" s="40">
        <f>VLOOKUP(B413,'✈ Flights (2)'!$A$2:$R$501,13,FALSE)</f>
        <v>103.92</v>
      </c>
      <c r="M413">
        <f>VLOOKUP(B413,'✈ Flights (2)'!$A$2:$R$501,16,FALSE)</f>
        <v>84</v>
      </c>
      <c r="N413" t="str">
        <f>VLOOKUP(B413,'✈ Flights (2)'!$A$2:$R$501,14,FALSE)</f>
        <v>Business</v>
      </c>
      <c r="O413">
        <f>VLOOKUP(B413,'✈ Flights (2)'!$A$2:$P$502,12,FALSE)</f>
        <v>1090</v>
      </c>
    </row>
    <row r="414" spans="1:15">
      <c r="A414" s="33" t="s">
        <v>1917</v>
      </c>
      <c r="B414" s="33" t="s">
        <v>1259</v>
      </c>
      <c r="C414" s="33" t="s">
        <v>41</v>
      </c>
      <c r="D414" s="33" t="str">
        <f>VLOOKUP(B414,'✈ Flights (2)'!$A$2:$P$502,3,FALSE)</f>
        <v>Frontier</v>
      </c>
      <c r="E414" s="33">
        <v>48844.38</v>
      </c>
      <c r="F414" s="33">
        <f t="shared" si="6"/>
        <v>18.6357802365509</v>
      </c>
      <c r="G414" s="33">
        <v>1873.08</v>
      </c>
      <c r="H414" s="33">
        <v>2027.11</v>
      </c>
      <c r="I414" s="33">
        <v>30888.11</v>
      </c>
      <c r="J414" s="33">
        <v>17802.240000000002</v>
      </c>
      <c r="K414" s="33" t="s">
        <v>1511</v>
      </c>
      <c r="L414" s="40">
        <f>VLOOKUP(B414,'✈ Flights (2)'!$A$2:$R$501,13,FALSE)</f>
        <v>289.02</v>
      </c>
      <c r="M414">
        <f>VLOOKUP(B414,'✈ Flights (2)'!$A$2:$R$501,16,FALSE)</f>
        <v>169</v>
      </c>
      <c r="N414" t="str">
        <f>VLOOKUP(B414,'✈ Flights (2)'!$A$2:$R$501,14,FALSE)</f>
        <v>Business</v>
      </c>
      <c r="O414">
        <f>VLOOKUP(B414,'✈ Flights (2)'!$A$2:$P$502,12,FALSE)</f>
        <v>2621</v>
      </c>
    </row>
    <row r="415" spans="1:15">
      <c r="A415" s="38" t="s">
        <v>1918</v>
      </c>
      <c r="B415" s="38" t="s">
        <v>1262</v>
      </c>
      <c r="C415" s="38" t="s">
        <v>117</v>
      </c>
      <c r="D415" s="33" t="str">
        <f>VLOOKUP(B415,'✈ Flights (2)'!$A$2:$P$502,3,FALSE)</f>
        <v>United</v>
      </c>
      <c r="E415" s="38">
        <v>104619.21</v>
      </c>
      <c r="F415" s="33">
        <f t="shared" si="6"/>
        <v>41.5485345512311</v>
      </c>
      <c r="G415" s="38">
        <v>1006.73</v>
      </c>
      <c r="H415" s="38">
        <v>8255.2900000000009</v>
      </c>
      <c r="I415" s="38">
        <v>6563.89</v>
      </c>
      <c r="J415" s="38">
        <v>90806.76</v>
      </c>
      <c r="K415" s="38" t="s">
        <v>1511</v>
      </c>
      <c r="L415" s="40">
        <f>VLOOKUP(B415,'✈ Flights (2)'!$A$2:$R$501,13,FALSE)</f>
        <v>491.17</v>
      </c>
      <c r="M415">
        <f>VLOOKUP(B415,'✈ Flights (2)'!$A$2:$R$501,16,FALSE)</f>
        <v>213</v>
      </c>
      <c r="N415" t="str">
        <f>VLOOKUP(B415,'✈ Flights (2)'!$A$2:$R$501,14,FALSE)</f>
        <v>Economy</v>
      </c>
      <c r="O415">
        <f>VLOOKUP(B415,'✈ Flights (2)'!$A$2:$P$502,12,FALSE)</f>
        <v>2518</v>
      </c>
    </row>
    <row r="416" spans="1:15">
      <c r="A416" s="33" t="s">
        <v>1919</v>
      </c>
      <c r="B416" s="33" t="s">
        <v>1265</v>
      </c>
      <c r="C416" s="33" t="s">
        <v>49</v>
      </c>
      <c r="D416" s="33" t="str">
        <f>VLOOKUP(B416,'✈ Flights (2)'!$A$2:$P$502,3,FALSE)</f>
        <v>Delta</v>
      </c>
      <c r="E416" s="33">
        <v>202685.44</v>
      </c>
      <c r="F416" s="33">
        <f t="shared" si="6"/>
        <v>362.58576028622502</v>
      </c>
      <c r="G416" s="33">
        <v>4743.2299999999996</v>
      </c>
      <c r="H416" s="33">
        <v>12157.54</v>
      </c>
      <c r="I416" s="33">
        <v>36510.06</v>
      </c>
      <c r="J416" s="33">
        <v>158761.07</v>
      </c>
      <c r="K416" s="33" t="s">
        <v>1509</v>
      </c>
      <c r="L416" s="40">
        <f>VLOOKUP(B416,'✈ Flights (2)'!$A$2:$R$501,13,FALSE)</f>
        <v>817.28</v>
      </c>
      <c r="M416">
        <f>VLOOKUP(B416,'✈ Flights (2)'!$A$2:$R$501,16,FALSE)</f>
        <v>248</v>
      </c>
      <c r="N416" t="str">
        <f>VLOOKUP(B416,'✈ Flights (2)'!$A$2:$R$501,14,FALSE)</f>
        <v>First Class</v>
      </c>
      <c r="O416">
        <f>VLOOKUP(B416,'✈ Flights (2)'!$A$2:$P$502,12,FALSE)</f>
        <v>559</v>
      </c>
    </row>
    <row r="417" spans="1:15">
      <c r="A417" s="38" t="s">
        <v>1920</v>
      </c>
      <c r="B417" s="38" t="s">
        <v>1267</v>
      </c>
      <c r="C417" s="38" t="s">
        <v>49</v>
      </c>
      <c r="D417" s="33" t="str">
        <f>VLOOKUP(B417,'✈ Flights (2)'!$A$2:$P$502,3,FALSE)</f>
        <v>American</v>
      </c>
      <c r="E417" s="38">
        <v>13649.24</v>
      </c>
      <c r="F417" s="33">
        <f t="shared" si="6"/>
        <v>8.4306609017912297</v>
      </c>
      <c r="G417" s="38">
        <v>6758.45</v>
      </c>
      <c r="H417" s="38">
        <v>3726.52</v>
      </c>
      <c r="I417" s="38">
        <v>34178.92</v>
      </c>
      <c r="J417" s="38">
        <v>-17497.75</v>
      </c>
      <c r="K417" s="38" t="s">
        <v>1502</v>
      </c>
      <c r="L417" s="40">
        <f>VLOOKUP(B417,'✈ Flights (2)'!$A$2:$R$501,13,FALSE)</f>
        <v>203.72</v>
      </c>
      <c r="M417">
        <f>VLOOKUP(B417,'✈ Flights (2)'!$A$2:$R$501,16,FALSE)</f>
        <v>67</v>
      </c>
      <c r="N417" t="str">
        <f>VLOOKUP(B417,'✈ Flights (2)'!$A$2:$R$501,14,FALSE)</f>
        <v>First Class</v>
      </c>
      <c r="O417">
        <f>VLOOKUP(B417,'✈ Flights (2)'!$A$2:$P$502,12,FALSE)</f>
        <v>1619</v>
      </c>
    </row>
    <row r="418" spans="1:15">
      <c r="A418" s="33" t="s">
        <v>1921</v>
      </c>
      <c r="B418" s="33" t="s">
        <v>1269</v>
      </c>
      <c r="C418" s="33" t="s">
        <v>57</v>
      </c>
      <c r="D418" s="33" t="str">
        <f>VLOOKUP(B418,'✈ Flights (2)'!$A$2:$P$502,3,FALSE)</f>
        <v>American</v>
      </c>
      <c r="E418" s="33">
        <v>28678.720000000001</v>
      </c>
      <c r="F418" s="33">
        <f t="shared" si="6"/>
        <v>40.736818181818201</v>
      </c>
      <c r="G418" s="33">
        <v>4285.7299999999996</v>
      </c>
      <c r="H418" s="33">
        <v>7849.08</v>
      </c>
      <c r="I418" s="33">
        <v>21132.77</v>
      </c>
      <c r="J418" s="33">
        <v>3982.6</v>
      </c>
      <c r="K418" s="33" t="s">
        <v>1509</v>
      </c>
      <c r="L418" s="40">
        <f>VLOOKUP(B418,'✈ Flights (2)'!$A$2:$R$501,13,FALSE)</f>
        <v>115.64</v>
      </c>
      <c r="M418">
        <f>VLOOKUP(B418,'✈ Flights (2)'!$A$2:$R$501,16,FALSE)</f>
        <v>248</v>
      </c>
      <c r="N418" t="str">
        <f>VLOOKUP(B418,'✈ Flights (2)'!$A$2:$R$501,14,FALSE)</f>
        <v>Unknown</v>
      </c>
      <c r="O418">
        <f>VLOOKUP(B418,'✈ Flights (2)'!$A$2:$P$502,12,FALSE)</f>
        <v>704</v>
      </c>
    </row>
    <row r="419" spans="1:15">
      <c r="A419" s="38" t="s">
        <v>1922</v>
      </c>
      <c r="B419" s="38" t="s">
        <v>1271</v>
      </c>
      <c r="C419" s="38" t="s">
        <v>65</v>
      </c>
      <c r="D419" s="33" t="str">
        <f>VLOOKUP(B419,'✈ Flights (2)'!$A$2:$P$502,3,FALSE)</f>
        <v>Delta</v>
      </c>
      <c r="E419" s="38">
        <v>173475.72</v>
      </c>
      <c r="F419" s="33">
        <f t="shared" si="6"/>
        <v>150.325580589255</v>
      </c>
      <c r="G419" s="38">
        <v>1617.37</v>
      </c>
      <c r="H419" s="38">
        <v>3161.09</v>
      </c>
      <c r="I419" s="38">
        <v>30475.25</v>
      </c>
      <c r="J419" s="38">
        <v>141456.75</v>
      </c>
      <c r="K419" s="38" t="s">
        <v>1509</v>
      </c>
      <c r="L419" s="40">
        <f>VLOOKUP(B419,'✈ Flights (2)'!$A$2:$R$501,13,FALSE)</f>
        <v>814.44</v>
      </c>
      <c r="M419">
        <f>VLOOKUP(B419,'✈ Flights (2)'!$A$2:$R$501,16,FALSE)</f>
        <v>213</v>
      </c>
      <c r="N419" t="str">
        <f>VLOOKUP(B419,'✈ Flights (2)'!$A$2:$R$501,14,FALSE)</f>
        <v>Economy</v>
      </c>
      <c r="O419">
        <f>VLOOKUP(B419,'✈ Flights (2)'!$A$2:$P$502,12,FALSE)</f>
        <v>1154</v>
      </c>
    </row>
    <row r="420" spans="1:15">
      <c r="A420" s="33" t="s">
        <v>1923</v>
      </c>
      <c r="B420" s="33" t="s">
        <v>1274</v>
      </c>
      <c r="C420" s="33" t="s">
        <v>57</v>
      </c>
      <c r="D420" s="33" t="str">
        <f>VLOOKUP(B420,'✈ Flights (2)'!$A$2:$P$502,3,FALSE)</f>
        <v>Alaska</v>
      </c>
      <c r="E420" s="33">
        <v>162334.39999999999</v>
      </c>
      <c r="F420" s="33">
        <f t="shared" si="6"/>
        <v>276.07891156462603</v>
      </c>
      <c r="G420" s="33">
        <v>0</v>
      </c>
      <c r="H420" s="33">
        <v>13703.18</v>
      </c>
      <c r="I420" s="33">
        <v>18553.23</v>
      </c>
      <c r="J420" s="33">
        <v>-32256.41</v>
      </c>
      <c r="K420" s="33" t="s">
        <v>1511</v>
      </c>
      <c r="L420" s="40">
        <f>VLOOKUP(B420,'✈ Flights (2)'!$A$2:$R$501,13,FALSE)</f>
        <v>1014.59</v>
      </c>
      <c r="M420">
        <f>VLOOKUP(B420,'✈ Flights (2)'!$A$2:$R$501,16,FALSE)</f>
        <v>160</v>
      </c>
      <c r="N420" t="str">
        <f>VLOOKUP(B420,'✈ Flights (2)'!$A$2:$R$501,14,FALSE)</f>
        <v>Economy</v>
      </c>
      <c r="O420">
        <f>VLOOKUP(B420,'✈ Flights (2)'!$A$2:$P$502,12,FALSE)</f>
        <v>588</v>
      </c>
    </row>
    <row r="421" spans="1:15">
      <c r="A421" s="38" t="s">
        <v>1924</v>
      </c>
      <c r="B421" s="38" t="s">
        <v>1275</v>
      </c>
      <c r="C421" s="38" t="s">
        <v>24</v>
      </c>
      <c r="D421" s="33" t="str">
        <f>VLOOKUP(B421,'✈ Flights (2)'!$A$2:$P$502,3,FALSE)</f>
        <v>United</v>
      </c>
      <c r="E421" s="38">
        <v>77491.5</v>
      </c>
      <c r="F421" s="33">
        <f t="shared" si="6"/>
        <v>31.564765784114101</v>
      </c>
      <c r="G421" s="38">
        <v>4557.46</v>
      </c>
      <c r="H421" s="38">
        <v>13570.56</v>
      </c>
      <c r="I421" s="38">
        <v>38532.78</v>
      </c>
      <c r="J421" s="38">
        <v>29945.62</v>
      </c>
      <c r="K421" s="38" t="s">
        <v>1511</v>
      </c>
      <c r="L421" s="40">
        <f>VLOOKUP(B421,'✈ Flights (2)'!$A$2:$R$501,13,FALSE)</f>
        <v>815.7</v>
      </c>
      <c r="M421">
        <f>VLOOKUP(B421,'✈ Flights (2)'!$A$2:$R$501,16,FALSE)</f>
        <v>95</v>
      </c>
      <c r="N421" t="str">
        <f>VLOOKUP(B421,'✈ Flights (2)'!$A$2:$R$501,14,FALSE)</f>
        <v>First Class</v>
      </c>
      <c r="O421">
        <f>VLOOKUP(B421,'✈ Flights (2)'!$A$2:$P$502,12,FALSE)</f>
        <v>2455</v>
      </c>
    </row>
    <row r="422" spans="1:15">
      <c r="A422" s="33" t="s">
        <v>1925</v>
      </c>
      <c r="B422" s="33" t="s">
        <v>1277</v>
      </c>
      <c r="C422" s="33" t="s">
        <v>74</v>
      </c>
      <c r="D422" s="33" t="str">
        <f>VLOOKUP(B422,'✈ Flights (2)'!$A$2:$P$502,3,FALSE)</f>
        <v>United</v>
      </c>
      <c r="E422" s="33">
        <v>102600.96000000001</v>
      </c>
      <c r="F422" s="33">
        <f t="shared" si="6"/>
        <v>50.073674963396797</v>
      </c>
      <c r="G422" s="33">
        <v>5344.37</v>
      </c>
      <c r="H422" s="33">
        <v>11193.71</v>
      </c>
      <c r="I422" s="33">
        <v>35308.379999999997</v>
      </c>
      <c r="J422" s="33">
        <v>61443.24</v>
      </c>
      <c r="K422" s="33" t="s">
        <v>1511</v>
      </c>
      <c r="L422" s="40">
        <f>VLOOKUP(B422,'✈ Flights (2)'!$A$2:$R$501,13,FALSE)</f>
        <v>1068.76</v>
      </c>
      <c r="M422">
        <f>VLOOKUP(B422,'✈ Flights (2)'!$A$2:$R$501,16,FALSE)</f>
        <v>96</v>
      </c>
      <c r="N422" t="str">
        <f>VLOOKUP(B422,'✈ Flights (2)'!$A$2:$R$501,14,FALSE)</f>
        <v>Economy</v>
      </c>
      <c r="O422">
        <f>VLOOKUP(B422,'✈ Flights (2)'!$A$2:$P$502,12,FALSE)</f>
        <v>2049</v>
      </c>
    </row>
    <row r="423" spans="1:15">
      <c r="A423" s="38" t="s">
        <v>1926</v>
      </c>
      <c r="B423" s="38" t="s">
        <v>1279</v>
      </c>
      <c r="C423" s="38" t="s">
        <v>39</v>
      </c>
      <c r="D423" s="33" t="str">
        <f>VLOOKUP(B423,'✈ Flights (2)'!$A$2:$P$502,3,FALSE)</f>
        <v>Alaska</v>
      </c>
      <c r="E423" s="38">
        <v>95364.33</v>
      </c>
      <c r="F423" s="33">
        <f t="shared" si="6"/>
        <v>59.977566037735798</v>
      </c>
      <c r="G423" s="38">
        <v>4707.83</v>
      </c>
      <c r="H423" s="38">
        <v>9271.59</v>
      </c>
      <c r="I423" s="38">
        <v>9332.36</v>
      </c>
      <c r="J423" s="38">
        <v>153165.48000000001</v>
      </c>
      <c r="K423" s="38" t="s">
        <v>1502</v>
      </c>
      <c r="L423" s="40">
        <f>VLOOKUP(B423,'✈ Flights (2)'!$A$2:$R$501,13,FALSE)</f>
        <v>696.09</v>
      </c>
      <c r="M423">
        <f>VLOOKUP(B423,'✈ Flights (2)'!$A$2:$R$501,16,FALSE)</f>
        <v>137</v>
      </c>
      <c r="N423" t="str">
        <f>VLOOKUP(B423,'✈ Flights (2)'!$A$2:$R$501,14,FALSE)</f>
        <v>Unknown</v>
      </c>
      <c r="O423">
        <f>VLOOKUP(B423,'✈ Flights (2)'!$A$2:$P$502,12,FALSE)</f>
        <v>1590</v>
      </c>
    </row>
    <row r="424" spans="1:15">
      <c r="A424" s="33" t="s">
        <v>1927</v>
      </c>
      <c r="B424" s="33" t="s">
        <v>1281</v>
      </c>
      <c r="C424" s="33" t="s">
        <v>49</v>
      </c>
      <c r="D424" s="33" t="str">
        <f>VLOOKUP(B424,'✈ Flights (2)'!$A$2:$P$502,3,FALSE)</f>
        <v>Alaska</v>
      </c>
      <c r="E424" s="33">
        <v>184351.2</v>
      </c>
      <c r="F424" s="33">
        <f t="shared" si="6"/>
        <v>72.209635722679195</v>
      </c>
      <c r="G424" s="33">
        <v>7663.76</v>
      </c>
      <c r="H424" s="33">
        <v>11849</v>
      </c>
      <c r="I424" s="33">
        <v>23964.2</v>
      </c>
      <c r="J424" s="33">
        <v>156201.76</v>
      </c>
      <c r="K424" s="33" t="s">
        <v>1502</v>
      </c>
      <c r="L424" s="40">
        <f>VLOOKUP(B424,'✈ Flights (2)'!$A$2:$R$501,13,FALSE)</f>
        <v>1117.28</v>
      </c>
      <c r="M424">
        <f>VLOOKUP(B424,'✈ Flights (2)'!$A$2:$R$501,16,FALSE)</f>
        <v>165</v>
      </c>
      <c r="N424" t="str">
        <f>VLOOKUP(B424,'✈ Flights (2)'!$A$2:$R$501,14,FALSE)</f>
        <v>Business</v>
      </c>
      <c r="O424">
        <f>VLOOKUP(B424,'✈ Flights (2)'!$A$2:$P$502,12,FALSE)</f>
        <v>2553</v>
      </c>
    </row>
    <row r="425" spans="1:15">
      <c r="A425" s="38" t="s">
        <v>1928</v>
      </c>
      <c r="B425" s="38" t="s">
        <v>1283</v>
      </c>
      <c r="C425" s="38" t="s">
        <v>57</v>
      </c>
      <c r="D425" s="33" t="str">
        <f>VLOOKUP(B425,'✈ Flights (2)'!$A$2:$P$502,3,FALSE)</f>
        <v>Delta</v>
      </c>
      <c r="E425" s="38">
        <v>82290.78</v>
      </c>
      <c r="F425" s="33">
        <f t="shared" si="6"/>
        <v>96.472192262602604</v>
      </c>
      <c r="G425" s="38">
        <v>0</v>
      </c>
      <c r="H425" s="38">
        <v>8534.2999999999993</v>
      </c>
      <c r="I425" s="38">
        <v>31269.55</v>
      </c>
      <c r="J425" s="38">
        <v>-39803.85</v>
      </c>
      <c r="K425" s="38" t="s">
        <v>1504</v>
      </c>
      <c r="L425" s="40">
        <f>VLOOKUP(B425,'✈ Flights (2)'!$A$2:$R$501,13,FALSE)</f>
        <v>1192.6199999999999</v>
      </c>
      <c r="M425">
        <f>VLOOKUP(B425,'✈ Flights (2)'!$A$2:$R$501,16,FALSE)</f>
        <v>69</v>
      </c>
      <c r="N425" t="str">
        <f>VLOOKUP(B425,'✈ Flights (2)'!$A$2:$R$501,14,FALSE)</f>
        <v>Business</v>
      </c>
      <c r="O425">
        <f>VLOOKUP(B425,'✈ Flights (2)'!$A$2:$P$502,12,FALSE)</f>
        <v>853</v>
      </c>
    </row>
    <row r="426" spans="1:15">
      <c r="A426" s="33" t="s">
        <v>1929</v>
      </c>
      <c r="B426" s="33" t="s">
        <v>1285</v>
      </c>
      <c r="C426" s="33" t="s">
        <v>175</v>
      </c>
      <c r="D426" s="33" t="str">
        <f>VLOOKUP(B426,'✈ Flights (2)'!$A$2:$P$502,3,FALSE)</f>
        <v>Alaska</v>
      </c>
      <c r="E426" s="33">
        <v>49435.63</v>
      </c>
      <c r="F426" s="33">
        <f t="shared" si="6"/>
        <v>108.88905286343601</v>
      </c>
      <c r="G426" s="33">
        <v>1402.12</v>
      </c>
      <c r="H426" s="33">
        <v>4336.66</v>
      </c>
      <c r="I426" s="33">
        <v>37766.36</v>
      </c>
      <c r="J426" s="33">
        <v>8734.73</v>
      </c>
      <c r="K426" s="33" t="s">
        <v>1504</v>
      </c>
      <c r="L426" s="40">
        <f>VLOOKUP(B426,'✈ Flights (2)'!$A$2:$R$501,13,FALSE)</f>
        <v>595.61</v>
      </c>
      <c r="M426">
        <f>VLOOKUP(B426,'✈ Flights (2)'!$A$2:$R$501,16,FALSE)</f>
        <v>83</v>
      </c>
      <c r="N426" t="str">
        <f>VLOOKUP(B426,'✈ Flights (2)'!$A$2:$R$501,14,FALSE)</f>
        <v>Economy</v>
      </c>
      <c r="O426">
        <f>VLOOKUP(B426,'✈ Flights (2)'!$A$2:$P$502,12,FALSE)</f>
        <v>454</v>
      </c>
    </row>
    <row r="427" spans="1:15">
      <c r="A427" s="38" t="s">
        <v>1930</v>
      </c>
      <c r="B427" s="38" t="s">
        <v>1288</v>
      </c>
      <c r="C427" s="38" t="s">
        <v>22</v>
      </c>
      <c r="D427" s="33" t="str">
        <f>VLOOKUP(B427,'✈ Flights (2)'!$A$2:$P$502,3,FALSE)</f>
        <v>Southwest</v>
      </c>
      <c r="E427" s="38">
        <v>156111.74</v>
      </c>
      <c r="F427" s="33">
        <f t="shared" si="6"/>
        <v>131.186336134454</v>
      </c>
      <c r="G427" s="38">
        <v>2562.2199999999998</v>
      </c>
      <c r="H427" s="38">
        <v>12785.98</v>
      </c>
      <c r="I427" s="38">
        <v>12203.17</v>
      </c>
      <c r="J427" s="38">
        <v>133684.81</v>
      </c>
      <c r="K427" s="38" t="s">
        <v>1509</v>
      </c>
      <c r="L427" s="40">
        <f>VLOOKUP(B427,'✈ Flights (2)'!$A$2:$R$501,13,FALSE)</f>
        <v>902.38</v>
      </c>
      <c r="M427">
        <f>VLOOKUP(B427,'✈ Flights (2)'!$A$2:$R$501,16,FALSE)</f>
        <v>173</v>
      </c>
      <c r="N427" t="str">
        <f>VLOOKUP(B427,'✈ Flights (2)'!$A$2:$R$501,14,FALSE)</f>
        <v>First Class</v>
      </c>
      <c r="O427">
        <f>VLOOKUP(B427,'✈ Flights (2)'!$A$2:$P$502,12,FALSE)</f>
        <v>1190</v>
      </c>
    </row>
    <row r="428" spans="1:15">
      <c r="A428" s="33" t="s">
        <v>1931</v>
      </c>
      <c r="B428" s="33" t="s">
        <v>1290</v>
      </c>
      <c r="C428" s="33" t="s">
        <v>57</v>
      </c>
      <c r="D428" s="33" t="str">
        <f>VLOOKUP(B428,'✈ Flights (2)'!$A$2:$P$502,3,FALSE)</f>
        <v>Jetblue</v>
      </c>
      <c r="E428" s="33">
        <v>37574.400000000001</v>
      </c>
      <c r="F428" s="33">
        <f t="shared" si="6"/>
        <v>22.513121629718398</v>
      </c>
      <c r="G428" s="33">
        <v>1134.8599999999999</v>
      </c>
      <c r="H428" s="33">
        <v>6165.61</v>
      </c>
      <c r="I428" s="33">
        <v>23674.04</v>
      </c>
      <c r="J428" s="33">
        <v>8869.61</v>
      </c>
      <c r="K428" s="33" t="s">
        <v>1504</v>
      </c>
      <c r="L428" s="40">
        <f>VLOOKUP(B428,'✈ Flights (2)'!$A$2:$R$501,13,FALSE)</f>
        <v>469.68</v>
      </c>
      <c r="M428">
        <f>VLOOKUP(B428,'✈ Flights (2)'!$A$2:$R$501,16,FALSE)</f>
        <v>80</v>
      </c>
      <c r="N428" t="str">
        <f>VLOOKUP(B428,'✈ Flights (2)'!$A$2:$R$501,14,FALSE)</f>
        <v>Business</v>
      </c>
      <c r="O428">
        <f>VLOOKUP(B428,'✈ Flights (2)'!$A$2:$P$502,12,FALSE)</f>
        <v>1669</v>
      </c>
    </row>
    <row r="429" spans="1:15">
      <c r="A429" s="38" t="s">
        <v>1932</v>
      </c>
      <c r="B429" s="38" t="s">
        <v>1293</v>
      </c>
      <c r="C429" s="38" t="s">
        <v>57</v>
      </c>
      <c r="D429" s="33" t="str">
        <f>VLOOKUP(B429,'✈ Flights (2)'!$A$2:$P$502,3,FALSE)</f>
        <v>Spirit</v>
      </c>
      <c r="E429" s="38">
        <v>162495.6</v>
      </c>
      <c r="F429" s="33">
        <f t="shared" si="6"/>
        <v>64.713500597371606</v>
      </c>
      <c r="G429" s="38">
        <v>4186.05</v>
      </c>
      <c r="H429" s="38">
        <v>6419.44</v>
      </c>
      <c r="I429" s="38">
        <v>37684.71</v>
      </c>
      <c r="J429" s="38">
        <v>122577.5</v>
      </c>
      <c r="K429" s="38" t="s">
        <v>1502</v>
      </c>
      <c r="L429" s="40">
        <f>VLOOKUP(B429,'✈ Flights (2)'!$A$2:$R$501,13,FALSE)</f>
        <v>712.7</v>
      </c>
      <c r="M429">
        <f>VLOOKUP(B429,'✈ Flights (2)'!$A$2:$R$501,16,FALSE)</f>
        <v>228</v>
      </c>
      <c r="N429" t="str">
        <f>VLOOKUP(B429,'✈ Flights (2)'!$A$2:$R$501,14,FALSE)</f>
        <v>Business</v>
      </c>
      <c r="O429">
        <f>VLOOKUP(B429,'✈ Flights (2)'!$A$2:$P$502,12,FALSE)</f>
        <v>2511</v>
      </c>
    </row>
    <row r="430" spans="1:15">
      <c r="A430" s="33" t="s">
        <v>1933</v>
      </c>
      <c r="B430" s="33" t="s">
        <v>1296</v>
      </c>
      <c r="C430" s="33" t="s">
        <v>41</v>
      </c>
      <c r="D430" s="33" t="str">
        <f>VLOOKUP(B430,'✈ Flights (2)'!$A$2:$P$502,3,FALSE)</f>
        <v>Spirit</v>
      </c>
      <c r="E430" s="33">
        <v>26700.959999999999</v>
      </c>
      <c r="F430" s="33">
        <f t="shared" si="6"/>
        <v>12.9052489125181</v>
      </c>
      <c r="G430" s="33">
        <v>3612.02</v>
      </c>
      <c r="H430" s="33">
        <v>6125.97</v>
      </c>
      <c r="I430" s="33">
        <v>35087.69</v>
      </c>
      <c r="J430" s="33">
        <v>-10900.68</v>
      </c>
      <c r="K430" s="33" t="s">
        <v>1511</v>
      </c>
      <c r="L430" s="40">
        <f>VLOOKUP(B430,'✈ Flights (2)'!$A$2:$R$501,13,FALSE)</f>
        <v>404.56</v>
      </c>
      <c r="M430">
        <f>VLOOKUP(B430,'✈ Flights (2)'!$A$2:$R$501,16,FALSE)</f>
        <v>66</v>
      </c>
      <c r="N430" t="str">
        <f>VLOOKUP(B430,'✈ Flights (2)'!$A$2:$R$501,14,FALSE)</f>
        <v>Business</v>
      </c>
      <c r="O430">
        <f>VLOOKUP(B430,'✈ Flights (2)'!$A$2:$P$502,12,FALSE)</f>
        <v>2069</v>
      </c>
    </row>
    <row r="431" spans="1:15">
      <c r="A431" s="38" t="s">
        <v>1934</v>
      </c>
      <c r="B431" s="38" t="s">
        <v>1297</v>
      </c>
      <c r="C431" s="38" t="s">
        <v>33</v>
      </c>
      <c r="D431" s="33" t="str">
        <f>VLOOKUP(B431,'✈ Flights (2)'!$A$2:$P$502,3,FALSE)</f>
        <v>Delta</v>
      </c>
      <c r="E431" s="38">
        <v>37964.21</v>
      </c>
      <c r="F431" s="33">
        <f t="shared" si="6"/>
        <v>16.120683651804701</v>
      </c>
      <c r="G431" s="38">
        <v>1182.69</v>
      </c>
      <c r="H431" s="38">
        <v>9043.1299999999992</v>
      </c>
      <c r="I431" s="38">
        <v>39292.51</v>
      </c>
      <c r="J431" s="38">
        <v>-9188.74</v>
      </c>
      <c r="K431" s="38" t="s">
        <v>1511</v>
      </c>
      <c r="L431" s="40">
        <f>VLOOKUP(B431,'✈ Flights (2)'!$A$2:$R$501,13,FALSE)</f>
        <v>566.63</v>
      </c>
      <c r="M431">
        <f>VLOOKUP(B431,'✈ Flights (2)'!$A$2:$R$501,16,FALSE)</f>
        <v>67</v>
      </c>
      <c r="N431" t="str">
        <f>VLOOKUP(B431,'✈ Flights (2)'!$A$2:$R$501,14,FALSE)</f>
        <v>First Class</v>
      </c>
      <c r="O431">
        <f>VLOOKUP(B431,'✈ Flights (2)'!$A$2:$P$502,12,FALSE)</f>
        <v>2355</v>
      </c>
    </row>
    <row r="432" spans="1:15">
      <c r="A432" s="33" t="s">
        <v>1935</v>
      </c>
      <c r="B432" s="33" t="s">
        <v>1299</v>
      </c>
      <c r="C432" s="33" t="s">
        <v>67</v>
      </c>
      <c r="D432" s="33" t="str">
        <f>VLOOKUP(B432,'✈ Flights (2)'!$A$2:$P$502,3,FALSE)</f>
        <v>Frontier</v>
      </c>
      <c r="E432" s="33">
        <v>27231.119999999999</v>
      </c>
      <c r="F432" s="33">
        <f t="shared" si="6"/>
        <v>45.920944350758901</v>
      </c>
      <c r="G432" s="33">
        <v>1580.26</v>
      </c>
      <c r="H432" s="33">
        <v>3165.17</v>
      </c>
      <c r="I432" s="33">
        <v>13944.41</v>
      </c>
      <c r="J432" s="33">
        <v>11701.8</v>
      </c>
      <c r="K432" s="33" t="s">
        <v>1511</v>
      </c>
      <c r="L432" s="40">
        <f>VLOOKUP(B432,'✈ Flights (2)'!$A$2:$R$501,13,FALSE)</f>
        <v>378.21</v>
      </c>
      <c r="M432">
        <f>VLOOKUP(B432,'✈ Flights (2)'!$A$2:$R$501,16,FALSE)</f>
        <v>72</v>
      </c>
      <c r="N432" t="str">
        <f>VLOOKUP(B432,'✈ Flights (2)'!$A$2:$R$501,14,FALSE)</f>
        <v>Business</v>
      </c>
      <c r="O432">
        <f>VLOOKUP(B432,'✈ Flights (2)'!$A$2:$P$502,12,FALSE)</f>
        <v>593</v>
      </c>
    </row>
    <row r="433" spans="1:15">
      <c r="A433" s="38" t="s">
        <v>1936</v>
      </c>
      <c r="B433" s="38" t="s">
        <v>1301</v>
      </c>
      <c r="C433" s="38" t="s">
        <v>65</v>
      </c>
      <c r="D433" s="33" t="str">
        <f>VLOOKUP(B433,'✈ Flights (2)'!$A$2:$P$502,3,FALSE)</f>
        <v>Spirit</v>
      </c>
      <c r="E433" s="38">
        <v>76521.64</v>
      </c>
      <c r="F433" s="33">
        <f t="shared" si="6"/>
        <v>28.009385065885802</v>
      </c>
      <c r="G433" s="38">
        <v>7641.24</v>
      </c>
      <c r="H433" s="38">
        <v>2765.88</v>
      </c>
      <c r="I433" s="38">
        <v>28751.3</v>
      </c>
      <c r="J433" s="38">
        <v>52645.7</v>
      </c>
      <c r="K433" s="38" t="s">
        <v>1511</v>
      </c>
      <c r="L433" s="40">
        <f>VLOOKUP(B433,'✈ Flights (2)'!$A$2:$R$501,13,FALSE)</f>
        <v>814.06</v>
      </c>
      <c r="M433">
        <f>VLOOKUP(B433,'✈ Flights (2)'!$A$2:$R$501,16,FALSE)</f>
        <v>94</v>
      </c>
      <c r="N433" t="str">
        <f>VLOOKUP(B433,'✈ Flights (2)'!$A$2:$R$501,14,FALSE)</f>
        <v>Business</v>
      </c>
      <c r="O433">
        <f>VLOOKUP(B433,'✈ Flights (2)'!$A$2:$P$502,12,FALSE)</f>
        <v>2732</v>
      </c>
    </row>
    <row r="434" spans="1:15">
      <c r="A434" s="33" t="s">
        <v>1937</v>
      </c>
      <c r="B434" s="33" t="s">
        <v>1303</v>
      </c>
      <c r="C434" s="33" t="s">
        <v>41</v>
      </c>
      <c r="D434" s="33" t="str">
        <f>VLOOKUP(B434,'✈ Flights (2)'!$A$2:$P$502,3,FALSE)</f>
        <v>American</v>
      </c>
      <c r="E434" s="33">
        <v>23688.03</v>
      </c>
      <c r="F434" s="33">
        <f t="shared" si="6"/>
        <v>12.937209175314001</v>
      </c>
      <c r="G434" s="33">
        <v>1860.93</v>
      </c>
      <c r="H434" s="33">
        <v>5874.32</v>
      </c>
      <c r="I434" s="33">
        <v>29965.52</v>
      </c>
      <c r="J434" s="33">
        <v>-10290.879999999999</v>
      </c>
      <c r="K434" s="33" t="s">
        <v>1504</v>
      </c>
      <c r="L434" s="40">
        <f>VLOOKUP(B434,'✈ Flights (2)'!$A$2:$R$501,13,FALSE)</f>
        <v>254.71</v>
      </c>
      <c r="M434">
        <f>VLOOKUP(B434,'✈ Flights (2)'!$A$2:$R$501,16,FALSE)</f>
        <v>93</v>
      </c>
      <c r="N434" t="str">
        <f>VLOOKUP(B434,'✈ Flights (2)'!$A$2:$R$501,14,FALSE)</f>
        <v>First Class</v>
      </c>
      <c r="O434">
        <f>VLOOKUP(B434,'✈ Flights (2)'!$A$2:$P$502,12,FALSE)</f>
        <v>1831</v>
      </c>
    </row>
    <row r="435" spans="1:15">
      <c r="A435" s="38" t="s">
        <v>1938</v>
      </c>
      <c r="B435" s="38" t="s">
        <v>1306</v>
      </c>
      <c r="C435" s="38" t="s">
        <v>49</v>
      </c>
      <c r="D435" s="33" t="str">
        <f>VLOOKUP(B435,'✈ Flights (2)'!$A$2:$P$502,3,FALSE)</f>
        <v>Southwest</v>
      </c>
      <c r="E435" s="38">
        <v>29942.83</v>
      </c>
      <c r="F435" s="33">
        <f t="shared" si="6"/>
        <v>39.659377483443699</v>
      </c>
      <c r="G435" s="38">
        <v>2900.31</v>
      </c>
      <c r="H435" s="38">
        <v>6214.83</v>
      </c>
      <c r="I435" s="38">
        <v>19448.8</v>
      </c>
      <c r="J435" s="38">
        <v>7179.51</v>
      </c>
      <c r="K435" s="38" t="s">
        <v>1509</v>
      </c>
      <c r="L435" s="40">
        <f>VLOOKUP(B435,'✈ Flights (2)'!$A$2:$R$501,13,FALSE)</f>
        <v>421.73</v>
      </c>
      <c r="M435">
        <f>VLOOKUP(B435,'✈ Flights (2)'!$A$2:$R$501,16,FALSE)</f>
        <v>71</v>
      </c>
      <c r="N435" t="str">
        <f>VLOOKUP(B435,'✈ Flights (2)'!$A$2:$R$501,14,FALSE)</f>
        <v>Business</v>
      </c>
      <c r="O435">
        <f>VLOOKUP(B435,'✈ Flights (2)'!$A$2:$P$502,12,FALSE)</f>
        <v>755</v>
      </c>
    </row>
    <row r="436" spans="1:15">
      <c r="A436" s="33" t="s">
        <v>1939</v>
      </c>
      <c r="B436" s="33" t="s">
        <v>1309</v>
      </c>
      <c r="C436" s="33" t="s">
        <v>33</v>
      </c>
      <c r="D436" s="33" t="str">
        <f>VLOOKUP(B436,'✈ Flights (2)'!$A$2:$P$502,3,FALSE)</f>
        <v>Southwest</v>
      </c>
      <c r="E436" s="33">
        <v>63527.519999999997</v>
      </c>
      <c r="F436" s="33">
        <f t="shared" si="6"/>
        <v>72.354806378132096</v>
      </c>
      <c r="G436" s="33">
        <v>7561.83</v>
      </c>
      <c r="H436" s="33">
        <v>2674.42</v>
      </c>
      <c r="I436" s="33">
        <v>36482.550000000003</v>
      </c>
      <c r="J436" s="33">
        <v>31932.38</v>
      </c>
      <c r="K436" s="33" t="s">
        <v>1502</v>
      </c>
      <c r="L436" s="40">
        <f>VLOOKUP(B436,'✈ Flights (2)'!$A$2:$R$501,13,FALSE)</f>
        <v>858.48</v>
      </c>
      <c r="M436">
        <f>VLOOKUP(B436,'✈ Flights (2)'!$A$2:$R$501,16,FALSE)</f>
        <v>74</v>
      </c>
      <c r="N436" t="str">
        <f>VLOOKUP(B436,'✈ Flights (2)'!$A$2:$R$501,14,FALSE)</f>
        <v>First Class</v>
      </c>
      <c r="O436">
        <f>VLOOKUP(B436,'✈ Flights (2)'!$A$2:$P$502,12,FALSE)</f>
        <v>878</v>
      </c>
    </row>
    <row r="437" spans="1:15">
      <c r="A437" s="38" t="s">
        <v>1940</v>
      </c>
      <c r="B437" s="38" t="s">
        <v>1311</v>
      </c>
      <c r="C437" s="38" t="s">
        <v>22</v>
      </c>
      <c r="D437" s="33" t="str">
        <f>VLOOKUP(B437,'✈ Flights (2)'!$A$2:$P$502,3,FALSE)</f>
        <v>Delta</v>
      </c>
      <c r="E437" s="38">
        <v>54505.279999999999</v>
      </c>
      <c r="F437" s="33">
        <f t="shared" si="6"/>
        <v>19.2530130695867</v>
      </c>
      <c r="G437" s="38">
        <v>6141</v>
      </c>
      <c r="H437" s="38">
        <v>8408.73</v>
      </c>
      <c r="I437" s="38">
        <v>25511.02</v>
      </c>
      <c r="J437" s="38">
        <v>-7819.07</v>
      </c>
      <c r="K437" s="38" t="s">
        <v>1509</v>
      </c>
      <c r="L437" s="40">
        <f>VLOOKUP(B437,'✈ Flights (2)'!$A$2:$R$501,13,FALSE)</f>
        <v>383.84</v>
      </c>
      <c r="M437">
        <f>VLOOKUP(B437,'✈ Flights (2)'!$A$2:$R$501,16,FALSE)</f>
        <v>142</v>
      </c>
      <c r="N437" t="str">
        <f>VLOOKUP(B437,'✈ Flights (2)'!$A$2:$R$501,14,FALSE)</f>
        <v>Business</v>
      </c>
      <c r="O437">
        <f>VLOOKUP(B437,'✈ Flights (2)'!$A$2:$P$502,12,FALSE)</f>
        <v>2831</v>
      </c>
    </row>
    <row r="438" spans="1:15">
      <c r="A438" s="33" t="s">
        <v>1941</v>
      </c>
      <c r="B438" s="33" t="s">
        <v>1313</v>
      </c>
      <c r="C438" s="33" t="s">
        <v>198</v>
      </c>
      <c r="D438" s="33" t="str">
        <f>VLOOKUP(B438,'✈ Flights (2)'!$A$2:$P$502,3,FALSE)</f>
        <v>Alaska</v>
      </c>
      <c r="E438" s="33">
        <v>58461.3</v>
      </c>
      <c r="F438" s="33">
        <f t="shared" si="6"/>
        <v>31.447713824636899</v>
      </c>
      <c r="G438" s="33">
        <v>7620.18</v>
      </c>
      <c r="H438" s="33">
        <v>6138.37</v>
      </c>
      <c r="I438" s="33">
        <v>14425.06</v>
      </c>
      <c r="J438" s="33">
        <v>45518.05</v>
      </c>
      <c r="K438" s="33" t="s">
        <v>1509</v>
      </c>
      <c r="L438" s="40">
        <f>VLOOKUP(B438,'✈ Flights (2)'!$A$2:$R$501,13,FALSE)</f>
        <v>649.57000000000005</v>
      </c>
      <c r="M438">
        <f>VLOOKUP(B438,'✈ Flights (2)'!$A$2:$R$501,16,FALSE)</f>
        <v>90</v>
      </c>
      <c r="N438" t="str">
        <f>VLOOKUP(B438,'✈ Flights (2)'!$A$2:$R$501,14,FALSE)</f>
        <v>First Class</v>
      </c>
      <c r="O438">
        <f>VLOOKUP(B438,'✈ Flights (2)'!$A$2:$P$502,12,FALSE)</f>
        <v>1859</v>
      </c>
    </row>
    <row r="439" spans="1:15">
      <c r="A439" s="38" t="s">
        <v>1942</v>
      </c>
      <c r="B439" s="38" t="s">
        <v>1315</v>
      </c>
      <c r="C439" s="38" t="s">
        <v>39</v>
      </c>
      <c r="D439" s="33" t="str">
        <f>VLOOKUP(B439,'✈ Flights (2)'!$A$2:$P$502,3,FALSE)</f>
        <v>United</v>
      </c>
      <c r="E439" s="38">
        <v>16810.2</v>
      </c>
      <c r="F439" s="33">
        <f t="shared" si="6"/>
        <v>43.3252577319588</v>
      </c>
      <c r="G439" s="38">
        <v>990.94</v>
      </c>
      <c r="H439" s="38">
        <v>10236.040000000001</v>
      </c>
      <c r="I439" s="38">
        <v>6011.73</v>
      </c>
      <c r="J439" s="38">
        <v>1553.37</v>
      </c>
      <c r="K439" s="38" t="s">
        <v>1504</v>
      </c>
      <c r="L439" s="40">
        <f>VLOOKUP(B439,'✈ Flights (2)'!$A$2:$R$501,13,FALSE)</f>
        <v>124.52</v>
      </c>
      <c r="M439">
        <f>VLOOKUP(B439,'✈ Flights (2)'!$A$2:$R$501,16,FALSE)</f>
        <v>135</v>
      </c>
      <c r="N439" t="str">
        <f>VLOOKUP(B439,'✈ Flights (2)'!$A$2:$R$501,14,FALSE)</f>
        <v>First Class</v>
      </c>
      <c r="O439">
        <f>VLOOKUP(B439,'✈ Flights (2)'!$A$2:$P$502,12,FALSE)</f>
        <v>388</v>
      </c>
    </row>
    <row r="440" spans="1:15">
      <c r="A440" s="33" t="s">
        <v>1943</v>
      </c>
      <c r="B440" s="33" t="s">
        <v>1318</v>
      </c>
      <c r="C440" s="33" t="s">
        <v>65</v>
      </c>
      <c r="D440" s="33" t="str">
        <f>VLOOKUP(B440,'✈ Flights (2)'!$A$2:$P$502,3,FALSE)</f>
        <v>Delta</v>
      </c>
      <c r="E440" s="33">
        <v>44732.7</v>
      </c>
      <c r="F440" s="33">
        <f t="shared" si="6"/>
        <v>19.010922226944299</v>
      </c>
      <c r="G440" s="33">
        <v>2518.6999999999998</v>
      </c>
      <c r="H440" s="33">
        <v>10776.27</v>
      </c>
      <c r="I440" s="33">
        <v>38721.61</v>
      </c>
      <c r="J440" s="33">
        <v>-2246.48</v>
      </c>
      <c r="K440" s="33" t="s">
        <v>1502</v>
      </c>
      <c r="L440" s="40">
        <f>VLOOKUP(B440,'✈ Flights (2)'!$A$2:$R$501,13,FALSE)</f>
        <v>388.98</v>
      </c>
      <c r="M440">
        <f>VLOOKUP(B440,'✈ Flights (2)'!$A$2:$R$501,16,FALSE)</f>
        <v>115</v>
      </c>
      <c r="N440" t="str">
        <f>VLOOKUP(B440,'✈ Flights (2)'!$A$2:$R$501,14,FALSE)</f>
        <v>Economy</v>
      </c>
      <c r="O440">
        <f>VLOOKUP(B440,'✈ Flights (2)'!$A$2:$P$502,12,FALSE)</f>
        <v>2353</v>
      </c>
    </row>
    <row r="441" spans="1:15">
      <c r="A441" s="38" t="s">
        <v>1944</v>
      </c>
      <c r="B441" s="38" t="s">
        <v>1320</v>
      </c>
      <c r="C441" s="38" t="s">
        <v>102</v>
      </c>
      <c r="D441" s="33" t="str">
        <f>VLOOKUP(B441,'✈ Flights (2)'!$A$2:$P$502,3,FALSE)</f>
        <v>Southwest</v>
      </c>
      <c r="E441" s="38">
        <v>139272</v>
      </c>
      <c r="F441" s="33">
        <f t="shared" si="6"/>
        <v>74.676675603217205</v>
      </c>
      <c r="G441" s="38">
        <v>6222.34</v>
      </c>
      <c r="H441" s="38">
        <v>3632.43</v>
      </c>
      <c r="I441" s="38">
        <v>27804.28</v>
      </c>
      <c r="J441" s="38">
        <v>114057.63</v>
      </c>
      <c r="K441" s="38" t="s">
        <v>1509</v>
      </c>
      <c r="L441" s="40">
        <f>VLOOKUP(B441,'✈ Flights (2)'!$A$2:$R$501,13,FALSE)</f>
        <v>663.2</v>
      </c>
      <c r="M441">
        <f>VLOOKUP(B441,'✈ Flights (2)'!$A$2:$R$501,16,FALSE)</f>
        <v>210</v>
      </c>
      <c r="N441" t="str">
        <f>VLOOKUP(B441,'✈ Flights (2)'!$A$2:$R$501,14,FALSE)</f>
        <v>First Class</v>
      </c>
      <c r="O441">
        <f>VLOOKUP(B441,'✈ Flights (2)'!$A$2:$P$502,12,FALSE)</f>
        <v>1865</v>
      </c>
    </row>
    <row r="442" spans="1:15">
      <c r="A442" s="33" t="s">
        <v>1945</v>
      </c>
      <c r="B442" s="33" t="s">
        <v>1323</v>
      </c>
      <c r="C442" s="33" t="s">
        <v>130</v>
      </c>
      <c r="D442" s="33" t="str">
        <f>VLOOKUP(B442,'✈ Flights (2)'!$A$2:$P$502,3,FALSE)</f>
        <v>American</v>
      </c>
      <c r="E442" s="33">
        <v>28219.919999999998</v>
      </c>
      <c r="F442" s="33">
        <f t="shared" si="6"/>
        <v>11.198380952380999</v>
      </c>
      <c r="G442" s="33">
        <v>3844.87</v>
      </c>
      <c r="H442" s="33">
        <v>8505.6200000000008</v>
      </c>
      <c r="I442" s="33">
        <v>34619.72</v>
      </c>
      <c r="J442" s="33">
        <v>-11060.55</v>
      </c>
      <c r="K442" s="33" t="s">
        <v>1502</v>
      </c>
      <c r="L442" s="40">
        <f>VLOOKUP(B442,'✈ Flights (2)'!$A$2:$R$501,13,FALSE)</f>
        <v>227.58</v>
      </c>
      <c r="M442">
        <f>VLOOKUP(B442,'✈ Flights (2)'!$A$2:$R$501,16,FALSE)</f>
        <v>124</v>
      </c>
      <c r="N442" t="str">
        <f>VLOOKUP(B442,'✈ Flights (2)'!$A$2:$R$501,14,FALSE)</f>
        <v>First Class</v>
      </c>
      <c r="O442">
        <f>VLOOKUP(B442,'✈ Flights (2)'!$A$2:$P$502,12,FALSE)</f>
        <v>2520</v>
      </c>
    </row>
    <row r="443" spans="1:15">
      <c r="A443" s="38" t="s">
        <v>1946</v>
      </c>
      <c r="B443" s="38" t="s">
        <v>1326</v>
      </c>
      <c r="C443" s="38" t="s">
        <v>96</v>
      </c>
      <c r="D443" s="33" t="str">
        <f>VLOOKUP(B443,'✈ Flights (2)'!$A$2:$P$502,3,FALSE)</f>
        <v>American</v>
      </c>
      <c r="E443" s="38">
        <v>75374.33</v>
      </c>
      <c r="F443" s="33">
        <f t="shared" si="6"/>
        <v>25.2341245396719</v>
      </c>
      <c r="G443" s="38">
        <v>3299.79</v>
      </c>
      <c r="H443" s="38">
        <v>12166.31</v>
      </c>
      <c r="I443" s="38">
        <v>39485.81</v>
      </c>
      <c r="J443" s="38">
        <v>27022</v>
      </c>
      <c r="K443" s="38" t="s">
        <v>1509</v>
      </c>
      <c r="L443" s="40">
        <f>VLOOKUP(B443,'✈ Flights (2)'!$A$2:$R$501,13,FALSE)</f>
        <v>1124.99</v>
      </c>
      <c r="M443">
        <f>VLOOKUP(B443,'✈ Flights (2)'!$A$2:$R$501,16,FALSE)</f>
        <v>67</v>
      </c>
      <c r="N443" t="str">
        <f>VLOOKUP(B443,'✈ Flights (2)'!$A$2:$R$501,14,FALSE)</f>
        <v>Economy</v>
      </c>
      <c r="O443">
        <f>VLOOKUP(B443,'✈ Flights (2)'!$A$2:$P$502,12,FALSE)</f>
        <v>2987</v>
      </c>
    </row>
    <row r="444" spans="1:15">
      <c r="A444" s="33" t="s">
        <v>1947</v>
      </c>
      <c r="B444" s="33" t="s">
        <v>1329</v>
      </c>
      <c r="C444" s="33" t="s">
        <v>157</v>
      </c>
      <c r="D444" s="33" t="str">
        <f>VLOOKUP(B444,'✈ Flights (2)'!$A$2:$P$502,3,FALSE)</f>
        <v>American</v>
      </c>
      <c r="E444" s="33">
        <v>246343.02</v>
      </c>
      <c r="F444" s="33">
        <f t="shared" si="6"/>
        <v>123.480210526316</v>
      </c>
      <c r="G444" s="33">
        <v>0</v>
      </c>
      <c r="H444" s="33">
        <v>9216.98</v>
      </c>
      <c r="I444" s="33">
        <v>38647.32</v>
      </c>
      <c r="J444" s="33">
        <v>-47864.3</v>
      </c>
      <c r="K444" s="33" t="s">
        <v>1504</v>
      </c>
      <c r="L444" s="40">
        <f>VLOOKUP(B444,'✈ Flights (2)'!$A$2:$R$501,13,FALSE)</f>
        <v>1156.54</v>
      </c>
      <c r="M444">
        <f>VLOOKUP(B444,'✈ Flights (2)'!$A$2:$R$501,16,FALSE)</f>
        <v>213</v>
      </c>
      <c r="N444" t="str">
        <f>VLOOKUP(B444,'✈ Flights (2)'!$A$2:$R$501,14,FALSE)</f>
        <v>Unknown</v>
      </c>
      <c r="O444">
        <f>VLOOKUP(B444,'✈ Flights (2)'!$A$2:$P$502,12,FALSE)</f>
        <v>1995</v>
      </c>
    </row>
    <row r="445" spans="1:15">
      <c r="A445" s="38" t="s">
        <v>1948</v>
      </c>
      <c r="B445" s="38" t="s">
        <v>1332</v>
      </c>
      <c r="C445" s="38" t="s">
        <v>184</v>
      </c>
      <c r="D445" s="33" t="str">
        <f>VLOOKUP(B445,'✈ Flights (2)'!$A$2:$P$502,3,FALSE)</f>
        <v>American</v>
      </c>
      <c r="E445" s="38">
        <v>158821.88</v>
      </c>
      <c r="F445" s="33">
        <f t="shared" si="6"/>
        <v>56.600812544547402</v>
      </c>
      <c r="G445" s="38">
        <v>507.51</v>
      </c>
      <c r="H445" s="38">
        <v>12781.83</v>
      </c>
      <c r="I445" s="38">
        <v>21262.82</v>
      </c>
      <c r="J445" s="38">
        <v>125284.74</v>
      </c>
      <c r="K445" s="38" t="s">
        <v>1511</v>
      </c>
      <c r="L445" s="40">
        <f>VLOOKUP(B445,'✈ Flights (2)'!$A$2:$R$501,13,FALSE)</f>
        <v>770.98</v>
      </c>
      <c r="M445">
        <f>VLOOKUP(B445,'✈ Flights (2)'!$A$2:$R$501,16,FALSE)</f>
        <v>206</v>
      </c>
      <c r="N445" t="str">
        <f>VLOOKUP(B445,'✈ Flights (2)'!$A$2:$R$501,14,FALSE)</f>
        <v>First Class</v>
      </c>
      <c r="O445">
        <f>VLOOKUP(B445,'✈ Flights (2)'!$A$2:$P$502,12,FALSE)</f>
        <v>2806</v>
      </c>
    </row>
    <row r="446" spans="1:15">
      <c r="A446" s="33" t="s">
        <v>1949</v>
      </c>
      <c r="B446" s="33" t="s">
        <v>1334</v>
      </c>
      <c r="C446" s="33" t="s">
        <v>175</v>
      </c>
      <c r="D446" s="33" t="str">
        <f>VLOOKUP(B446,'✈ Flights (2)'!$A$2:$P$502,3,FALSE)</f>
        <v>Southwest</v>
      </c>
      <c r="E446" s="33">
        <v>221976.72</v>
      </c>
      <c r="F446" s="33">
        <f t="shared" si="6"/>
        <v>94.177649554518496</v>
      </c>
      <c r="G446" s="33">
        <v>5397.94</v>
      </c>
      <c r="H446" s="33">
        <v>2782.28</v>
      </c>
      <c r="I446" s="33">
        <v>10858.36</v>
      </c>
      <c r="J446" s="33">
        <v>213734.02</v>
      </c>
      <c r="K446" s="33" t="s">
        <v>1509</v>
      </c>
      <c r="L446" s="40">
        <f>VLOOKUP(B446,'✈ Flights (2)'!$A$2:$R$501,13,FALSE)</f>
        <v>1027.67</v>
      </c>
      <c r="M446">
        <f>VLOOKUP(B446,'✈ Flights (2)'!$A$2:$R$501,16,FALSE)</f>
        <v>216</v>
      </c>
      <c r="N446" t="str">
        <f>VLOOKUP(B446,'✈ Flights (2)'!$A$2:$R$501,14,FALSE)</f>
        <v>Business</v>
      </c>
      <c r="O446">
        <f>VLOOKUP(B446,'✈ Flights (2)'!$A$2:$P$502,12,FALSE)</f>
        <v>2357</v>
      </c>
    </row>
    <row r="447" spans="1:15">
      <c r="A447" s="38" t="s">
        <v>1950</v>
      </c>
      <c r="B447" s="38" t="s">
        <v>1337</v>
      </c>
      <c r="C447" s="38" t="s">
        <v>80</v>
      </c>
      <c r="D447" s="33" t="str">
        <f>VLOOKUP(B447,'✈ Flights (2)'!$A$2:$P$502,3,FALSE)</f>
        <v>Frontier</v>
      </c>
      <c r="E447" s="38">
        <v>101072.56</v>
      </c>
      <c r="F447" s="33">
        <f t="shared" si="6"/>
        <v>233.96425925925899</v>
      </c>
      <c r="G447" s="38">
        <v>0</v>
      </c>
      <c r="H447" s="38">
        <v>5261.56</v>
      </c>
      <c r="I447" s="38">
        <v>14565.6</v>
      </c>
      <c r="J447" s="38">
        <v>-19827.16</v>
      </c>
      <c r="K447" s="38" t="s">
        <v>1509</v>
      </c>
      <c r="L447" s="40">
        <f>VLOOKUP(B447,'✈ Flights (2)'!$A$2:$R$501,13,FALSE)</f>
        <v>537.62</v>
      </c>
      <c r="M447">
        <f>VLOOKUP(B447,'✈ Flights (2)'!$A$2:$R$501,16,FALSE)</f>
        <v>188</v>
      </c>
      <c r="N447" t="str">
        <f>VLOOKUP(B447,'✈ Flights (2)'!$A$2:$R$501,14,FALSE)</f>
        <v>Economy</v>
      </c>
      <c r="O447">
        <f>VLOOKUP(B447,'✈ Flights (2)'!$A$2:$P$502,12,FALSE)</f>
        <v>432</v>
      </c>
    </row>
    <row r="448" spans="1:15">
      <c r="A448" s="33" t="s">
        <v>1951</v>
      </c>
      <c r="B448" s="33" t="s">
        <v>1338</v>
      </c>
      <c r="C448" s="33" t="s">
        <v>184</v>
      </c>
      <c r="D448" s="33" t="str">
        <f>VLOOKUP(B448,'✈ Flights (2)'!$A$2:$P$502,3,FALSE)</f>
        <v>Southwest</v>
      </c>
      <c r="E448" s="33">
        <v>149672.16</v>
      </c>
      <c r="F448" s="33">
        <f t="shared" si="6"/>
        <v>64.905533391153497</v>
      </c>
      <c r="G448" s="33">
        <v>7994.31</v>
      </c>
      <c r="H448" s="33">
        <v>4765.8</v>
      </c>
      <c r="I448" s="33">
        <v>34485.35</v>
      </c>
      <c r="J448" s="33">
        <v>118415.32</v>
      </c>
      <c r="K448" s="33" t="s">
        <v>1511</v>
      </c>
      <c r="L448" s="40">
        <f>VLOOKUP(B448,'✈ Flights (2)'!$A$2:$R$501,13,FALSE)</f>
        <v>850.41</v>
      </c>
      <c r="M448">
        <f>VLOOKUP(B448,'✈ Flights (2)'!$A$2:$R$501,16,FALSE)</f>
        <v>176</v>
      </c>
      <c r="N448" t="str">
        <f>VLOOKUP(B448,'✈ Flights (2)'!$A$2:$R$501,14,FALSE)</f>
        <v>Business</v>
      </c>
      <c r="O448">
        <f>VLOOKUP(B448,'✈ Flights (2)'!$A$2:$P$502,12,FALSE)</f>
        <v>2306</v>
      </c>
    </row>
    <row r="449" spans="1:15">
      <c r="A449" s="38" t="s">
        <v>1952</v>
      </c>
      <c r="B449" s="38" t="s">
        <v>1340</v>
      </c>
      <c r="C449" s="38" t="s">
        <v>157</v>
      </c>
      <c r="D449" s="33" t="str">
        <f>VLOOKUP(B449,'✈ Flights (2)'!$A$2:$P$502,3,FALSE)</f>
        <v>Spirit</v>
      </c>
      <c r="E449" s="38">
        <v>102515</v>
      </c>
      <c r="F449" s="33">
        <f t="shared" si="6"/>
        <v>137.23560910307901</v>
      </c>
      <c r="G449" s="38">
        <v>841.14</v>
      </c>
      <c r="H449" s="38">
        <v>9320.06</v>
      </c>
      <c r="I449" s="38">
        <v>30871.4</v>
      </c>
      <c r="J449" s="38">
        <v>63164.68</v>
      </c>
      <c r="K449" s="38" t="s">
        <v>1511</v>
      </c>
      <c r="L449" s="40">
        <f>VLOOKUP(B449,'✈ Flights (2)'!$A$2:$R$501,13,FALSE)</f>
        <v>585.79999999999995</v>
      </c>
      <c r="M449">
        <f>VLOOKUP(B449,'✈ Flights (2)'!$A$2:$R$501,16,FALSE)</f>
        <v>175</v>
      </c>
      <c r="N449" t="str">
        <f>VLOOKUP(B449,'✈ Flights (2)'!$A$2:$R$501,14,FALSE)</f>
        <v>Economy</v>
      </c>
      <c r="O449">
        <f>VLOOKUP(B449,'✈ Flights (2)'!$A$2:$P$502,12,FALSE)</f>
        <v>747</v>
      </c>
    </row>
    <row r="450" spans="1:15">
      <c r="A450" s="33" t="s">
        <v>1953</v>
      </c>
      <c r="B450" s="33" t="s">
        <v>1342</v>
      </c>
      <c r="C450" s="33" t="s">
        <v>33</v>
      </c>
      <c r="D450" s="33" t="str">
        <f>VLOOKUP(B450,'✈ Flights (2)'!$A$2:$P$502,3,FALSE)</f>
        <v>Delta</v>
      </c>
      <c r="E450" s="33">
        <v>149370.29999999999</v>
      </c>
      <c r="F450" s="33">
        <f t="shared" si="6"/>
        <v>100.114142091153</v>
      </c>
      <c r="G450" s="33">
        <v>1172.8599999999999</v>
      </c>
      <c r="H450" s="33">
        <v>12796.48</v>
      </c>
      <c r="I450" s="33">
        <v>29445.03</v>
      </c>
      <c r="J450" s="33">
        <v>108301.65</v>
      </c>
      <c r="K450" s="33" t="s">
        <v>1511</v>
      </c>
      <c r="L450" s="40">
        <f>VLOOKUP(B450,'✈ Flights (2)'!$A$2:$R$501,13,FALSE)</f>
        <v>572.29999999999995</v>
      </c>
      <c r="M450">
        <f>VLOOKUP(B450,'✈ Flights (2)'!$A$2:$R$501,16,FALSE)</f>
        <v>261</v>
      </c>
      <c r="N450" t="str">
        <f>VLOOKUP(B450,'✈ Flights (2)'!$A$2:$R$501,14,FALSE)</f>
        <v>Business</v>
      </c>
      <c r="O450">
        <f>VLOOKUP(B450,'✈ Flights (2)'!$A$2:$P$502,12,FALSE)</f>
        <v>1492</v>
      </c>
    </row>
    <row r="451" spans="1:15">
      <c r="A451" s="38" t="s">
        <v>1954</v>
      </c>
      <c r="B451" s="38" t="s">
        <v>1345</v>
      </c>
      <c r="C451" s="38" t="s">
        <v>96</v>
      </c>
      <c r="D451" s="33" t="str">
        <f>VLOOKUP(B451,'✈ Flights (2)'!$A$2:$P$502,3,FALSE)</f>
        <v>Spirit</v>
      </c>
      <c r="E451" s="38">
        <v>45700.2</v>
      </c>
      <c r="F451" s="33">
        <f t="shared" ref="F451:F501" si="7">E451/O451</f>
        <v>15.512627291242399</v>
      </c>
      <c r="G451" s="38">
        <v>7087.09</v>
      </c>
      <c r="H451" s="38">
        <v>8562.66</v>
      </c>
      <c r="I451" s="38">
        <v>12379.76</v>
      </c>
      <c r="J451" s="38">
        <v>31844.87</v>
      </c>
      <c r="K451" s="38" t="s">
        <v>1511</v>
      </c>
      <c r="L451" s="40">
        <f>VLOOKUP(B451,'✈ Flights (2)'!$A$2:$R$501,13,FALSE)</f>
        <v>585.9</v>
      </c>
      <c r="M451">
        <f>VLOOKUP(B451,'✈ Flights (2)'!$A$2:$R$501,16,FALSE)</f>
        <v>78</v>
      </c>
      <c r="N451" t="str">
        <f>VLOOKUP(B451,'✈ Flights (2)'!$A$2:$R$501,14,FALSE)</f>
        <v>First Class</v>
      </c>
      <c r="O451">
        <f>VLOOKUP(B451,'✈ Flights (2)'!$A$2:$P$502,12,FALSE)</f>
        <v>2946</v>
      </c>
    </row>
    <row r="452" spans="1:15">
      <c r="A452" s="33" t="s">
        <v>1955</v>
      </c>
      <c r="B452" s="33" t="s">
        <v>1347</v>
      </c>
      <c r="C452" s="33" t="s">
        <v>130</v>
      </c>
      <c r="D452" s="33" t="str">
        <f>VLOOKUP(B452,'✈ Flights (2)'!$A$2:$P$502,3,FALSE)</f>
        <v>Spirit</v>
      </c>
      <c r="E452" s="33">
        <v>89840.07</v>
      </c>
      <c r="F452" s="33">
        <f t="shared" si="7"/>
        <v>41.631172381835</v>
      </c>
      <c r="G452" s="33">
        <v>7129.49</v>
      </c>
      <c r="H452" s="33">
        <v>10257.209999999999</v>
      </c>
      <c r="I452" s="33">
        <v>38089.300000000003</v>
      </c>
      <c r="J452" s="33">
        <v>72178.929999999993</v>
      </c>
      <c r="K452" s="33" t="s">
        <v>1509</v>
      </c>
      <c r="L452" s="40">
        <f>VLOOKUP(B452,'✈ Flights (2)'!$A$2:$R$501,13,FALSE)</f>
        <v>587.19000000000005</v>
      </c>
      <c r="M452">
        <f>VLOOKUP(B452,'✈ Flights (2)'!$A$2:$R$501,16,FALSE)</f>
        <v>153</v>
      </c>
      <c r="N452" t="str">
        <f>VLOOKUP(B452,'✈ Flights (2)'!$A$2:$R$501,14,FALSE)</f>
        <v>First Class</v>
      </c>
      <c r="O452">
        <f>VLOOKUP(B452,'✈ Flights (2)'!$A$2:$P$502,12,FALSE)</f>
        <v>2158</v>
      </c>
    </row>
    <row r="453" spans="1:15">
      <c r="A453" s="38" t="s">
        <v>1956</v>
      </c>
      <c r="B453" s="38" t="s">
        <v>1350</v>
      </c>
      <c r="C453" s="38" t="s">
        <v>39</v>
      </c>
      <c r="D453" s="33" t="str">
        <f>VLOOKUP(B453,'✈ Flights (2)'!$A$2:$P$502,3,FALSE)</f>
        <v>Alaska</v>
      </c>
      <c r="E453" s="38">
        <v>182526.96</v>
      </c>
      <c r="F453" s="33">
        <f t="shared" si="7"/>
        <v>85.292971962616804</v>
      </c>
      <c r="G453" s="38">
        <v>2547.6</v>
      </c>
      <c r="H453" s="38">
        <v>6181.3</v>
      </c>
      <c r="I453" s="38">
        <v>28179.7</v>
      </c>
      <c r="J453" s="38">
        <v>150713.56</v>
      </c>
      <c r="K453" s="38" t="s">
        <v>1502</v>
      </c>
      <c r="L453" s="40">
        <f>VLOOKUP(B453,'✈ Flights (2)'!$A$2:$R$501,13,FALSE)</f>
        <v>790.16</v>
      </c>
      <c r="M453">
        <f>VLOOKUP(B453,'✈ Flights (2)'!$A$2:$R$501,16,FALSE)</f>
        <v>231</v>
      </c>
      <c r="N453" t="str">
        <f>VLOOKUP(B453,'✈ Flights (2)'!$A$2:$R$501,14,FALSE)</f>
        <v>Economy</v>
      </c>
      <c r="O453">
        <f>VLOOKUP(B453,'✈ Flights (2)'!$A$2:$P$502,12,FALSE)</f>
        <v>2140</v>
      </c>
    </row>
    <row r="454" spans="1:15">
      <c r="A454" s="33" t="s">
        <v>1957</v>
      </c>
      <c r="B454" s="33" t="s">
        <v>1352</v>
      </c>
      <c r="C454" s="33" t="s">
        <v>67</v>
      </c>
      <c r="D454" s="33" t="str">
        <f>VLOOKUP(B454,'✈ Flights (2)'!$A$2:$P$502,3,FALSE)</f>
        <v>American</v>
      </c>
      <c r="E454" s="33">
        <v>89882.1</v>
      </c>
      <c r="F454" s="33">
        <f t="shared" si="7"/>
        <v>53.7572368421053</v>
      </c>
      <c r="G454" s="33">
        <v>3948.5</v>
      </c>
      <c r="H454" s="33">
        <v>2206.37</v>
      </c>
      <c r="I454" s="33">
        <v>25982.98</v>
      </c>
      <c r="J454" s="33">
        <v>65641.25</v>
      </c>
      <c r="K454" s="33" t="s">
        <v>1502</v>
      </c>
      <c r="L454" s="40">
        <f>VLOOKUP(B454,'✈ Flights (2)'!$A$2:$R$501,13,FALSE)</f>
        <v>713.35</v>
      </c>
      <c r="M454">
        <f>VLOOKUP(B454,'✈ Flights (2)'!$A$2:$R$501,16,FALSE)</f>
        <v>126</v>
      </c>
      <c r="N454" t="str">
        <f>VLOOKUP(B454,'✈ Flights (2)'!$A$2:$R$501,14,FALSE)</f>
        <v>First Class</v>
      </c>
      <c r="O454">
        <f>VLOOKUP(B454,'✈ Flights (2)'!$A$2:$P$502,12,FALSE)</f>
        <v>1672</v>
      </c>
    </row>
    <row r="455" spans="1:15">
      <c r="A455" s="38" t="s">
        <v>1958</v>
      </c>
      <c r="B455" s="38" t="s">
        <v>1354</v>
      </c>
      <c r="C455" s="38" t="s">
        <v>57</v>
      </c>
      <c r="D455" s="33" t="str">
        <f>VLOOKUP(B455,'✈ Flights (2)'!$A$2:$P$502,3,FALSE)</f>
        <v>American</v>
      </c>
      <c r="E455" s="38">
        <v>26626.38</v>
      </c>
      <c r="F455" s="33">
        <f t="shared" si="7"/>
        <v>12.5182792665726</v>
      </c>
      <c r="G455" s="38">
        <v>0</v>
      </c>
      <c r="H455" s="38">
        <v>2026.62</v>
      </c>
      <c r="I455" s="38">
        <v>27625.52</v>
      </c>
      <c r="J455" s="38">
        <v>-29652.14</v>
      </c>
      <c r="K455" s="38" t="s">
        <v>1509</v>
      </c>
      <c r="L455" s="40">
        <f>VLOOKUP(B455,'✈ Flights (2)'!$A$2:$R$501,13,FALSE)</f>
        <v>403.43</v>
      </c>
      <c r="M455">
        <f>VLOOKUP(B455,'✈ Flights (2)'!$A$2:$R$501,16,FALSE)</f>
        <v>66</v>
      </c>
      <c r="N455" t="str">
        <f>VLOOKUP(B455,'✈ Flights (2)'!$A$2:$R$501,14,FALSE)</f>
        <v>Economy</v>
      </c>
      <c r="O455">
        <f>VLOOKUP(B455,'✈ Flights (2)'!$A$2:$P$502,12,FALSE)</f>
        <v>2127</v>
      </c>
    </row>
    <row r="456" spans="1:15">
      <c r="A456" s="33" t="s">
        <v>1959</v>
      </c>
      <c r="B456" s="33" t="s">
        <v>1355</v>
      </c>
      <c r="C456" s="33" t="s">
        <v>175</v>
      </c>
      <c r="D456" s="33" t="str">
        <f>VLOOKUP(B456,'✈ Flights (2)'!$A$2:$P$502,3,FALSE)</f>
        <v>Jetblue</v>
      </c>
      <c r="E456" s="33">
        <v>58592.38</v>
      </c>
      <c r="F456" s="33">
        <f t="shared" si="7"/>
        <v>181.40055727554201</v>
      </c>
      <c r="G456" s="33">
        <v>532.09</v>
      </c>
      <c r="H456" s="33">
        <v>4255.97</v>
      </c>
      <c r="I456" s="33">
        <v>5335.25</v>
      </c>
      <c r="J456" s="33">
        <v>49533.25</v>
      </c>
      <c r="K456" s="33" t="s">
        <v>1509</v>
      </c>
      <c r="L456" s="40">
        <f>VLOOKUP(B456,'✈ Flights (2)'!$A$2:$R$501,13,FALSE)</f>
        <v>760.94</v>
      </c>
      <c r="M456">
        <f>VLOOKUP(B456,'✈ Flights (2)'!$A$2:$R$501,16,FALSE)</f>
        <v>77</v>
      </c>
      <c r="N456" t="str">
        <f>VLOOKUP(B456,'✈ Flights (2)'!$A$2:$R$501,14,FALSE)</f>
        <v>Business</v>
      </c>
      <c r="O456">
        <f>VLOOKUP(B456,'✈ Flights (2)'!$A$2:$P$502,12,FALSE)</f>
        <v>323</v>
      </c>
    </row>
    <row r="457" spans="1:15">
      <c r="A457" s="38" t="s">
        <v>1960</v>
      </c>
      <c r="B457" s="38" t="s">
        <v>1357</v>
      </c>
      <c r="C457" s="38" t="s">
        <v>130</v>
      </c>
      <c r="D457" s="33" t="str">
        <f>VLOOKUP(B457,'✈ Flights (2)'!$A$2:$P$502,3,FALSE)</f>
        <v>Frontier</v>
      </c>
      <c r="E457" s="38">
        <v>52068.17</v>
      </c>
      <c r="F457" s="33">
        <f t="shared" si="7"/>
        <v>20.491212121212101</v>
      </c>
      <c r="G457" s="38">
        <v>6218.49</v>
      </c>
      <c r="H457" s="38">
        <v>12234.97</v>
      </c>
      <c r="I457" s="38">
        <v>22778.588495934899</v>
      </c>
      <c r="J457" s="38">
        <v>10472.39</v>
      </c>
      <c r="K457" s="38" t="s">
        <v>1504</v>
      </c>
      <c r="L457" s="40">
        <f>VLOOKUP(B457,'✈ Flights (2)'!$A$2:$R$501,13,FALSE)</f>
        <v>391.49</v>
      </c>
      <c r="M457">
        <f>VLOOKUP(B457,'✈ Flights (2)'!$A$2:$R$501,16,FALSE)</f>
        <v>133</v>
      </c>
      <c r="N457" t="str">
        <f>VLOOKUP(B457,'✈ Flights (2)'!$A$2:$R$501,14,FALSE)</f>
        <v>First Class</v>
      </c>
      <c r="O457">
        <f>VLOOKUP(B457,'✈ Flights (2)'!$A$2:$P$502,12,FALSE)</f>
        <v>2541</v>
      </c>
    </row>
    <row r="458" spans="1:15">
      <c r="A458" s="33" t="s">
        <v>1961</v>
      </c>
      <c r="B458" s="33" t="s">
        <v>1358</v>
      </c>
      <c r="C458" s="33" t="s">
        <v>65</v>
      </c>
      <c r="D458" s="33" t="str">
        <f>VLOOKUP(B458,'✈ Flights (2)'!$A$2:$P$502,3,FALSE)</f>
        <v>Delta</v>
      </c>
      <c r="E458" s="33">
        <v>73337.759999999995</v>
      </c>
      <c r="F458" s="33">
        <f t="shared" si="7"/>
        <v>27.498222722159699</v>
      </c>
      <c r="G458" s="33">
        <v>4539.87</v>
      </c>
      <c r="H458" s="33">
        <v>12608.74</v>
      </c>
      <c r="I458" s="33">
        <v>36240.03</v>
      </c>
      <c r="J458" s="33">
        <v>29028.86</v>
      </c>
      <c r="K458" s="33" t="s">
        <v>1509</v>
      </c>
      <c r="L458" s="40">
        <f>VLOOKUP(B458,'✈ Flights (2)'!$A$2:$R$501,13,FALSE)</f>
        <v>1018.58</v>
      </c>
      <c r="M458">
        <f>VLOOKUP(B458,'✈ Flights (2)'!$A$2:$R$501,16,FALSE)</f>
        <v>72</v>
      </c>
      <c r="N458" t="str">
        <f>VLOOKUP(B458,'✈ Flights (2)'!$A$2:$R$501,14,FALSE)</f>
        <v>Business</v>
      </c>
      <c r="O458">
        <f>VLOOKUP(B458,'✈ Flights (2)'!$A$2:$P$502,12,FALSE)</f>
        <v>2667</v>
      </c>
    </row>
    <row r="459" spans="1:15">
      <c r="A459" s="38" t="s">
        <v>1962</v>
      </c>
      <c r="B459" s="38" t="s">
        <v>1359</v>
      </c>
      <c r="C459" s="38" t="s">
        <v>39</v>
      </c>
      <c r="D459" s="33" t="str">
        <f>VLOOKUP(B459,'✈ Flights (2)'!$A$2:$P$502,3,FALSE)</f>
        <v>American</v>
      </c>
      <c r="E459" s="38">
        <v>42540.08</v>
      </c>
      <c r="F459" s="33">
        <f t="shared" si="7"/>
        <v>15.926649195057999</v>
      </c>
      <c r="G459" s="38">
        <v>5541.84</v>
      </c>
      <c r="H459" s="38">
        <v>12566.16</v>
      </c>
      <c r="I459" s="38">
        <v>17354.82</v>
      </c>
      <c r="J459" s="38">
        <v>18160.939999999999</v>
      </c>
      <c r="K459" s="38" t="s">
        <v>1511</v>
      </c>
      <c r="L459" s="40">
        <f>VLOOKUP(B459,'✈ Flights (2)'!$A$2:$R$501,13,FALSE)</f>
        <v>483.41</v>
      </c>
      <c r="M459">
        <f>VLOOKUP(B459,'✈ Flights (2)'!$A$2:$R$501,16,FALSE)</f>
        <v>88</v>
      </c>
      <c r="N459" t="str">
        <f>VLOOKUP(B459,'✈ Flights (2)'!$A$2:$R$501,14,FALSE)</f>
        <v>Economy</v>
      </c>
      <c r="O459">
        <f>VLOOKUP(B459,'✈ Flights (2)'!$A$2:$P$502,12,FALSE)</f>
        <v>2671</v>
      </c>
    </row>
    <row r="460" spans="1:15">
      <c r="A460" s="33" t="s">
        <v>1963</v>
      </c>
      <c r="B460" s="33" t="s">
        <v>1361</v>
      </c>
      <c r="C460" s="33" t="s">
        <v>130</v>
      </c>
      <c r="D460" s="33" t="str">
        <f>VLOOKUP(B460,'✈ Flights (2)'!$A$2:$P$502,3,FALSE)</f>
        <v>United</v>
      </c>
      <c r="E460" s="33">
        <v>39867.279999999999</v>
      </c>
      <c r="F460" s="33">
        <f t="shared" si="7"/>
        <v>46.847567567567602</v>
      </c>
      <c r="G460" s="33">
        <v>3400.63</v>
      </c>
      <c r="H460" s="33">
        <v>12554.31</v>
      </c>
      <c r="I460" s="33">
        <v>34370.1</v>
      </c>
      <c r="J460" s="33">
        <v>-3656.5</v>
      </c>
      <c r="K460" s="33" t="s">
        <v>1504</v>
      </c>
      <c r="L460" s="40">
        <f>VLOOKUP(B460,'✈ Flights (2)'!$A$2:$R$501,13,FALSE)</f>
        <v>216.67</v>
      </c>
      <c r="M460">
        <f>VLOOKUP(B460,'✈ Flights (2)'!$A$2:$R$501,16,FALSE)</f>
        <v>184</v>
      </c>
      <c r="N460" t="str">
        <f>VLOOKUP(B460,'✈ Flights (2)'!$A$2:$R$501,14,FALSE)</f>
        <v>Business</v>
      </c>
      <c r="O460">
        <f>VLOOKUP(B460,'✈ Flights (2)'!$A$2:$P$502,12,FALSE)</f>
        <v>851</v>
      </c>
    </row>
    <row r="461" spans="1:15">
      <c r="A461" s="38" t="s">
        <v>1964</v>
      </c>
      <c r="B461" s="38" t="s">
        <v>1363</v>
      </c>
      <c r="C461" s="38" t="s">
        <v>49</v>
      </c>
      <c r="D461" s="33" t="str">
        <f>VLOOKUP(B461,'✈ Flights (2)'!$A$2:$P$502,3,FALSE)</f>
        <v>Southwest</v>
      </c>
      <c r="E461" s="38">
        <v>149752.68</v>
      </c>
      <c r="F461" s="33">
        <f t="shared" si="7"/>
        <v>53.926064097947403</v>
      </c>
      <c r="G461" s="38">
        <v>1435.73</v>
      </c>
      <c r="H461" s="38">
        <v>4508.88</v>
      </c>
      <c r="I461" s="38">
        <v>17966.82</v>
      </c>
      <c r="J461" s="38">
        <v>96059.87</v>
      </c>
      <c r="K461" s="38" t="s">
        <v>1504</v>
      </c>
      <c r="L461" s="40">
        <f>VLOOKUP(B461,'✈ Flights (2)'!$A$2:$R$501,13,FALSE)</f>
        <v>1125.96</v>
      </c>
      <c r="M461">
        <f>VLOOKUP(B461,'✈ Flights (2)'!$A$2:$R$501,16,FALSE)</f>
        <v>133</v>
      </c>
      <c r="N461" t="str">
        <f>VLOOKUP(B461,'✈ Flights (2)'!$A$2:$R$501,14,FALSE)</f>
        <v>First Class</v>
      </c>
      <c r="O461">
        <f>VLOOKUP(B461,'✈ Flights (2)'!$A$2:$P$502,12,FALSE)</f>
        <v>2777</v>
      </c>
    </row>
    <row r="462" spans="1:15">
      <c r="A462" s="33" t="s">
        <v>1965</v>
      </c>
      <c r="B462" s="33" t="s">
        <v>1366</v>
      </c>
      <c r="C462" s="33" t="s">
        <v>117</v>
      </c>
      <c r="D462" s="33" t="str">
        <f>VLOOKUP(B462,'✈ Flights (2)'!$A$2:$P$502,3,FALSE)</f>
        <v>Jetblue</v>
      </c>
      <c r="E462" s="33">
        <v>149841.65</v>
      </c>
      <c r="F462" s="33">
        <f t="shared" si="7"/>
        <v>53.2108132102273</v>
      </c>
      <c r="G462" s="33">
        <v>2161.41</v>
      </c>
      <c r="H462" s="33">
        <v>5654.75</v>
      </c>
      <c r="I462" s="33">
        <v>5692.36</v>
      </c>
      <c r="J462" s="33">
        <v>140655.95000000001</v>
      </c>
      <c r="K462" s="33" t="s">
        <v>1511</v>
      </c>
      <c r="L462" s="40">
        <f>VLOOKUP(B462,'✈ Flights (2)'!$A$2:$R$501,13,FALSE)</f>
        <v>710.15</v>
      </c>
      <c r="M462">
        <f>VLOOKUP(B462,'✈ Flights (2)'!$A$2:$R$501,16,FALSE)</f>
        <v>211</v>
      </c>
      <c r="N462" t="str">
        <f>VLOOKUP(B462,'✈ Flights (2)'!$A$2:$R$501,14,FALSE)</f>
        <v>First Class</v>
      </c>
      <c r="O462">
        <f>VLOOKUP(B462,'✈ Flights (2)'!$A$2:$P$502,12,FALSE)</f>
        <v>2816</v>
      </c>
    </row>
    <row r="463" spans="1:15">
      <c r="A463" s="38" t="s">
        <v>1966</v>
      </c>
      <c r="B463" s="38" t="s">
        <v>1369</v>
      </c>
      <c r="C463" s="38" t="s">
        <v>96</v>
      </c>
      <c r="D463" s="33" t="str">
        <f>VLOOKUP(B463,'✈ Flights (2)'!$A$2:$P$502,3,FALSE)</f>
        <v>Southwest</v>
      </c>
      <c r="E463" s="38">
        <v>208398.84</v>
      </c>
      <c r="F463" s="33">
        <f t="shared" si="7"/>
        <v>94.554827586206898</v>
      </c>
      <c r="G463" s="38">
        <v>1936.34</v>
      </c>
      <c r="H463" s="38">
        <v>10128.08</v>
      </c>
      <c r="I463" s="38">
        <v>33569.83</v>
      </c>
      <c r="J463" s="38">
        <v>166637.26999999999</v>
      </c>
      <c r="K463" s="38" t="s">
        <v>1502</v>
      </c>
      <c r="L463" s="40">
        <f>VLOOKUP(B463,'✈ Flights (2)'!$A$2:$R$501,13,FALSE)</f>
        <v>780.52</v>
      </c>
      <c r="M463">
        <f>VLOOKUP(B463,'✈ Flights (2)'!$A$2:$R$501,16,FALSE)</f>
        <v>267</v>
      </c>
      <c r="N463" t="str">
        <f>VLOOKUP(B463,'✈ Flights (2)'!$A$2:$R$501,14,FALSE)</f>
        <v>Economy</v>
      </c>
      <c r="O463">
        <f>VLOOKUP(B463,'✈ Flights (2)'!$A$2:$P$502,12,FALSE)</f>
        <v>2204</v>
      </c>
    </row>
    <row r="464" spans="1:15">
      <c r="A464" s="33" t="s">
        <v>1967</v>
      </c>
      <c r="B464" s="33" t="s">
        <v>1371</v>
      </c>
      <c r="C464" s="33" t="s">
        <v>57</v>
      </c>
      <c r="D464" s="33" t="str">
        <f>VLOOKUP(B464,'✈ Flights (2)'!$A$2:$P$502,3,FALSE)</f>
        <v>Spirit</v>
      </c>
      <c r="E464" s="33">
        <v>46104.83</v>
      </c>
      <c r="F464" s="33">
        <f t="shared" si="7"/>
        <v>15.7731200821074</v>
      </c>
      <c r="G464" s="33">
        <v>2256.9299999999998</v>
      </c>
      <c r="H464" s="33">
        <v>6718.99</v>
      </c>
      <c r="I464" s="33">
        <v>22283.3</v>
      </c>
      <c r="J464" s="33">
        <v>19359.47</v>
      </c>
      <c r="K464" s="33" t="s">
        <v>1511</v>
      </c>
      <c r="L464" s="40">
        <f>VLOOKUP(B464,'✈ Flights (2)'!$A$2:$R$501,13,FALSE)</f>
        <v>305.33</v>
      </c>
      <c r="M464">
        <f>VLOOKUP(B464,'✈ Flights (2)'!$A$2:$R$501,16,FALSE)</f>
        <v>151</v>
      </c>
      <c r="N464" t="str">
        <f>VLOOKUP(B464,'✈ Flights (2)'!$A$2:$R$501,14,FALSE)</f>
        <v>Business</v>
      </c>
      <c r="O464">
        <f>VLOOKUP(B464,'✈ Flights (2)'!$A$2:$P$502,12,FALSE)</f>
        <v>2923</v>
      </c>
    </row>
    <row r="465" spans="1:15">
      <c r="A465" s="38" t="s">
        <v>1968</v>
      </c>
      <c r="B465" s="38" t="s">
        <v>1374</v>
      </c>
      <c r="C465" s="38" t="s">
        <v>175</v>
      </c>
      <c r="D465" s="33" t="str">
        <f>VLOOKUP(B465,'✈ Flights (2)'!$A$2:$P$502,3,FALSE)</f>
        <v>Alaska</v>
      </c>
      <c r="E465" s="38">
        <v>57044.480000000003</v>
      </c>
      <c r="F465" s="33">
        <f t="shared" si="7"/>
        <v>29.679750260145699</v>
      </c>
      <c r="G465" s="38">
        <v>4196.28</v>
      </c>
      <c r="H465" s="38">
        <v>9878.35</v>
      </c>
      <c r="I465" s="38">
        <v>29641.67</v>
      </c>
      <c r="J465" s="38">
        <v>21720.74</v>
      </c>
      <c r="K465" s="38" t="s">
        <v>1504</v>
      </c>
      <c r="L465" s="40">
        <f>VLOOKUP(B465,'✈ Flights (2)'!$A$2:$R$501,13,FALSE)</f>
        <v>891.32</v>
      </c>
      <c r="M465">
        <f>VLOOKUP(B465,'✈ Flights (2)'!$A$2:$R$501,16,FALSE)</f>
        <v>64</v>
      </c>
      <c r="N465" t="str">
        <f>VLOOKUP(B465,'✈ Flights (2)'!$A$2:$R$501,14,FALSE)</f>
        <v>First Class</v>
      </c>
      <c r="O465">
        <f>VLOOKUP(B465,'✈ Flights (2)'!$A$2:$P$502,12,FALSE)</f>
        <v>1922</v>
      </c>
    </row>
    <row r="466" spans="1:15">
      <c r="A466" s="33" t="s">
        <v>1969</v>
      </c>
      <c r="B466" s="33" t="s">
        <v>1377</v>
      </c>
      <c r="C466" s="33" t="s">
        <v>80</v>
      </c>
      <c r="D466" s="33" t="str">
        <f>VLOOKUP(B466,'✈ Flights (2)'!$A$2:$P$502,3,FALSE)</f>
        <v>Alaska</v>
      </c>
      <c r="E466" s="33">
        <v>172923.66</v>
      </c>
      <c r="F466" s="33">
        <f t="shared" si="7"/>
        <v>184.7475</v>
      </c>
      <c r="G466" s="33">
        <v>1970.65</v>
      </c>
      <c r="H466" s="33">
        <v>7149.12</v>
      </c>
      <c r="I466" s="33">
        <v>33739.32</v>
      </c>
      <c r="J466" s="33">
        <v>134005.87</v>
      </c>
      <c r="K466" s="33" t="s">
        <v>1511</v>
      </c>
      <c r="L466" s="40">
        <f>VLOOKUP(B466,'✈ Flights (2)'!$A$2:$R$501,13,FALSE)</f>
        <v>782.46</v>
      </c>
      <c r="M466">
        <f>VLOOKUP(B466,'✈ Flights (2)'!$A$2:$R$501,16,FALSE)</f>
        <v>221</v>
      </c>
      <c r="N466" t="str">
        <f>VLOOKUP(B466,'✈ Flights (2)'!$A$2:$R$501,14,FALSE)</f>
        <v>First Class</v>
      </c>
      <c r="O466">
        <f>VLOOKUP(B466,'✈ Flights (2)'!$A$2:$P$502,12,FALSE)</f>
        <v>936</v>
      </c>
    </row>
    <row r="467" spans="1:15">
      <c r="A467" s="38" t="s">
        <v>1970</v>
      </c>
      <c r="B467" s="38" t="s">
        <v>1380</v>
      </c>
      <c r="C467" s="38" t="s">
        <v>117</v>
      </c>
      <c r="D467" s="33" t="str">
        <f>VLOOKUP(B467,'✈ Flights (2)'!$A$2:$P$502,3,FALSE)</f>
        <v>Delta</v>
      </c>
      <c r="E467" s="38">
        <v>13528.64</v>
      </c>
      <c r="F467" s="33">
        <f t="shared" si="7"/>
        <v>5.4244747393745003</v>
      </c>
      <c r="G467" s="38">
        <v>4768.2700000000004</v>
      </c>
      <c r="H467" s="38">
        <v>9173.2099999999991</v>
      </c>
      <c r="I467" s="38">
        <v>22290.400000000001</v>
      </c>
      <c r="J467" s="38">
        <v>-13166.7</v>
      </c>
      <c r="K467" s="38" t="s">
        <v>1502</v>
      </c>
      <c r="L467" s="40">
        <f>VLOOKUP(B467,'✈ Flights (2)'!$A$2:$R$501,13,FALSE)</f>
        <v>100.96</v>
      </c>
      <c r="M467">
        <f>VLOOKUP(B467,'✈ Flights (2)'!$A$2:$R$501,16,FALSE)</f>
        <v>134</v>
      </c>
      <c r="N467" t="str">
        <f>VLOOKUP(B467,'✈ Flights (2)'!$A$2:$R$501,14,FALSE)</f>
        <v>First Class</v>
      </c>
      <c r="O467">
        <f>VLOOKUP(B467,'✈ Flights (2)'!$A$2:$P$502,12,FALSE)</f>
        <v>2494</v>
      </c>
    </row>
    <row r="468" spans="1:15">
      <c r="A468" s="33" t="s">
        <v>1971</v>
      </c>
      <c r="B468" s="33" t="s">
        <v>1382</v>
      </c>
      <c r="C468" s="33" t="s">
        <v>22</v>
      </c>
      <c r="D468" s="33" t="str">
        <f>VLOOKUP(B468,'✈ Flights (2)'!$A$2:$P$502,3,FALSE)</f>
        <v>American</v>
      </c>
      <c r="E468" s="33">
        <v>152500.01</v>
      </c>
      <c r="F468" s="33">
        <f t="shared" si="7"/>
        <v>61.294216237942102</v>
      </c>
      <c r="G468" s="33">
        <v>990.2</v>
      </c>
      <c r="H468" s="33">
        <v>2845.64</v>
      </c>
      <c r="I468" s="33">
        <v>9488.6200000000008</v>
      </c>
      <c r="J468" s="33">
        <v>141155.95000000001</v>
      </c>
      <c r="K468" s="33" t="s">
        <v>1511</v>
      </c>
      <c r="L468" s="40">
        <f>VLOOKUP(B468,'✈ Flights (2)'!$A$2:$R$501,13,FALSE)</f>
        <v>1023.49</v>
      </c>
      <c r="M468">
        <f>VLOOKUP(B468,'✈ Flights (2)'!$A$2:$R$501,16,FALSE)</f>
        <v>149</v>
      </c>
      <c r="N468" t="str">
        <f>VLOOKUP(B468,'✈ Flights (2)'!$A$2:$R$501,14,FALSE)</f>
        <v>First Class</v>
      </c>
      <c r="O468">
        <f>VLOOKUP(B468,'✈ Flights (2)'!$A$2:$P$502,12,FALSE)</f>
        <v>2488</v>
      </c>
    </row>
    <row r="469" spans="1:15">
      <c r="A469" s="38" t="s">
        <v>1972</v>
      </c>
      <c r="B469" s="38" t="s">
        <v>1385</v>
      </c>
      <c r="C469" s="38" t="s">
        <v>157</v>
      </c>
      <c r="D469" s="33" t="str">
        <f>VLOOKUP(B469,'✈ Flights (2)'!$A$2:$P$502,3,FALSE)</f>
        <v>Jetblue</v>
      </c>
      <c r="E469" s="38">
        <v>134910.82999999999</v>
      </c>
      <c r="F469" s="33">
        <f t="shared" si="7"/>
        <v>57.777657387580298</v>
      </c>
      <c r="G469" s="38">
        <v>7501.73</v>
      </c>
      <c r="H469" s="38">
        <v>13453.04</v>
      </c>
      <c r="I469" s="38">
        <v>34941.760000000002</v>
      </c>
      <c r="J469" s="38">
        <v>94017.76</v>
      </c>
      <c r="K469" s="38" t="s">
        <v>1511</v>
      </c>
      <c r="L469" s="40">
        <f>VLOOKUP(B469,'✈ Flights (2)'!$A$2:$R$501,13,FALSE)</f>
        <v>1062.29</v>
      </c>
      <c r="M469">
        <f>VLOOKUP(B469,'✈ Flights (2)'!$A$2:$R$501,16,FALSE)</f>
        <v>127</v>
      </c>
      <c r="N469" t="str">
        <f>VLOOKUP(B469,'✈ Flights (2)'!$A$2:$R$501,14,FALSE)</f>
        <v>Business</v>
      </c>
      <c r="O469">
        <f>VLOOKUP(B469,'✈ Flights (2)'!$A$2:$P$502,12,FALSE)</f>
        <v>2335</v>
      </c>
    </row>
    <row r="470" spans="1:15">
      <c r="A470" s="33" t="s">
        <v>1973</v>
      </c>
      <c r="B470" s="33" t="s">
        <v>1387</v>
      </c>
      <c r="C470" s="33" t="s">
        <v>198</v>
      </c>
      <c r="D470" s="33" t="str">
        <f>VLOOKUP(B470,'✈ Flights (2)'!$A$2:$P$502,3,FALSE)</f>
        <v>American</v>
      </c>
      <c r="E470" s="33">
        <v>197893.26</v>
      </c>
      <c r="F470" s="33">
        <f t="shared" si="7"/>
        <v>93.478157770429902</v>
      </c>
      <c r="G470" s="33">
        <v>1938.89</v>
      </c>
      <c r="H470" s="33">
        <v>14895.37</v>
      </c>
      <c r="I470" s="33">
        <v>28729.26</v>
      </c>
      <c r="J470" s="33">
        <v>156207.51999999999</v>
      </c>
      <c r="K470" s="33" t="s">
        <v>1511</v>
      </c>
      <c r="L470" s="40">
        <f>VLOOKUP(B470,'✈ Flights (2)'!$A$2:$R$501,13,FALSE)</f>
        <v>646.71</v>
      </c>
      <c r="M470">
        <f>VLOOKUP(B470,'✈ Flights (2)'!$A$2:$R$501,16,FALSE)</f>
        <v>306</v>
      </c>
      <c r="N470" t="str">
        <f>VLOOKUP(B470,'✈ Flights (2)'!$A$2:$R$501,14,FALSE)</f>
        <v>Business</v>
      </c>
      <c r="O470">
        <f>VLOOKUP(B470,'✈ Flights (2)'!$A$2:$P$502,12,FALSE)</f>
        <v>2117</v>
      </c>
    </row>
    <row r="471" spans="1:15">
      <c r="A471" s="38" t="s">
        <v>1974</v>
      </c>
      <c r="B471" s="38" t="s">
        <v>1390</v>
      </c>
      <c r="C471" s="38" t="s">
        <v>117</v>
      </c>
      <c r="D471" s="33" t="str">
        <f>VLOOKUP(B471,'✈ Flights (2)'!$A$2:$P$502,3,FALSE)</f>
        <v>Frontier</v>
      </c>
      <c r="E471" s="38">
        <v>113957.12</v>
      </c>
      <c r="F471" s="33">
        <f t="shared" si="7"/>
        <v>47.2067605633803</v>
      </c>
      <c r="G471" s="38">
        <v>5605.1</v>
      </c>
      <c r="H471" s="38">
        <v>2025.41</v>
      </c>
      <c r="I471" s="38">
        <v>35908.57</v>
      </c>
      <c r="J471" s="38">
        <v>86655.76</v>
      </c>
      <c r="K471" s="38" t="s">
        <v>1509</v>
      </c>
      <c r="L471" s="40">
        <f>VLOOKUP(B471,'✈ Flights (2)'!$A$2:$R$501,13,FALSE)</f>
        <v>837.92</v>
      </c>
      <c r="M471">
        <f>VLOOKUP(B471,'✈ Flights (2)'!$A$2:$R$501,16,FALSE)</f>
        <v>136</v>
      </c>
      <c r="N471" t="str">
        <f>VLOOKUP(B471,'✈ Flights (2)'!$A$2:$R$501,14,FALSE)</f>
        <v>Economy</v>
      </c>
      <c r="O471">
        <f>VLOOKUP(B471,'✈ Flights (2)'!$A$2:$P$502,12,FALSE)</f>
        <v>2414</v>
      </c>
    </row>
    <row r="472" spans="1:15">
      <c r="A472" s="33" t="s">
        <v>1975</v>
      </c>
      <c r="B472" s="33" t="s">
        <v>1392</v>
      </c>
      <c r="C472" s="33" t="s">
        <v>175</v>
      </c>
      <c r="D472" s="33" t="str">
        <f>VLOOKUP(B472,'✈ Flights (2)'!$A$2:$P$502,3,FALSE)</f>
        <v>United</v>
      </c>
      <c r="E472" s="33">
        <v>234544.02</v>
      </c>
      <c r="F472" s="33">
        <f t="shared" si="7"/>
        <v>106.032558770344</v>
      </c>
      <c r="G472" s="33">
        <v>5307.25</v>
      </c>
      <c r="H472" s="33">
        <v>2674.22</v>
      </c>
      <c r="I472" s="33">
        <v>38007.599999999999</v>
      </c>
      <c r="J472" s="33">
        <v>199169.45</v>
      </c>
      <c r="K472" s="33" t="s">
        <v>1511</v>
      </c>
      <c r="L472" s="40">
        <f>VLOOKUP(B472,'✈ Flights (2)'!$A$2:$R$501,13,FALSE)</f>
        <v>1075.8900000000001</v>
      </c>
      <c r="M472">
        <f>VLOOKUP(B472,'✈ Flights (2)'!$A$2:$R$501,16,FALSE)</f>
        <v>218</v>
      </c>
      <c r="N472" t="str">
        <f>VLOOKUP(B472,'✈ Flights (2)'!$A$2:$R$501,14,FALSE)</f>
        <v>Economy</v>
      </c>
      <c r="O472">
        <f>VLOOKUP(B472,'✈ Flights (2)'!$A$2:$P$502,12,FALSE)</f>
        <v>2212</v>
      </c>
    </row>
    <row r="473" spans="1:15">
      <c r="A473" s="38" t="s">
        <v>1976</v>
      </c>
      <c r="B473" s="38" t="s">
        <v>1394</v>
      </c>
      <c r="C473" s="38" t="s">
        <v>157</v>
      </c>
      <c r="D473" s="33" t="str">
        <f>VLOOKUP(B473,'✈ Flights (2)'!$A$2:$P$502,3,FALSE)</f>
        <v>Southwest</v>
      </c>
      <c r="E473" s="38">
        <v>62117.9</v>
      </c>
      <c r="F473" s="33">
        <f t="shared" si="7"/>
        <v>25.047540322580598</v>
      </c>
      <c r="G473" s="38">
        <v>3744.11</v>
      </c>
      <c r="H473" s="38">
        <v>5562.46</v>
      </c>
      <c r="I473" s="38">
        <v>39828.730000000003</v>
      </c>
      <c r="J473" s="38">
        <v>-6651.08</v>
      </c>
      <c r="K473" s="38" t="s">
        <v>1509</v>
      </c>
      <c r="L473" s="40">
        <f>VLOOKUP(B473,'✈ Flights (2)'!$A$2:$R$501,13,FALSE)</f>
        <v>437.45</v>
      </c>
      <c r="M473">
        <f>VLOOKUP(B473,'✈ Flights (2)'!$A$2:$R$501,16,FALSE)</f>
        <v>142</v>
      </c>
      <c r="N473" t="str">
        <f>VLOOKUP(B473,'✈ Flights (2)'!$A$2:$R$501,14,FALSE)</f>
        <v>Business</v>
      </c>
      <c r="O473">
        <f>VLOOKUP(B473,'✈ Flights (2)'!$A$2:$P$502,12,FALSE)</f>
        <v>2480</v>
      </c>
    </row>
    <row r="474" spans="1:15">
      <c r="A474" s="33" t="s">
        <v>1977</v>
      </c>
      <c r="B474" s="33" t="s">
        <v>1397</v>
      </c>
      <c r="C474" s="33" t="s">
        <v>198</v>
      </c>
      <c r="D474" s="33" t="str">
        <f>VLOOKUP(B474,'✈ Flights (2)'!$A$2:$P$502,3,FALSE)</f>
        <v>Jetblue</v>
      </c>
      <c r="E474" s="33">
        <v>67075.12</v>
      </c>
      <c r="F474" s="33">
        <f t="shared" si="7"/>
        <v>26.596003172085599</v>
      </c>
      <c r="G474" s="33">
        <v>0</v>
      </c>
      <c r="H474" s="33">
        <v>8724.34</v>
      </c>
      <c r="I474" s="33">
        <v>22345.119999999999</v>
      </c>
      <c r="J474" s="33">
        <v>-31069.46</v>
      </c>
      <c r="K474" s="33" t="s">
        <v>1504</v>
      </c>
      <c r="L474" s="40">
        <f>VLOOKUP(B474,'✈ Flights (2)'!$A$2:$R$501,13,FALSE)</f>
        <v>472.36</v>
      </c>
      <c r="M474">
        <f>VLOOKUP(B474,'✈ Flights (2)'!$A$2:$R$501,16,FALSE)</f>
        <v>142</v>
      </c>
      <c r="N474" t="str">
        <f>VLOOKUP(B474,'✈ Flights (2)'!$A$2:$R$501,14,FALSE)</f>
        <v>Business</v>
      </c>
      <c r="O474">
        <f>VLOOKUP(B474,'✈ Flights (2)'!$A$2:$P$502,12,FALSE)</f>
        <v>2522</v>
      </c>
    </row>
    <row r="475" spans="1:15">
      <c r="A475" s="38" t="s">
        <v>1978</v>
      </c>
      <c r="B475" s="38" t="s">
        <v>1398</v>
      </c>
      <c r="C475" s="38" t="s">
        <v>39</v>
      </c>
      <c r="D475" s="33" t="str">
        <f>VLOOKUP(B475,'✈ Flights (2)'!$A$2:$P$502,3,FALSE)</f>
        <v>Southwest</v>
      </c>
      <c r="E475" s="38">
        <v>8482.2199999999993</v>
      </c>
      <c r="F475" s="33">
        <f t="shared" si="7"/>
        <v>4.0067170524326903</v>
      </c>
      <c r="G475" s="38">
        <v>7128.52</v>
      </c>
      <c r="H475" s="38">
        <v>5613.13</v>
      </c>
      <c r="I475" s="38">
        <v>12859.19</v>
      </c>
      <c r="J475" s="38">
        <v>-2861.58</v>
      </c>
      <c r="K475" s="38" t="s">
        <v>1509</v>
      </c>
      <c r="L475" s="40">
        <f>VLOOKUP(B475,'✈ Flights (2)'!$A$2:$R$501,13,FALSE)</f>
        <v>136.81</v>
      </c>
      <c r="M475">
        <f>VLOOKUP(B475,'✈ Flights (2)'!$A$2:$R$501,16,FALSE)</f>
        <v>62</v>
      </c>
      <c r="N475" t="str">
        <f>VLOOKUP(B475,'✈ Flights (2)'!$A$2:$R$501,14,FALSE)</f>
        <v>Economy</v>
      </c>
      <c r="O475">
        <f>VLOOKUP(B475,'✈ Flights (2)'!$A$2:$P$502,12,FALSE)</f>
        <v>2117</v>
      </c>
    </row>
    <row r="476" spans="1:15">
      <c r="A476" s="33" t="s">
        <v>1979</v>
      </c>
      <c r="B476" s="33" t="s">
        <v>1401</v>
      </c>
      <c r="C476" s="33" t="s">
        <v>130</v>
      </c>
      <c r="D476" s="33" t="str">
        <f>VLOOKUP(B476,'✈ Flights (2)'!$A$2:$P$502,3,FALSE)</f>
        <v>United</v>
      </c>
      <c r="E476" s="33">
        <v>104902.92</v>
      </c>
      <c r="F476" s="33">
        <f t="shared" si="7"/>
        <v>59.739703872437403</v>
      </c>
      <c r="G476" s="33">
        <v>4493.08</v>
      </c>
      <c r="H476" s="33">
        <v>7094.17</v>
      </c>
      <c r="I476" s="33">
        <v>16068.47</v>
      </c>
      <c r="J476" s="33">
        <v>86233.36</v>
      </c>
      <c r="K476" s="33" t="s">
        <v>1511</v>
      </c>
      <c r="L476" s="40">
        <f>VLOOKUP(B476,'✈ Flights (2)'!$A$2:$R$501,13,FALSE)</f>
        <v>429.93</v>
      </c>
      <c r="M476">
        <f>VLOOKUP(B476,'✈ Flights (2)'!$A$2:$R$501,16,FALSE)</f>
        <v>244</v>
      </c>
      <c r="N476" t="str">
        <f>VLOOKUP(B476,'✈ Flights (2)'!$A$2:$R$501,14,FALSE)</f>
        <v>Economy</v>
      </c>
      <c r="O476">
        <f>VLOOKUP(B476,'✈ Flights (2)'!$A$2:$P$502,12,FALSE)</f>
        <v>1756</v>
      </c>
    </row>
    <row r="477" spans="1:15">
      <c r="A477" s="38" t="s">
        <v>1980</v>
      </c>
      <c r="B477" s="38" t="s">
        <v>1403</v>
      </c>
      <c r="C477" s="38" t="s">
        <v>74</v>
      </c>
      <c r="D477" s="33" t="str">
        <f>VLOOKUP(B477,'✈ Flights (2)'!$A$2:$P$502,3,FALSE)</f>
        <v>Frontier</v>
      </c>
      <c r="E477" s="38">
        <v>105199.44</v>
      </c>
      <c r="F477" s="33">
        <f t="shared" si="7"/>
        <v>48.568531855955698</v>
      </c>
      <c r="G477" s="38">
        <v>1113.57</v>
      </c>
      <c r="H477" s="38">
        <v>2329.84</v>
      </c>
      <c r="I477" s="38">
        <v>25013.69</v>
      </c>
      <c r="J477" s="38">
        <v>78969.48</v>
      </c>
      <c r="K477" s="38" t="s">
        <v>1502</v>
      </c>
      <c r="L477" s="40">
        <f>VLOOKUP(B477,'✈ Flights (2)'!$A$2:$R$501,13,FALSE)</f>
        <v>427.64</v>
      </c>
      <c r="M477">
        <f>VLOOKUP(B477,'✈ Flights (2)'!$A$2:$R$501,16,FALSE)</f>
        <v>246</v>
      </c>
      <c r="N477" t="str">
        <f>VLOOKUP(B477,'✈ Flights (2)'!$A$2:$R$501,14,FALSE)</f>
        <v>First Class</v>
      </c>
      <c r="O477">
        <f>VLOOKUP(B477,'✈ Flights (2)'!$A$2:$P$502,12,FALSE)</f>
        <v>2166</v>
      </c>
    </row>
    <row r="478" spans="1:15">
      <c r="A478" s="33" t="s">
        <v>1981</v>
      </c>
      <c r="B478" s="33" t="s">
        <v>1406</v>
      </c>
      <c r="C478" s="33" t="s">
        <v>102</v>
      </c>
      <c r="D478" s="33" t="str">
        <f>VLOOKUP(B478,'✈ Flights (2)'!$A$2:$P$502,3,FALSE)</f>
        <v>Southwest</v>
      </c>
      <c r="E478" s="33">
        <v>167636.82</v>
      </c>
      <c r="F478" s="33">
        <f t="shared" si="7"/>
        <v>101.413684210526</v>
      </c>
      <c r="G478" s="33">
        <v>7835.72</v>
      </c>
      <c r="H478" s="33">
        <v>2967.72</v>
      </c>
      <c r="I478" s="33">
        <v>19833.71</v>
      </c>
      <c r="J478" s="33">
        <v>152671.10999999999</v>
      </c>
      <c r="K478" s="33" t="s">
        <v>1502</v>
      </c>
      <c r="L478" s="40">
        <f>VLOOKUP(B478,'✈ Flights (2)'!$A$2:$R$501,13,FALSE)</f>
        <v>963.43</v>
      </c>
      <c r="M478">
        <f>VLOOKUP(B478,'✈ Flights (2)'!$A$2:$R$501,16,FALSE)</f>
        <v>174</v>
      </c>
      <c r="N478" t="str">
        <f>VLOOKUP(B478,'✈ Flights (2)'!$A$2:$R$501,14,FALSE)</f>
        <v>Business</v>
      </c>
      <c r="O478">
        <f>VLOOKUP(B478,'✈ Flights (2)'!$A$2:$P$502,12,FALSE)</f>
        <v>1653</v>
      </c>
    </row>
    <row r="479" spans="1:15">
      <c r="A479" s="38" t="s">
        <v>1982</v>
      </c>
      <c r="B479" s="38" t="s">
        <v>1409</v>
      </c>
      <c r="C479" s="38" t="s">
        <v>65</v>
      </c>
      <c r="D479" s="33" t="str">
        <f>VLOOKUP(B479,'✈ Flights (2)'!$A$2:$P$502,3,FALSE)</f>
        <v>United</v>
      </c>
      <c r="E479" s="38">
        <v>57529.72</v>
      </c>
      <c r="F479" s="33">
        <f t="shared" si="7"/>
        <v>33.3119397799653</v>
      </c>
      <c r="G479" s="38">
        <v>1976.58</v>
      </c>
      <c r="H479" s="38">
        <v>2816.97</v>
      </c>
      <c r="I479" s="38">
        <v>16522.86</v>
      </c>
      <c r="J479" s="38">
        <v>40166.47</v>
      </c>
      <c r="K479" s="38" t="s">
        <v>1504</v>
      </c>
      <c r="L479" s="40">
        <f>VLOOKUP(B479,'✈ Flights (2)'!$A$2:$R$501,13,FALSE)</f>
        <v>756.97</v>
      </c>
      <c r="M479">
        <f>VLOOKUP(B479,'✈ Flights (2)'!$A$2:$R$501,16,FALSE)</f>
        <v>76</v>
      </c>
      <c r="N479" t="str">
        <f>VLOOKUP(B479,'✈ Flights (2)'!$A$2:$R$501,14,FALSE)</f>
        <v>Economy</v>
      </c>
      <c r="O479">
        <f>VLOOKUP(B479,'✈ Flights (2)'!$A$2:$P$502,12,FALSE)</f>
        <v>1727</v>
      </c>
    </row>
    <row r="480" spans="1:15">
      <c r="A480" s="33" t="s">
        <v>1983</v>
      </c>
      <c r="B480" s="33" t="s">
        <v>1411</v>
      </c>
      <c r="C480" s="33" t="s">
        <v>33</v>
      </c>
      <c r="D480" s="33" t="str">
        <f>VLOOKUP(B480,'✈ Flights (2)'!$A$2:$P$502,3,FALSE)</f>
        <v>Alaska</v>
      </c>
      <c r="E480" s="33">
        <v>65166</v>
      </c>
      <c r="F480" s="33">
        <f t="shared" si="7"/>
        <v>23.9757174392936</v>
      </c>
      <c r="G480" s="33">
        <v>709.05</v>
      </c>
      <c r="H480" s="33">
        <v>2312.31</v>
      </c>
      <c r="I480" s="33">
        <v>20118.21</v>
      </c>
      <c r="J480" s="33">
        <v>43444.53</v>
      </c>
      <c r="K480" s="33" t="s">
        <v>1511</v>
      </c>
      <c r="L480" s="40">
        <f>VLOOKUP(B480,'✈ Flights (2)'!$A$2:$R$501,13,FALSE)</f>
        <v>543.04999999999995</v>
      </c>
      <c r="M480">
        <f>VLOOKUP(B480,'✈ Flights (2)'!$A$2:$R$501,16,FALSE)</f>
        <v>120</v>
      </c>
      <c r="N480" t="str">
        <f>VLOOKUP(B480,'✈ Flights (2)'!$A$2:$R$501,14,FALSE)</f>
        <v>First Class</v>
      </c>
      <c r="O480">
        <f>VLOOKUP(B480,'✈ Flights (2)'!$A$2:$P$502,12,FALSE)</f>
        <v>2718</v>
      </c>
    </row>
    <row r="481" spans="1:15">
      <c r="A481" s="38" t="s">
        <v>1984</v>
      </c>
      <c r="B481" s="38" t="s">
        <v>1414</v>
      </c>
      <c r="C481" s="38" t="s">
        <v>55</v>
      </c>
      <c r="D481" s="33" t="str">
        <f>VLOOKUP(B481,'✈ Flights (2)'!$A$2:$P$502,3,FALSE)</f>
        <v>Spirit</v>
      </c>
      <c r="E481" s="38">
        <v>105799.1</v>
      </c>
      <c r="F481" s="33">
        <f t="shared" si="7"/>
        <v>40.335150590926403</v>
      </c>
      <c r="G481" s="38">
        <v>6803.81</v>
      </c>
      <c r="H481" s="38">
        <v>8156.49</v>
      </c>
      <c r="I481" s="38">
        <v>13650.37</v>
      </c>
      <c r="J481" s="38">
        <v>90796.05</v>
      </c>
      <c r="K481" s="38" t="s">
        <v>1511</v>
      </c>
      <c r="L481" s="40">
        <f>VLOOKUP(B481,'✈ Flights (2)'!$A$2:$R$501,13,FALSE)</f>
        <v>961.81</v>
      </c>
      <c r="M481">
        <f>VLOOKUP(B481,'✈ Flights (2)'!$A$2:$R$501,16,FALSE)</f>
        <v>110</v>
      </c>
      <c r="N481" t="str">
        <f>VLOOKUP(B481,'✈ Flights (2)'!$A$2:$R$501,14,FALSE)</f>
        <v>First Class</v>
      </c>
      <c r="O481">
        <f>VLOOKUP(B481,'✈ Flights (2)'!$A$2:$P$502,12,FALSE)</f>
        <v>2623</v>
      </c>
    </row>
    <row r="482" spans="1:15">
      <c r="A482" s="33" t="s">
        <v>1985</v>
      </c>
      <c r="B482" s="33" t="s">
        <v>1417</v>
      </c>
      <c r="C482" s="33" t="s">
        <v>198</v>
      </c>
      <c r="D482" s="33" t="str">
        <f>VLOOKUP(B482,'✈ Flights (2)'!$A$2:$P$502,3,FALSE)</f>
        <v>Frontier</v>
      </c>
      <c r="E482" s="33">
        <v>16853.93</v>
      </c>
      <c r="F482" s="33">
        <f t="shared" si="7"/>
        <v>6.5503031480761802</v>
      </c>
      <c r="G482" s="33">
        <v>0</v>
      </c>
      <c r="H482" s="33">
        <v>12681.24</v>
      </c>
      <c r="I482" s="33">
        <v>34138.11</v>
      </c>
      <c r="J482" s="33">
        <v>-46819.35</v>
      </c>
      <c r="K482" s="33" t="s">
        <v>1502</v>
      </c>
      <c r="L482" s="40">
        <f>VLOOKUP(B482,'✈ Flights (2)'!$A$2:$R$501,13,FALSE)</f>
        <v>189.37</v>
      </c>
      <c r="M482">
        <f>VLOOKUP(B482,'✈ Flights (2)'!$A$2:$R$501,16,FALSE)</f>
        <v>89</v>
      </c>
      <c r="N482" t="str">
        <f>VLOOKUP(B482,'✈ Flights (2)'!$A$2:$R$501,14,FALSE)</f>
        <v>Business</v>
      </c>
      <c r="O482">
        <f>VLOOKUP(B482,'✈ Flights (2)'!$A$2:$P$502,12,FALSE)</f>
        <v>2573</v>
      </c>
    </row>
    <row r="483" spans="1:15">
      <c r="A483" s="38" t="s">
        <v>1986</v>
      </c>
      <c r="B483" s="38" t="s">
        <v>1418</v>
      </c>
      <c r="C483" s="38" t="s">
        <v>49</v>
      </c>
      <c r="D483" s="33" t="str">
        <f>VLOOKUP(B483,'✈ Flights (2)'!$A$2:$P$502,3,FALSE)</f>
        <v>United</v>
      </c>
      <c r="E483" s="38">
        <v>9070</v>
      </c>
      <c r="F483" s="33">
        <f t="shared" si="7"/>
        <v>16.460980036297599</v>
      </c>
      <c r="G483" s="38">
        <v>7576.61</v>
      </c>
      <c r="H483" s="38">
        <v>10054.370000000001</v>
      </c>
      <c r="I483" s="38">
        <v>32151.23</v>
      </c>
      <c r="J483" s="38">
        <v>-25558.99</v>
      </c>
      <c r="K483" s="38" t="s">
        <v>1504</v>
      </c>
      <c r="L483" s="40">
        <f>VLOOKUP(B483,'✈ Flights (2)'!$A$2:$R$501,13,FALSE)</f>
        <v>181.4</v>
      </c>
      <c r="M483">
        <f>VLOOKUP(B483,'✈ Flights (2)'!$A$2:$R$501,16,FALSE)</f>
        <v>50</v>
      </c>
      <c r="N483" t="str">
        <f>VLOOKUP(B483,'✈ Flights (2)'!$A$2:$R$501,14,FALSE)</f>
        <v>Economy</v>
      </c>
      <c r="O483">
        <f>VLOOKUP(B483,'✈ Flights (2)'!$A$2:$P$502,12,FALSE)</f>
        <v>551</v>
      </c>
    </row>
    <row r="484" spans="1:15">
      <c r="A484" s="33" t="s">
        <v>1987</v>
      </c>
      <c r="B484" s="33" t="s">
        <v>1420</v>
      </c>
      <c r="C484" s="33" t="s">
        <v>67</v>
      </c>
      <c r="D484" s="33" t="str">
        <f>VLOOKUP(B484,'✈ Flights (2)'!$A$2:$P$502,3,FALSE)</f>
        <v>Jetblue</v>
      </c>
      <c r="E484" s="33">
        <v>66927.7</v>
      </c>
      <c r="F484" s="33">
        <f t="shared" si="7"/>
        <v>41.934649122807002</v>
      </c>
      <c r="G484" s="33">
        <v>5190.12</v>
      </c>
      <c r="H484" s="33">
        <v>3111.95</v>
      </c>
      <c r="I484" s="33">
        <v>25262.71</v>
      </c>
      <c r="J484" s="33">
        <v>43743.16</v>
      </c>
      <c r="K484" s="33" t="s">
        <v>1504</v>
      </c>
      <c r="L484" s="40">
        <f>VLOOKUP(B484,'✈ Flights (2)'!$A$2:$R$501,13,FALSE)</f>
        <v>415.7</v>
      </c>
      <c r="M484">
        <f>VLOOKUP(B484,'✈ Flights (2)'!$A$2:$R$501,16,FALSE)</f>
        <v>161</v>
      </c>
      <c r="N484" t="str">
        <f>VLOOKUP(B484,'✈ Flights (2)'!$A$2:$R$501,14,FALSE)</f>
        <v>First Class</v>
      </c>
      <c r="O484">
        <f>VLOOKUP(B484,'✈ Flights (2)'!$A$2:$P$502,12,FALSE)</f>
        <v>1596</v>
      </c>
    </row>
    <row r="485" spans="1:15">
      <c r="A485" s="38" t="s">
        <v>1988</v>
      </c>
      <c r="B485" s="38" t="s">
        <v>1422</v>
      </c>
      <c r="C485" s="38" t="s">
        <v>49</v>
      </c>
      <c r="D485" s="33" t="str">
        <f>VLOOKUP(B485,'✈ Flights (2)'!$A$2:$P$502,3,FALSE)</f>
        <v>Delta</v>
      </c>
      <c r="E485" s="38">
        <v>38001.81</v>
      </c>
      <c r="F485" s="33">
        <f t="shared" si="7"/>
        <v>68.471729729729702</v>
      </c>
      <c r="G485" s="38">
        <v>7375.36</v>
      </c>
      <c r="H485" s="38">
        <v>13571.09</v>
      </c>
      <c r="I485" s="38">
        <v>18208.830000000002</v>
      </c>
      <c r="J485" s="38">
        <v>13597.25</v>
      </c>
      <c r="K485" s="38" t="s">
        <v>1504</v>
      </c>
      <c r="L485" s="40">
        <f>VLOOKUP(B485,'✈ Flights (2)'!$A$2:$R$501,13,FALSE)</f>
        <v>493.53</v>
      </c>
      <c r="M485">
        <f>VLOOKUP(B485,'✈ Flights (2)'!$A$2:$R$501,16,FALSE)</f>
        <v>77</v>
      </c>
      <c r="N485" t="str">
        <f>VLOOKUP(B485,'✈ Flights (2)'!$A$2:$R$501,14,FALSE)</f>
        <v>First Class</v>
      </c>
      <c r="O485">
        <f>VLOOKUP(B485,'✈ Flights (2)'!$A$2:$P$502,12,FALSE)</f>
        <v>555</v>
      </c>
    </row>
    <row r="486" spans="1:15">
      <c r="A486" s="33" t="s">
        <v>1989</v>
      </c>
      <c r="B486" s="33" t="s">
        <v>1424</v>
      </c>
      <c r="C486" s="33" t="s">
        <v>96</v>
      </c>
      <c r="D486" s="33" t="str">
        <f>VLOOKUP(B486,'✈ Flights (2)'!$A$2:$P$502,3,FALSE)</f>
        <v>United</v>
      </c>
      <c r="E486" s="33">
        <v>76672.259999999995</v>
      </c>
      <c r="F486" s="33">
        <f t="shared" si="7"/>
        <v>28.219455281560499</v>
      </c>
      <c r="G486" s="33">
        <v>6369.85</v>
      </c>
      <c r="H486" s="33">
        <v>12431.03</v>
      </c>
      <c r="I486" s="33">
        <v>7170.08</v>
      </c>
      <c r="J486" s="33">
        <v>63441</v>
      </c>
      <c r="K486" s="33" t="s">
        <v>1504</v>
      </c>
      <c r="L486" s="40">
        <f>VLOOKUP(B486,'✈ Flights (2)'!$A$2:$R$501,13,FALSE)</f>
        <v>521.58000000000004</v>
      </c>
      <c r="M486">
        <f>VLOOKUP(B486,'✈ Flights (2)'!$A$2:$R$501,16,FALSE)</f>
        <v>147</v>
      </c>
      <c r="N486" t="str">
        <f>VLOOKUP(B486,'✈ Flights (2)'!$A$2:$R$501,14,FALSE)</f>
        <v>Business</v>
      </c>
      <c r="O486">
        <f>VLOOKUP(B486,'✈ Flights (2)'!$A$2:$P$502,12,FALSE)</f>
        <v>2717</v>
      </c>
    </row>
    <row r="487" spans="1:15">
      <c r="A487" s="38" t="s">
        <v>1990</v>
      </c>
      <c r="B487" s="38" t="s">
        <v>1426</v>
      </c>
      <c r="C487" s="38" t="s">
        <v>39</v>
      </c>
      <c r="D487" s="33" t="str">
        <f>VLOOKUP(B487,'✈ Flights (2)'!$A$2:$P$502,3,FALSE)</f>
        <v>Southwest</v>
      </c>
      <c r="E487" s="38">
        <v>269451.39</v>
      </c>
      <c r="F487" s="33">
        <f t="shared" si="7"/>
        <v>143.70740799999999</v>
      </c>
      <c r="G487" s="38">
        <v>2761.03</v>
      </c>
      <c r="H487" s="38">
        <v>2855.27</v>
      </c>
      <c r="I487" s="38">
        <v>26916.48</v>
      </c>
      <c r="J487" s="38">
        <v>242440.67</v>
      </c>
      <c r="K487" s="38" t="s">
        <v>1504</v>
      </c>
      <c r="L487" s="40">
        <f>VLOOKUP(B487,'✈ Flights (2)'!$A$2:$R$501,13,FALSE)</f>
        <v>1024.53</v>
      </c>
      <c r="M487">
        <f>VLOOKUP(B487,'✈ Flights (2)'!$A$2:$R$501,16,FALSE)</f>
        <v>263</v>
      </c>
      <c r="N487" t="str">
        <f>VLOOKUP(B487,'✈ Flights (2)'!$A$2:$R$501,14,FALSE)</f>
        <v>Business</v>
      </c>
      <c r="O487">
        <f>VLOOKUP(B487,'✈ Flights (2)'!$A$2:$P$502,12,FALSE)</f>
        <v>1875</v>
      </c>
    </row>
    <row r="488" spans="1:15">
      <c r="A488" s="33" t="s">
        <v>1991</v>
      </c>
      <c r="B488" s="33" t="s">
        <v>1429</v>
      </c>
      <c r="C488" s="33" t="s">
        <v>175</v>
      </c>
      <c r="D488" s="33" t="str">
        <f>VLOOKUP(B488,'✈ Flights (2)'!$A$2:$P$502,3,FALSE)</f>
        <v>American</v>
      </c>
      <c r="E488" s="33">
        <v>54730.96</v>
      </c>
      <c r="F488" s="33">
        <f t="shared" si="7"/>
        <v>23.8687134757959</v>
      </c>
      <c r="G488" s="33">
        <v>4694.4399999999996</v>
      </c>
      <c r="H488" s="33">
        <v>6958.92</v>
      </c>
      <c r="I488" s="33">
        <v>15322.09</v>
      </c>
      <c r="J488" s="33">
        <v>37144.39</v>
      </c>
      <c r="K488" s="33" t="s">
        <v>1504</v>
      </c>
      <c r="L488" s="40">
        <f>VLOOKUP(B488,'✈ Flights (2)'!$A$2:$R$501,13,FALSE)</f>
        <v>816.88</v>
      </c>
      <c r="M488">
        <f>VLOOKUP(B488,'✈ Flights (2)'!$A$2:$R$501,16,FALSE)</f>
        <v>67</v>
      </c>
      <c r="N488" t="str">
        <f>VLOOKUP(B488,'✈ Flights (2)'!$A$2:$R$501,14,FALSE)</f>
        <v>Economy</v>
      </c>
      <c r="O488">
        <f>VLOOKUP(B488,'✈ Flights (2)'!$A$2:$P$502,12,FALSE)</f>
        <v>2293</v>
      </c>
    </row>
    <row r="489" spans="1:15">
      <c r="A489" s="38" t="s">
        <v>1992</v>
      </c>
      <c r="B489" s="38" t="s">
        <v>1430</v>
      </c>
      <c r="C489" s="38" t="s">
        <v>49</v>
      </c>
      <c r="D489" s="33" t="str">
        <f>VLOOKUP(B489,'✈ Flights (2)'!$A$2:$P$502,3,FALSE)</f>
        <v>Frontier</v>
      </c>
      <c r="E489" s="38">
        <v>77702.8</v>
      </c>
      <c r="F489" s="33">
        <f t="shared" si="7"/>
        <v>32.566135792120697</v>
      </c>
      <c r="G489" s="38">
        <v>5129.76</v>
      </c>
      <c r="H489" s="38">
        <v>13239.58</v>
      </c>
      <c r="I489" s="38">
        <v>19388.78</v>
      </c>
      <c r="J489" s="38">
        <v>50204.2</v>
      </c>
      <c r="K489" s="38" t="s">
        <v>1504</v>
      </c>
      <c r="L489" s="40">
        <f>VLOOKUP(B489,'✈ Flights (2)'!$A$2:$R$501,13,FALSE)</f>
        <v>555.02</v>
      </c>
      <c r="M489">
        <f>VLOOKUP(B489,'✈ Flights (2)'!$A$2:$R$501,16,FALSE)</f>
        <v>140</v>
      </c>
      <c r="N489" t="str">
        <f>VLOOKUP(B489,'✈ Flights (2)'!$A$2:$R$501,14,FALSE)</f>
        <v>Business</v>
      </c>
      <c r="O489">
        <f>VLOOKUP(B489,'✈ Flights (2)'!$A$2:$P$502,12,FALSE)</f>
        <v>2386</v>
      </c>
    </row>
    <row r="490" spans="1:15">
      <c r="A490" s="33" t="s">
        <v>1993</v>
      </c>
      <c r="B490" s="33" t="s">
        <v>1431</v>
      </c>
      <c r="C490" s="33" t="s">
        <v>74</v>
      </c>
      <c r="D490" s="33" t="str">
        <f>VLOOKUP(B490,'✈ Flights (2)'!$A$2:$P$502,3,FALSE)</f>
        <v>Delta</v>
      </c>
      <c r="E490" s="33">
        <v>54563.08</v>
      </c>
      <c r="F490" s="33">
        <f t="shared" si="7"/>
        <v>23.169036093418299</v>
      </c>
      <c r="G490" s="33">
        <v>3900.58</v>
      </c>
      <c r="H490" s="33">
        <v>7565.37</v>
      </c>
      <c r="I490" s="33">
        <v>21247.32</v>
      </c>
      <c r="J490" s="33">
        <v>29650.97</v>
      </c>
      <c r="K490" s="33" t="s">
        <v>1504</v>
      </c>
      <c r="L490" s="40">
        <f>VLOOKUP(B490,'✈ Flights (2)'!$A$2:$R$501,13,FALSE)</f>
        <v>381.56</v>
      </c>
      <c r="M490">
        <f>VLOOKUP(B490,'✈ Flights (2)'!$A$2:$R$501,16,FALSE)</f>
        <v>143</v>
      </c>
      <c r="N490" t="str">
        <f>VLOOKUP(B490,'✈ Flights (2)'!$A$2:$R$501,14,FALSE)</f>
        <v>First Class</v>
      </c>
      <c r="O490">
        <f>VLOOKUP(B490,'✈ Flights (2)'!$A$2:$P$502,12,FALSE)</f>
        <v>2355</v>
      </c>
    </row>
    <row r="491" spans="1:15">
      <c r="A491" s="38" t="s">
        <v>1994</v>
      </c>
      <c r="B491" s="38" t="s">
        <v>1434</v>
      </c>
      <c r="C491" s="38" t="s">
        <v>65</v>
      </c>
      <c r="D491" s="33" t="str">
        <f>VLOOKUP(B491,'✈ Flights (2)'!$A$2:$P$502,3,FALSE)</f>
        <v>Alaska</v>
      </c>
      <c r="E491" s="38">
        <v>28935.94</v>
      </c>
      <c r="F491" s="33">
        <f t="shared" si="7"/>
        <v>46.149824561403499</v>
      </c>
      <c r="G491" s="38">
        <v>3047.12</v>
      </c>
      <c r="H491" s="38">
        <v>12178.08</v>
      </c>
      <c r="I491" s="38">
        <v>37815.47</v>
      </c>
      <c r="J491" s="38">
        <v>-18010.490000000002</v>
      </c>
      <c r="K491" s="38" t="s">
        <v>1509</v>
      </c>
      <c r="L491" s="40">
        <f>VLOOKUP(B491,'✈ Flights (2)'!$A$2:$R$501,13,FALSE)</f>
        <v>239.14</v>
      </c>
      <c r="M491">
        <f>VLOOKUP(B491,'✈ Flights (2)'!$A$2:$R$501,16,FALSE)</f>
        <v>121</v>
      </c>
      <c r="N491" t="str">
        <f>VLOOKUP(B491,'✈ Flights (2)'!$A$2:$R$501,14,FALSE)</f>
        <v>First Class</v>
      </c>
      <c r="O491">
        <f>VLOOKUP(B491,'✈ Flights (2)'!$A$2:$P$502,12,FALSE)</f>
        <v>627</v>
      </c>
    </row>
    <row r="492" spans="1:15">
      <c r="A492" s="33" t="s">
        <v>1995</v>
      </c>
      <c r="B492" s="33" t="s">
        <v>1436</v>
      </c>
      <c r="C492" s="33" t="s">
        <v>24</v>
      </c>
      <c r="D492" s="33" t="str">
        <f>VLOOKUP(B492,'✈ Flights (2)'!$A$2:$P$502,3,FALSE)</f>
        <v>Delta</v>
      </c>
      <c r="E492" s="33">
        <v>43085.7</v>
      </c>
      <c r="F492" s="33">
        <f t="shared" si="7"/>
        <v>14.8827979274611</v>
      </c>
      <c r="G492" s="33">
        <v>4379.1000000000004</v>
      </c>
      <c r="H492" s="33">
        <v>3404.09</v>
      </c>
      <c r="I492" s="33">
        <v>25573.47</v>
      </c>
      <c r="J492" s="33">
        <v>18487.240000000002</v>
      </c>
      <c r="K492" s="33" t="s">
        <v>1504</v>
      </c>
      <c r="L492" s="40">
        <f>VLOOKUP(B492,'✈ Flights (2)'!$A$2:$R$501,13,FALSE)</f>
        <v>683.9</v>
      </c>
      <c r="M492">
        <f>VLOOKUP(B492,'✈ Flights (2)'!$A$2:$R$501,16,FALSE)</f>
        <v>63</v>
      </c>
      <c r="N492" t="str">
        <f>VLOOKUP(B492,'✈ Flights (2)'!$A$2:$R$501,14,FALSE)</f>
        <v>First Class</v>
      </c>
      <c r="O492">
        <f>VLOOKUP(B492,'✈ Flights (2)'!$A$2:$P$502,12,FALSE)</f>
        <v>2895</v>
      </c>
    </row>
    <row r="493" spans="1:15">
      <c r="A493" s="38" t="s">
        <v>1996</v>
      </c>
      <c r="B493" s="38" t="s">
        <v>1438</v>
      </c>
      <c r="C493" s="38" t="s">
        <v>41</v>
      </c>
      <c r="D493" s="33" t="str">
        <f>VLOOKUP(B493,'✈ Flights (2)'!$A$2:$P$502,3,FALSE)</f>
        <v>Southwest</v>
      </c>
      <c r="E493" s="38">
        <v>82065.350000000006</v>
      </c>
      <c r="F493" s="33">
        <f t="shared" si="7"/>
        <v>47.028853868194801</v>
      </c>
      <c r="G493" s="38">
        <v>4963.8100000000004</v>
      </c>
      <c r="H493" s="38">
        <v>12262.41</v>
      </c>
      <c r="I493" s="38">
        <v>7364.06</v>
      </c>
      <c r="J493" s="38">
        <v>67402.69</v>
      </c>
      <c r="K493" s="38" t="s">
        <v>1502</v>
      </c>
      <c r="L493" s="40">
        <f>VLOOKUP(B493,'✈ Flights (2)'!$A$2:$R$501,13,FALSE)</f>
        <v>1155.8499999999999</v>
      </c>
      <c r="M493">
        <f>VLOOKUP(B493,'✈ Flights (2)'!$A$2:$R$501,16,FALSE)</f>
        <v>71</v>
      </c>
      <c r="N493" t="str">
        <f>VLOOKUP(B493,'✈ Flights (2)'!$A$2:$R$501,14,FALSE)</f>
        <v>Business</v>
      </c>
      <c r="O493">
        <f>VLOOKUP(B493,'✈ Flights (2)'!$A$2:$P$502,12,FALSE)</f>
        <v>1745</v>
      </c>
    </row>
    <row r="494" spans="1:15">
      <c r="A494" s="33" t="s">
        <v>1997</v>
      </c>
      <c r="B494" s="33" t="s">
        <v>1441</v>
      </c>
      <c r="C494" s="33" t="s">
        <v>57</v>
      </c>
      <c r="D494" s="33" t="str">
        <f>VLOOKUP(B494,'✈ Flights (2)'!$A$2:$P$502,3,FALSE)</f>
        <v>Delta</v>
      </c>
      <c r="E494" s="33">
        <v>51350.04</v>
      </c>
      <c r="F494" s="33">
        <f t="shared" si="7"/>
        <v>100.489315068493</v>
      </c>
      <c r="G494" s="33">
        <v>7282.77</v>
      </c>
      <c r="H494" s="33">
        <v>8615.67</v>
      </c>
      <c r="I494" s="33">
        <v>9409.36</v>
      </c>
      <c r="J494" s="33">
        <v>40607.78</v>
      </c>
      <c r="K494" s="33" t="s">
        <v>1511</v>
      </c>
      <c r="L494" s="40">
        <f>VLOOKUP(B494,'✈ Flights (2)'!$A$2:$R$501,13,FALSE)</f>
        <v>815.08</v>
      </c>
      <c r="M494">
        <f>VLOOKUP(B494,'✈ Flights (2)'!$A$2:$R$501,16,FALSE)</f>
        <v>63</v>
      </c>
      <c r="N494" t="str">
        <f>VLOOKUP(B494,'✈ Flights (2)'!$A$2:$R$501,14,FALSE)</f>
        <v>Business</v>
      </c>
      <c r="O494">
        <f>VLOOKUP(B494,'✈ Flights (2)'!$A$2:$P$502,12,FALSE)</f>
        <v>511</v>
      </c>
    </row>
    <row r="495" spans="1:15">
      <c r="A495" s="38" t="s">
        <v>1998</v>
      </c>
      <c r="B495" s="38" t="s">
        <v>1442</v>
      </c>
      <c r="C495" s="38" t="s">
        <v>117</v>
      </c>
      <c r="D495" s="33" t="str">
        <f>VLOOKUP(B495,'✈ Flights (2)'!$A$2:$P$502,3,FALSE)</f>
        <v>Alaska</v>
      </c>
      <c r="E495" s="38">
        <v>38284.93</v>
      </c>
      <c r="F495" s="33">
        <f t="shared" si="7"/>
        <v>13.5665946137491</v>
      </c>
      <c r="G495" s="38">
        <v>3657.55</v>
      </c>
      <c r="H495" s="38">
        <v>7780.12</v>
      </c>
      <c r="I495" s="38">
        <v>30361.81</v>
      </c>
      <c r="J495" s="38">
        <v>3800.55</v>
      </c>
      <c r="K495" s="38" t="s">
        <v>1502</v>
      </c>
      <c r="L495" s="40">
        <f>VLOOKUP(B495,'✈ Flights (2)'!$A$2:$R$501,13,FALSE)</f>
        <v>394.69</v>
      </c>
      <c r="M495">
        <f>VLOOKUP(B495,'✈ Flights (2)'!$A$2:$R$501,16,FALSE)</f>
        <v>97</v>
      </c>
      <c r="N495" t="str">
        <f>VLOOKUP(B495,'✈ Flights (2)'!$A$2:$R$501,14,FALSE)</f>
        <v>Business</v>
      </c>
      <c r="O495">
        <f>VLOOKUP(B495,'✈ Flights (2)'!$A$2:$P$502,12,FALSE)</f>
        <v>2822</v>
      </c>
    </row>
    <row r="496" spans="1:15">
      <c r="A496" s="33" t="s">
        <v>1999</v>
      </c>
      <c r="B496" s="33" t="s">
        <v>1444</v>
      </c>
      <c r="C496" s="33" t="s">
        <v>41</v>
      </c>
      <c r="D496" s="33" t="str">
        <f>VLOOKUP(B496,'✈ Flights (2)'!$A$2:$P$502,3,FALSE)</f>
        <v>Southwest</v>
      </c>
      <c r="E496" s="33">
        <v>41125.26</v>
      </c>
      <c r="F496" s="33">
        <f t="shared" si="7"/>
        <v>32.458768745067097</v>
      </c>
      <c r="G496" s="33">
        <v>1532.55</v>
      </c>
      <c r="H496" s="33">
        <v>3659.85</v>
      </c>
      <c r="I496" s="33">
        <v>6542.48</v>
      </c>
      <c r="J496" s="33">
        <v>32455.48</v>
      </c>
      <c r="K496" s="33" t="s">
        <v>1509</v>
      </c>
      <c r="L496" s="40">
        <f>VLOOKUP(B496,'✈ Flights (2)'!$A$2:$R$501,13,FALSE)</f>
        <v>623.11</v>
      </c>
      <c r="M496">
        <f>VLOOKUP(B496,'✈ Flights (2)'!$A$2:$R$501,16,FALSE)</f>
        <v>66</v>
      </c>
      <c r="N496" t="str">
        <f>VLOOKUP(B496,'✈ Flights (2)'!$A$2:$R$501,14,FALSE)</f>
        <v>First Class</v>
      </c>
      <c r="O496">
        <f>VLOOKUP(B496,'✈ Flights (2)'!$A$2:$P$502,12,FALSE)</f>
        <v>1267</v>
      </c>
    </row>
    <row r="497" spans="1:21">
      <c r="A497" s="38" t="s">
        <v>2000</v>
      </c>
      <c r="B497" s="38" t="s">
        <v>1446</v>
      </c>
      <c r="C497" s="38" t="s">
        <v>49</v>
      </c>
      <c r="D497" s="33" t="str">
        <f>VLOOKUP(B497,'✈ Flights (2)'!$A$2:$P$502,3,FALSE)</f>
        <v>American</v>
      </c>
      <c r="E497" s="38">
        <v>48491.82</v>
      </c>
      <c r="F497" s="33">
        <f t="shared" si="7"/>
        <v>38.062653061224502</v>
      </c>
      <c r="G497" s="38">
        <v>4348.4399999999996</v>
      </c>
      <c r="H497" s="38">
        <v>6650.67</v>
      </c>
      <c r="I497" s="38">
        <v>27809.67</v>
      </c>
      <c r="J497" s="38">
        <v>45323.5</v>
      </c>
      <c r="K497" s="38" t="s">
        <v>1502</v>
      </c>
      <c r="L497" s="40">
        <f>VLOOKUP(B497,'✈ Flights (2)'!$A$2:$R$501,13,FALSE)</f>
        <v>527.08500000000004</v>
      </c>
      <c r="M497">
        <f>VLOOKUP(B497,'✈ Flights (2)'!$A$2:$R$501,16,FALSE)</f>
        <v>92</v>
      </c>
      <c r="N497" t="str">
        <f>VLOOKUP(B497,'✈ Flights (2)'!$A$2:$R$501,14,FALSE)</f>
        <v>First Class</v>
      </c>
      <c r="O497">
        <f>VLOOKUP(B497,'✈ Flights (2)'!$A$2:$P$502,12,FALSE)</f>
        <v>1274</v>
      </c>
    </row>
    <row r="498" spans="1:21">
      <c r="A498" s="33" t="s">
        <v>2001</v>
      </c>
      <c r="B498" s="33" t="s">
        <v>1449</v>
      </c>
      <c r="C498" s="33" t="s">
        <v>22</v>
      </c>
      <c r="D498" s="33" t="str">
        <f>VLOOKUP(B498,'✈ Flights (2)'!$A$2:$P$502,3,FALSE)</f>
        <v>Spirit</v>
      </c>
      <c r="E498" s="33">
        <v>148437.96</v>
      </c>
      <c r="F498" s="33">
        <f t="shared" si="7"/>
        <v>76.7914950853595</v>
      </c>
      <c r="G498" s="33">
        <v>1605.57</v>
      </c>
      <c r="H498" s="33">
        <v>6457.7</v>
      </c>
      <c r="I498" s="33">
        <v>15803.6</v>
      </c>
      <c r="J498" s="33">
        <v>127782.23</v>
      </c>
      <c r="K498" s="33" t="s">
        <v>1511</v>
      </c>
      <c r="L498" s="40">
        <f>VLOOKUP(B498,'✈ Flights (2)'!$A$2:$R$501,13,FALSE)</f>
        <v>613.38</v>
      </c>
      <c r="M498">
        <f>VLOOKUP(B498,'✈ Flights (2)'!$A$2:$R$501,16,FALSE)</f>
        <v>242</v>
      </c>
      <c r="N498" t="str">
        <f>VLOOKUP(B498,'✈ Flights (2)'!$A$2:$R$501,14,FALSE)</f>
        <v>Business</v>
      </c>
      <c r="O498">
        <f>VLOOKUP(B498,'✈ Flights (2)'!$A$2:$P$502,12,FALSE)</f>
        <v>1933</v>
      </c>
    </row>
    <row r="499" spans="1:21">
      <c r="A499" s="38" t="s">
        <v>2002</v>
      </c>
      <c r="B499" s="38" t="s">
        <v>1451</v>
      </c>
      <c r="C499" s="38" t="s">
        <v>80</v>
      </c>
      <c r="D499" s="33" t="str">
        <f>VLOOKUP(B499,'✈ Flights (2)'!$A$2:$P$502,3,FALSE)</f>
        <v>Southwest</v>
      </c>
      <c r="E499" s="38">
        <v>145403.70000000001</v>
      </c>
      <c r="F499" s="33">
        <f t="shared" si="7"/>
        <v>98.113157894736801</v>
      </c>
      <c r="G499" s="38">
        <v>0</v>
      </c>
      <c r="H499" s="38">
        <v>8729.85</v>
      </c>
      <c r="I499" s="38">
        <v>38959.49</v>
      </c>
      <c r="J499" s="38">
        <v>-47689.34</v>
      </c>
      <c r="K499" s="38" t="s">
        <v>1502</v>
      </c>
      <c r="L499" s="40">
        <f>VLOOKUP(B499,'✈ Flights (2)'!$A$2:$R$501,13,FALSE)</f>
        <v>1118.49</v>
      </c>
      <c r="M499">
        <f>VLOOKUP(B499,'✈ Flights (2)'!$A$2:$R$501,16,FALSE)</f>
        <v>130</v>
      </c>
      <c r="N499" t="str">
        <f>VLOOKUP(B499,'✈ Flights (2)'!$A$2:$R$501,14,FALSE)</f>
        <v>Business</v>
      </c>
      <c r="O499">
        <f>VLOOKUP(B499,'✈ Flights (2)'!$A$2:$P$502,12,FALSE)</f>
        <v>1482</v>
      </c>
    </row>
    <row r="500" spans="1:21">
      <c r="A500" s="33" t="s">
        <v>2003</v>
      </c>
      <c r="B500" s="33" t="s">
        <v>1453</v>
      </c>
      <c r="C500" s="33" t="s">
        <v>33</v>
      </c>
      <c r="D500" s="33" t="str">
        <f>VLOOKUP(B500,'✈ Flights (2)'!$A$2:$P$502,3,FALSE)</f>
        <v>Spirit</v>
      </c>
      <c r="E500" s="33">
        <v>50425.62</v>
      </c>
      <c r="F500" s="33">
        <f t="shared" si="7"/>
        <v>35.839104477611897</v>
      </c>
      <c r="G500" s="33">
        <v>929.88</v>
      </c>
      <c r="H500" s="33">
        <v>12857.27</v>
      </c>
      <c r="I500" s="33">
        <v>22748.78</v>
      </c>
      <c r="J500" s="33">
        <v>15749.45</v>
      </c>
      <c r="K500" s="33" t="s">
        <v>1504</v>
      </c>
      <c r="L500" s="40">
        <f>VLOOKUP(B500,'✈ Flights (2)'!$A$2:$R$501,13,FALSE)</f>
        <v>379.14</v>
      </c>
      <c r="M500">
        <f>VLOOKUP(B500,'✈ Flights (2)'!$A$2:$R$501,16,FALSE)</f>
        <v>133</v>
      </c>
      <c r="N500" t="str">
        <f>VLOOKUP(B500,'✈ Flights (2)'!$A$2:$R$501,14,FALSE)</f>
        <v>Economy</v>
      </c>
      <c r="O500">
        <f>VLOOKUP(B500,'✈ Flights (2)'!$A$2:$P$502,12,FALSE)</f>
        <v>1407</v>
      </c>
    </row>
    <row r="501" spans="1:21">
      <c r="A501" s="38" t="s">
        <v>2004</v>
      </c>
      <c r="B501" s="38" t="s">
        <v>1454</v>
      </c>
      <c r="C501" s="38" t="s">
        <v>74</v>
      </c>
      <c r="D501" s="33" t="str">
        <f>VLOOKUP(B501,'✈ Flights (2)'!$A$2:$P$502,3,FALSE)</f>
        <v>Spirit</v>
      </c>
      <c r="E501" s="38">
        <v>22404.720000000001</v>
      </c>
      <c r="F501" s="33">
        <f t="shared" si="7"/>
        <v>21.626177606177599</v>
      </c>
      <c r="G501" s="38">
        <v>3665.46</v>
      </c>
      <c r="H501" s="38">
        <v>4604.83</v>
      </c>
      <c r="I501" s="38">
        <v>11839.25</v>
      </c>
      <c r="J501" s="38">
        <v>9626.1</v>
      </c>
      <c r="K501" s="38" t="s">
        <v>1502</v>
      </c>
      <c r="L501" s="40">
        <f>VLOOKUP(B501,'✈ Flights (2)'!$A$2:$R$501,13,FALSE)</f>
        <v>430.86</v>
      </c>
      <c r="M501">
        <f>VLOOKUP(B501,'✈ Flights (2)'!$A$2:$R$501,16,FALSE)</f>
        <v>52</v>
      </c>
      <c r="N501" t="str">
        <f>VLOOKUP(B501,'✈ Flights (2)'!$A$2:$R$501,14,FALSE)</f>
        <v>Economy</v>
      </c>
      <c r="O501">
        <f>VLOOKUP(B501,'✈ Flights (2)'!$A$2:$P$502,12,FALSE)</f>
        <v>1036</v>
      </c>
    </row>
    <row r="504" spans="1:21">
      <c r="G504" t="s">
        <v>2010</v>
      </c>
    </row>
    <row r="509" spans="1:21">
      <c r="U509" s="54" t="s">
        <v>1492</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4"/>
  <sheetViews>
    <sheetView topLeftCell="B1" workbookViewId="0">
      <pane ySplit="2" topLeftCell="A3" activePane="bottomLeft" state="frozen"/>
      <selection pane="bottomLeft" sqref="A1:Q1"/>
    </sheetView>
  </sheetViews>
  <sheetFormatPr defaultColWidth="9" defaultRowHeight="15"/>
  <cols>
    <col min="1" max="1" width="12" customWidth="1"/>
    <col min="2" max="2" width="22" customWidth="1"/>
    <col min="3" max="3" width="12" customWidth="1"/>
    <col min="4" max="4" width="30" customWidth="1"/>
    <col min="5" max="5" width="45" customWidth="1"/>
    <col min="6" max="7" width="18" customWidth="1"/>
    <col min="8" max="8" width="50" customWidth="1"/>
  </cols>
  <sheetData>
    <row r="1" spans="1:8" ht="30" customHeight="1">
      <c r="A1" s="55" t="s">
        <v>2011</v>
      </c>
      <c r="B1" s="56"/>
      <c r="C1" s="56"/>
      <c r="D1" s="56"/>
      <c r="E1" s="56"/>
      <c r="F1" s="56"/>
      <c r="G1" s="56"/>
      <c r="H1" s="56"/>
    </row>
    <row r="2" spans="1:8" ht="21.95" customHeight="1">
      <c r="A2" s="36" t="s">
        <v>2012</v>
      </c>
      <c r="B2" s="36" t="s">
        <v>2013</v>
      </c>
      <c r="C2" s="36" t="s">
        <v>2014</v>
      </c>
      <c r="D2" s="36" t="s">
        <v>2015</v>
      </c>
      <c r="E2" s="36" t="s">
        <v>2016</v>
      </c>
      <c r="F2" s="36" t="s">
        <v>2017</v>
      </c>
      <c r="G2" s="36" t="s">
        <v>2018</v>
      </c>
      <c r="H2" s="36" t="s">
        <v>2019</v>
      </c>
    </row>
    <row r="3" spans="1:8">
      <c r="A3" s="33" t="s">
        <v>2020</v>
      </c>
      <c r="B3" s="33" t="s">
        <v>2021</v>
      </c>
      <c r="C3" s="33" t="s">
        <v>2022</v>
      </c>
      <c r="D3" s="33" t="s">
        <v>2023</v>
      </c>
      <c r="E3" s="33" t="s">
        <v>2024</v>
      </c>
      <c r="F3" s="33" t="s">
        <v>2025</v>
      </c>
      <c r="G3" s="33" t="s">
        <v>2026</v>
      </c>
      <c r="H3" s="33" t="s">
        <v>2027</v>
      </c>
    </row>
    <row r="4" spans="1:8" ht="25.5">
      <c r="A4" s="37" t="s">
        <v>2020</v>
      </c>
      <c r="B4" s="37" t="s">
        <v>2028</v>
      </c>
      <c r="C4" s="37" t="s">
        <v>2029</v>
      </c>
      <c r="D4" s="37" t="s">
        <v>2030</v>
      </c>
      <c r="E4" s="37" t="s">
        <v>2031</v>
      </c>
      <c r="F4" s="37" t="s">
        <v>2032</v>
      </c>
      <c r="G4" s="37" t="s">
        <v>2033</v>
      </c>
      <c r="H4" s="37" t="s">
        <v>2034</v>
      </c>
    </row>
    <row r="5" spans="1:8" ht="38.25">
      <c r="A5" s="33" t="s">
        <v>2020</v>
      </c>
      <c r="B5" s="33" t="s">
        <v>2035</v>
      </c>
      <c r="C5" s="33" t="s">
        <v>2022</v>
      </c>
      <c r="D5" s="33" t="s">
        <v>2036</v>
      </c>
      <c r="E5" s="33" t="s">
        <v>2037</v>
      </c>
      <c r="F5" s="33" t="s">
        <v>2025</v>
      </c>
      <c r="G5" s="33" t="s">
        <v>2033</v>
      </c>
      <c r="H5" s="33" t="s">
        <v>2038</v>
      </c>
    </row>
    <row r="6" spans="1:8">
      <c r="A6" s="37" t="s">
        <v>2020</v>
      </c>
      <c r="B6" s="37" t="s">
        <v>2039</v>
      </c>
      <c r="C6" s="37" t="s">
        <v>2022</v>
      </c>
      <c r="D6" s="37" t="s">
        <v>2040</v>
      </c>
      <c r="E6" s="37" t="s">
        <v>2041</v>
      </c>
      <c r="F6" s="37" t="s">
        <v>2025</v>
      </c>
      <c r="G6" s="37" t="s">
        <v>2033</v>
      </c>
      <c r="H6" s="37" t="s">
        <v>2027</v>
      </c>
    </row>
    <row r="7" spans="1:8" ht="25.5">
      <c r="A7" s="33" t="s">
        <v>2020</v>
      </c>
      <c r="B7" s="33" t="s">
        <v>2042</v>
      </c>
      <c r="C7" s="33" t="s">
        <v>2022</v>
      </c>
      <c r="D7" s="33" t="s">
        <v>2043</v>
      </c>
      <c r="E7" s="33" t="s">
        <v>2044</v>
      </c>
      <c r="F7" s="33" t="s">
        <v>2025</v>
      </c>
      <c r="G7" s="33" t="s">
        <v>2045</v>
      </c>
      <c r="H7" s="33" t="s">
        <v>2027</v>
      </c>
    </row>
    <row r="8" spans="1:8">
      <c r="A8" s="37" t="s">
        <v>2020</v>
      </c>
      <c r="B8" s="37" t="s">
        <v>2046</v>
      </c>
      <c r="C8" s="37" t="s">
        <v>2022</v>
      </c>
      <c r="D8" s="37" t="s">
        <v>2040</v>
      </c>
      <c r="E8" s="37" t="s">
        <v>2047</v>
      </c>
      <c r="F8" s="37" t="s">
        <v>2025</v>
      </c>
      <c r="G8" s="37" t="s">
        <v>2033</v>
      </c>
      <c r="H8" s="37" t="s">
        <v>2027</v>
      </c>
    </row>
    <row r="9" spans="1:8" ht="25.5">
      <c r="A9" s="33" t="s">
        <v>2020</v>
      </c>
      <c r="B9" s="33" t="s">
        <v>2048</v>
      </c>
      <c r="C9" s="33" t="s">
        <v>2022</v>
      </c>
      <c r="D9" s="33" t="s">
        <v>2043</v>
      </c>
      <c r="E9" s="33" t="s">
        <v>2049</v>
      </c>
      <c r="F9" s="33" t="s">
        <v>2025</v>
      </c>
      <c r="G9" s="33" t="s">
        <v>2045</v>
      </c>
      <c r="H9" s="33" t="s">
        <v>2027</v>
      </c>
    </row>
    <row r="10" spans="1:8">
      <c r="A10" s="37" t="s">
        <v>2020</v>
      </c>
      <c r="B10" s="37" t="s">
        <v>2050</v>
      </c>
      <c r="C10" s="37" t="s">
        <v>2022</v>
      </c>
      <c r="D10" s="37" t="s">
        <v>2051</v>
      </c>
      <c r="E10" s="37" t="s">
        <v>2052</v>
      </c>
      <c r="F10" s="37" t="s">
        <v>2025</v>
      </c>
      <c r="G10" s="37" t="s">
        <v>2033</v>
      </c>
      <c r="H10" s="37" t="s">
        <v>2027</v>
      </c>
    </row>
    <row r="11" spans="1:8">
      <c r="A11" s="33" t="s">
        <v>2020</v>
      </c>
      <c r="B11" s="33" t="s">
        <v>2053</v>
      </c>
      <c r="C11" s="33" t="s">
        <v>2022</v>
      </c>
      <c r="D11" s="33" t="s">
        <v>2054</v>
      </c>
      <c r="E11" s="33" t="s">
        <v>2055</v>
      </c>
      <c r="F11" s="33" t="s">
        <v>2025</v>
      </c>
      <c r="G11" s="33" t="s">
        <v>2033</v>
      </c>
      <c r="H11" s="33" t="s">
        <v>2027</v>
      </c>
    </row>
    <row r="12" spans="1:8">
      <c r="A12" s="37" t="s">
        <v>2020</v>
      </c>
      <c r="B12" s="37" t="s">
        <v>2056</v>
      </c>
      <c r="C12" s="37" t="s">
        <v>2057</v>
      </c>
      <c r="D12" s="37" t="s">
        <v>2058</v>
      </c>
      <c r="E12" s="37" t="s">
        <v>2059</v>
      </c>
      <c r="F12" s="37" t="s">
        <v>2025</v>
      </c>
      <c r="G12" s="37" t="s">
        <v>2033</v>
      </c>
      <c r="H12" s="37" t="s">
        <v>2027</v>
      </c>
    </row>
    <row r="13" spans="1:8">
      <c r="A13" s="33" t="s">
        <v>2020</v>
      </c>
      <c r="B13" s="33" t="s">
        <v>2060</v>
      </c>
      <c r="C13" s="33" t="s">
        <v>2057</v>
      </c>
      <c r="D13" s="33" t="s">
        <v>2061</v>
      </c>
      <c r="E13" s="33" t="s">
        <v>2062</v>
      </c>
      <c r="F13" s="33" t="s">
        <v>2025</v>
      </c>
      <c r="G13" s="33" t="s">
        <v>2033</v>
      </c>
      <c r="H13" s="33" t="s">
        <v>2027</v>
      </c>
    </row>
    <row r="14" spans="1:8" ht="25.5">
      <c r="A14" s="37" t="s">
        <v>2020</v>
      </c>
      <c r="B14" s="37" t="s">
        <v>2063</v>
      </c>
      <c r="C14" s="37" t="s">
        <v>2064</v>
      </c>
      <c r="D14" s="37" t="s">
        <v>2065</v>
      </c>
      <c r="E14" s="37" t="s">
        <v>2066</v>
      </c>
      <c r="F14" s="37" t="s">
        <v>2067</v>
      </c>
      <c r="G14" s="37" t="s">
        <v>2033</v>
      </c>
      <c r="H14" s="37" t="s">
        <v>2068</v>
      </c>
    </row>
    <row r="15" spans="1:8">
      <c r="A15" s="33" t="s">
        <v>2020</v>
      </c>
      <c r="B15" s="33" t="s">
        <v>2069</v>
      </c>
      <c r="C15" s="33" t="s">
        <v>2022</v>
      </c>
      <c r="D15" s="33" t="s">
        <v>2070</v>
      </c>
      <c r="E15" s="33" t="s">
        <v>2071</v>
      </c>
      <c r="F15" s="33" t="s">
        <v>2072</v>
      </c>
      <c r="G15" s="33" t="s">
        <v>2033</v>
      </c>
      <c r="H15" s="33" t="s">
        <v>2027</v>
      </c>
    </row>
    <row r="16" spans="1:8">
      <c r="A16" s="37" t="s">
        <v>2020</v>
      </c>
      <c r="B16" s="37" t="s">
        <v>2073</v>
      </c>
      <c r="C16" s="37" t="s">
        <v>2057</v>
      </c>
      <c r="D16" s="37" t="s">
        <v>2074</v>
      </c>
      <c r="E16" s="37" t="s">
        <v>2075</v>
      </c>
      <c r="F16" s="37" t="s">
        <v>2025</v>
      </c>
      <c r="G16" s="37" t="s">
        <v>2033</v>
      </c>
      <c r="H16" s="37" t="s">
        <v>2027</v>
      </c>
    </row>
    <row r="17" spans="1:8">
      <c r="A17" s="33" t="s">
        <v>2020</v>
      </c>
      <c r="B17" s="33" t="s">
        <v>2076</v>
      </c>
      <c r="C17" s="33" t="s">
        <v>2057</v>
      </c>
      <c r="D17" s="33" t="s">
        <v>2077</v>
      </c>
      <c r="E17" s="33" t="s">
        <v>2078</v>
      </c>
      <c r="F17" s="33" t="s">
        <v>2072</v>
      </c>
      <c r="G17" s="33" t="s">
        <v>2033</v>
      </c>
      <c r="H17" s="33" t="s">
        <v>2079</v>
      </c>
    </row>
    <row r="18" spans="1:8">
      <c r="A18" s="37" t="s">
        <v>2020</v>
      </c>
      <c r="B18" s="37" t="s">
        <v>2080</v>
      </c>
      <c r="C18" s="37" t="s">
        <v>2022</v>
      </c>
      <c r="D18" s="37" t="s">
        <v>2081</v>
      </c>
      <c r="E18" s="37" t="s">
        <v>2082</v>
      </c>
      <c r="F18" s="37" t="s">
        <v>2025</v>
      </c>
      <c r="G18" s="37" t="s">
        <v>2033</v>
      </c>
      <c r="H18" s="37" t="s">
        <v>2083</v>
      </c>
    </row>
    <row r="19" spans="1:8" ht="25.5">
      <c r="A19" s="33" t="s">
        <v>2020</v>
      </c>
      <c r="B19" s="33" t="s">
        <v>2084</v>
      </c>
      <c r="C19" s="33" t="s">
        <v>2057</v>
      </c>
      <c r="D19" s="33" t="s">
        <v>2085</v>
      </c>
      <c r="E19" s="33" t="s">
        <v>2086</v>
      </c>
      <c r="F19" s="33" t="s">
        <v>2087</v>
      </c>
      <c r="G19" s="33" t="s">
        <v>2033</v>
      </c>
      <c r="H19" s="33" t="s">
        <v>2088</v>
      </c>
    </row>
    <row r="20" spans="1:8">
      <c r="A20" s="31" t="s">
        <v>2089</v>
      </c>
      <c r="B20" s="31" t="s">
        <v>2090</v>
      </c>
      <c r="C20" s="31" t="s">
        <v>2022</v>
      </c>
      <c r="D20" s="31" t="s">
        <v>2043</v>
      </c>
      <c r="E20" s="31" t="s">
        <v>2091</v>
      </c>
      <c r="F20" s="31" t="s">
        <v>2025</v>
      </c>
      <c r="G20" s="31" t="s">
        <v>2026</v>
      </c>
      <c r="H20" s="31" t="s">
        <v>2027</v>
      </c>
    </row>
    <row r="21" spans="1:8">
      <c r="A21" s="33" t="s">
        <v>2089</v>
      </c>
      <c r="B21" s="33" t="s">
        <v>2092</v>
      </c>
      <c r="C21" s="33" t="s">
        <v>2022</v>
      </c>
      <c r="D21" s="33" t="s">
        <v>2093</v>
      </c>
      <c r="E21" s="33" t="s">
        <v>2094</v>
      </c>
      <c r="F21" s="33" t="s">
        <v>2025</v>
      </c>
      <c r="G21" s="33" t="s">
        <v>2033</v>
      </c>
      <c r="H21" s="33" t="s">
        <v>2027</v>
      </c>
    </row>
    <row r="22" spans="1:8">
      <c r="A22" s="31" t="s">
        <v>2089</v>
      </c>
      <c r="B22" s="31" t="s">
        <v>2095</v>
      </c>
      <c r="C22" s="31" t="s">
        <v>2022</v>
      </c>
      <c r="D22" s="31" t="s">
        <v>2096</v>
      </c>
      <c r="E22" s="31" t="s">
        <v>2097</v>
      </c>
      <c r="F22" s="31" t="s">
        <v>2025</v>
      </c>
      <c r="G22" s="31" t="s">
        <v>2033</v>
      </c>
      <c r="H22" s="31" t="s">
        <v>2027</v>
      </c>
    </row>
    <row r="23" spans="1:8">
      <c r="A23" s="33" t="s">
        <v>2089</v>
      </c>
      <c r="B23" s="33" t="s">
        <v>2098</v>
      </c>
      <c r="C23" s="33" t="s">
        <v>2022</v>
      </c>
      <c r="D23" s="33" t="s">
        <v>1472</v>
      </c>
      <c r="E23" s="33" t="s">
        <v>2099</v>
      </c>
      <c r="F23" s="33" t="s">
        <v>2025</v>
      </c>
      <c r="G23" s="33" t="s">
        <v>2033</v>
      </c>
      <c r="H23" s="33" t="s">
        <v>2100</v>
      </c>
    </row>
    <row r="24" spans="1:8">
      <c r="A24" s="31" t="s">
        <v>2089</v>
      </c>
      <c r="B24" s="31" t="s">
        <v>2101</v>
      </c>
      <c r="C24" s="31" t="s">
        <v>2057</v>
      </c>
      <c r="D24" s="31" t="s">
        <v>2102</v>
      </c>
      <c r="E24" s="31" t="s">
        <v>2103</v>
      </c>
      <c r="F24" s="31" t="s">
        <v>2025</v>
      </c>
      <c r="G24" s="31" t="s">
        <v>2033</v>
      </c>
      <c r="H24" s="31" t="s">
        <v>2027</v>
      </c>
    </row>
    <row r="25" spans="1:8">
      <c r="A25" s="33" t="s">
        <v>2089</v>
      </c>
      <c r="B25" s="33" t="s">
        <v>2104</v>
      </c>
      <c r="C25" s="33" t="s">
        <v>2057</v>
      </c>
      <c r="D25" s="33" t="s">
        <v>2105</v>
      </c>
      <c r="E25" s="33" t="s">
        <v>2106</v>
      </c>
      <c r="F25" s="33" t="s">
        <v>2025</v>
      </c>
      <c r="G25" s="33" t="s">
        <v>2033</v>
      </c>
      <c r="H25" s="33" t="s">
        <v>2027</v>
      </c>
    </row>
    <row r="26" spans="1:8">
      <c r="A26" s="38" t="s">
        <v>2107</v>
      </c>
      <c r="B26" s="38" t="s">
        <v>2108</v>
      </c>
      <c r="C26" s="38" t="s">
        <v>2022</v>
      </c>
      <c r="D26" s="38" t="s">
        <v>2109</v>
      </c>
      <c r="E26" s="38" t="s">
        <v>2110</v>
      </c>
      <c r="F26" s="38" t="s">
        <v>2025</v>
      </c>
      <c r="G26" s="38" t="s">
        <v>2026</v>
      </c>
      <c r="H26" s="38" t="s">
        <v>2027</v>
      </c>
    </row>
    <row r="27" spans="1:8" ht="25.5">
      <c r="A27" s="33" t="s">
        <v>2107</v>
      </c>
      <c r="B27" s="33" t="s">
        <v>2021</v>
      </c>
      <c r="C27" s="33" t="s">
        <v>2022</v>
      </c>
      <c r="D27" s="33" t="s">
        <v>2023</v>
      </c>
      <c r="E27" s="33" t="s">
        <v>2111</v>
      </c>
      <c r="F27" s="33" t="s">
        <v>2025</v>
      </c>
      <c r="G27" s="33" t="s">
        <v>2112</v>
      </c>
      <c r="H27" s="33" t="s">
        <v>2027</v>
      </c>
    </row>
    <row r="28" spans="1:8" ht="25.5">
      <c r="A28" s="38" t="s">
        <v>2107</v>
      </c>
      <c r="B28" s="38" t="s">
        <v>2090</v>
      </c>
      <c r="C28" s="38" t="s">
        <v>2022</v>
      </c>
      <c r="D28" s="38" t="s">
        <v>2113</v>
      </c>
      <c r="E28" s="38" t="s">
        <v>2114</v>
      </c>
      <c r="F28" s="38" t="s">
        <v>2025</v>
      </c>
      <c r="G28" s="38" t="s">
        <v>2045</v>
      </c>
      <c r="H28" s="38" t="s">
        <v>2027</v>
      </c>
    </row>
    <row r="29" spans="1:8">
      <c r="A29" s="33" t="s">
        <v>2107</v>
      </c>
      <c r="B29" s="33" t="s">
        <v>2115</v>
      </c>
      <c r="C29" s="33" t="s">
        <v>2064</v>
      </c>
      <c r="D29" s="33" t="s">
        <v>2116</v>
      </c>
      <c r="E29" s="33" t="s">
        <v>2117</v>
      </c>
      <c r="F29" s="33" t="s">
        <v>2118</v>
      </c>
      <c r="G29" s="33" t="s">
        <v>2033</v>
      </c>
      <c r="H29" s="33" t="s">
        <v>2119</v>
      </c>
    </row>
    <row r="30" spans="1:8">
      <c r="A30" s="38" t="s">
        <v>2107</v>
      </c>
      <c r="B30" s="38" t="s">
        <v>2120</v>
      </c>
      <c r="C30" s="38" t="s">
        <v>2064</v>
      </c>
      <c r="D30" s="38" t="s">
        <v>2121</v>
      </c>
      <c r="E30" s="38" t="s">
        <v>2122</v>
      </c>
      <c r="F30" s="38" t="s">
        <v>2025</v>
      </c>
      <c r="G30" s="38" t="s">
        <v>2033</v>
      </c>
      <c r="H30" s="38" t="s">
        <v>2027</v>
      </c>
    </row>
    <row r="31" spans="1:8">
      <c r="A31" s="33" t="s">
        <v>2107</v>
      </c>
      <c r="B31" s="33" t="s">
        <v>2123</v>
      </c>
      <c r="C31" s="33" t="s">
        <v>2064</v>
      </c>
      <c r="D31" s="33" t="s">
        <v>2124</v>
      </c>
      <c r="E31" s="33" t="s">
        <v>2125</v>
      </c>
      <c r="F31" s="33" t="s">
        <v>2126</v>
      </c>
      <c r="G31" s="33" t="s">
        <v>2033</v>
      </c>
      <c r="H31" s="33" t="s">
        <v>2027</v>
      </c>
    </row>
    <row r="32" spans="1:8">
      <c r="A32" s="38" t="s">
        <v>2107</v>
      </c>
      <c r="B32" s="38" t="s">
        <v>2127</v>
      </c>
      <c r="C32" s="38" t="s">
        <v>2064</v>
      </c>
      <c r="D32" s="38" t="s">
        <v>2128</v>
      </c>
      <c r="E32" s="38" t="s">
        <v>2129</v>
      </c>
      <c r="F32" s="38" t="s">
        <v>2025</v>
      </c>
      <c r="G32" s="38" t="s">
        <v>2033</v>
      </c>
      <c r="H32" s="38" t="s">
        <v>2027</v>
      </c>
    </row>
    <row r="33" spans="1:8" ht="25.5">
      <c r="A33" s="33" t="s">
        <v>2107</v>
      </c>
      <c r="B33" s="33" t="s">
        <v>2130</v>
      </c>
      <c r="C33" s="33" t="s">
        <v>2064</v>
      </c>
      <c r="D33" s="33" t="s">
        <v>2131</v>
      </c>
      <c r="E33" s="33" t="s">
        <v>2132</v>
      </c>
      <c r="F33" s="33" t="s">
        <v>2025</v>
      </c>
      <c r="G33" s="33" t="s">
        <v>2133</v>
      </c>
      <c r="H33" s="33" t="s">
        <v>2134</v>
      </c>
    </row>
    <row r="34" spans="1:8" ht="25.5">
      <c r="A34" s="38" t="s">
        <v>2107</v>
      </c>
      <c r="B34" s="38" t="s">
        <v>2135</v>
      </c>
      <c r="C34" s="38" t="s">
        <v>2022</v>
      </c>
      <c r="D34" s="38" t="s">
        <v>2136</v>
      </c>
      <c r="E34" s="38" t="s">
        <v>2137</v>
      </c>
      <c r="F34" s="38" t="s">
        <v>2025</v>
      </c>
      <c r="G34" s="38" t="s">
        <v>2033</v>
      </c>
      <c r="H34" s="38" t="s">
        <v>2027</v>
      </c>
    </row>
  </sheetData>
  <mergeCells count="1">
    <mergeCell ref="A1:H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44"/>
  <sheetViews>
    <sheetView workbookViewId="0">
      <pane ySplit="1" topLeftCell="A34" activePane="bottomLeft" state="frozen"/>
      <selection pane="bottomLeft" activeCell="A43" sqref="A37:XFD37 A40:XFD40 A38:XFD38 B42 A44:XFD44 A43:XFD43"/>
    </sheetView>
  </sheetViews>
  <sheetFormatPr defaultColWidth="9" defaultRowHeight="15"/>
  <cols>
    <col min="1" max="1" width="10" customWidth="1"/>
    <col min="2" max="2" width="50" customWidth="1"/>
    <col min="3" max="3" width="22" customWidth="1"/>
    <col min="4" max="4" width="85" customWidth="1"/>
  </cols>
  <sheetData>
    <row r="1" spans="1:4" ht="30" customHeight="1">
      <c r="A1" s="55" t="s">
        <v>2138</v>
      </c>
      <c r="B1" s="56"/>
      <c r="C1" s="56"/>
      <c r="D1" s="56"/>
    </row>
    <row r="2" spans="1:4" ht="24" customHeight="1">
      <c r="A2" s="58" t="s">
        <v>2139</v>
      </c>
      <c r="B2" s="56"/>
      <c r="C2" s="56"/>
      <c r="D2" s="56"/>
    </row>
    <row r="3" spans="1:4" ht="20.100000000000001" customHeight="1">
      <c r="A3" s="29" t="s">
        <v>2140</v>
      </c>
      <c r="B3" s="29" t="s">
        <v>2141</v>
      </c>
      <c r="C3" s="29" t="s">
        <v>2012</v>
      </c>
      <c r="D3" s="29" t="s">
        <v>2142</v>
      </c>
    </row>
    <row r="4" spans="1:4" ht="45" customHeight="1">
      <c r="A4" s="30" t="s">
        <v>2143</v>
      </c>
      <c r="B4" s="31" t="s">
        <v>2144</v>
      </c>
      <c r="C4" s="31" t="s">
        <v>2020</v>
      </c>
      <c r="D4" s="31" t="s">
        <v>2145</v>
      </c>
    </row>
    <row r="5" spans="1:4" ht="45" customHeight="1">
      <c r="A5" s="32" t="s">
        <v>2146</v>
      </c>
      <c r="B5" s="33" t="s">
        <v>2147</v>
      </c>
      <c r="C5" s="33" t="s">
        <v>2020</v>
      </c>
      <c r="D5" s="33" t="s">
        <v>2148</v>
      </c>
    </row>
    <row r="6" spans="1:4" ht="45" customHeight="1">
      <c r="A6" s="30" t="s">
        <v>2149</v>
      </c>
      <c r="B6" s="31" t="s">
        <v>2150</v>
      </c>
      <c r="C6" s="31" t="s">
        <v>2020</v>
      </c>
      <c r="D6" s="31" t="s">
        <v>2151</v>
      </c>
    </row>
    <row r="7" spans="1:4" ht="45" customHeight="1">
      <c r="A7" s="32" t="s">
        <v>2152</v>
      </c>
      <c r="B7" s="33" t="s">
        <v>2153</v>
      </c>
      <c r="C7" s="33" t="s">
        <v>2020</v>
      </c>
      <c r="D7" s="33" t="s">
        <v>2154</v>
      </c>
    </row>
    <row r="8" spans="1:4" ht="45" customHeight="1">
      <c r="A8" s="30" t="s">
        <v>2155</v>
      </c>
      <c r="B8" s="31" t="s">
        <v>2156</v>
      </c>
      <c r="C8" s="31" t="s">
        <v>2020</v>
      </c>
      <c r="D8" s="31" t="s">
        <v>2157</v>
      </c>
    </row>
    <row r="9" spans="1:4" ht="45" customHeight="1">
      <c r="A9" s="32" t="s">
        <v>2158</v>
      </c>
      <c r="B9" s="33" t="s">
        <v>2159</v>
      </c>
      <c r="C9" s="33" t="s">
        <v>2020</v>
      </c>
      <c r="D9" s="33" t="s">
        <v>2160</v>
      </c>
    </row>
    <row r="10" spans="1:4" ht="45" customHeight="1">
      <c r="A10" s="30" t="s">
        <v>2161</v>
      </c>
      <c r="B10" s="31" t="s">
        <v>2162</v>
      </c>
      <c r="C10" s="31" t="s">
        <v>2020</v>
      </c>
      <c r="D10" s="31" t="s">
        <v>2163</v>
      </c>
    </row>
    <row r="11" spans="1:4" ht="45" customHeight="1">
      <c r="A11" s="32" t="s">
        <v>2164</v>
      </c>
      <c r="B11" s="33" t="s">
        <v>2165</v>
      </c>
      <c r="C11" s="33" t="s">
        <v>2020</v>
      </c>
      <c r="D11" s="33" t="s">
        <v>2166</v>
      </c>
    </row>
    <row r="12" spans="1:4" ht="45" customHeight="1">
      <c r="A12" s="30" t="s">
        <v>2167</v>
      </c>
      <c r="B12" s="31" t="s">
        <v>2168</v>
      </c>
      <c r="C12" s="31" t="s">
        <v>2107</v>
      </c>
      <c r="D12" s="31" t="s">
        <v>2169</v>
      </c>
    </row>
    <row r="13" spans="1:4" ht="45" customHeight="1">
      <c r="A13" s="32" t="s">
        <v>2170</v>
      </c>
      <c r="B13" s="33" t="s">
        <v>2171</v>
      </c>
      <c r="C13" s="33" t="s">
        <v>2107</v>
      </c>
      <c r="D13" s="33" t="s">
        <v>2172</v>
      </c>
    </row>
    <row r="15" spans="1:4" ht="24" customHeight="1">
      <c r="A15" s="59" t="s">
        <v>2173</v>
      </c>
      <c r="B15" s="56"/>
      <c r="C15" s="56"/>
      <c r="D15" s="56"/>
    </row>
    <row r="16" spans="1:4" ht="20.100000000000001" customHeight="1">
      <c r="A16" s="29" t="s">
        <v>2140</v>
      </c>
      <c r="B16" s="29" t="s">
        <v>2141</v>
      </c>
      <c r="C16" s="29" t="s">
        <v>2012</v>
      </c>
      <c r="D16" s="29" t="s">
        <v>2142</v>
      </c>
    </row>
    <row r="17" spans="1:4" ht="45" customHeight="1">
      <c r="A17" s="32" t="s">
        <v>2174</v>
      </c>
      <c r="B17" s="33" t="s">
        <v>2175</v>
      </c>
      <c r="C17" s="33" t="s">
        <v>2020</v>
      </c>
      <c r="D17" s="33" t="s">
        <v>2176</v>
      </c>
    </row>
    <row r="18" spans="1:4" ht="45" customHeight="1">
      <c r="A18" s="30" t="s">
        <v>2177</v>
      </c>
      <c r="B18" s="31" t="s">
        <v>2178</v>
      </c>
      <c r="C18" s="31" t="s">
        <v>2020</v>
      </c>
      <c r="D18" s="31" t="s">
        <v>2179</v>
      </c>
    </row>
    <row r="19" spans="1:4" ht="45" customHeight="1">
      <c r="A19" s="32" t="s">
        <v>2180</v>
      </c>
      <c r="B19" s="33" t="s">
        <v>2181</v>
      </c>
      <c r="C19" s="33" t="s">
        <v>2020</v>
      </c>
      <c r="D19" s="33" t="s">
        <v>2182</v>
      </c>
    </row>
    <row r="20" spans="1:4" ht="45" customHeight="1">
      <c r="A20" s="30" t="s">
        <v>2183</v>
      </c>
      <c r="B20" s="31" t="s">
        <v>2184</v>
      </c>
      <c r="C20" s="31" t="s">
        <v>2020</v>
      </c>
      <c r="D20" s="31" t="s">
        <v>2185</v>
      </c>
    </row>
    <row r="21" spans="1:4" ht="45" customHeight="1">
      <c r="A21" s="32" t="s">
        <v>2186</v>
      </c>
      <c r="B21" s="33" t="s">
        <v>2187</v>
      </c>
      <c r="C21" s="33" t="s">
        <v>2020</v>
      </c>
      <c r="D21" s="33" t="s">
        <v>2188</v>
      </c>
    </row>
    <row r="22" spans="1:4" ht="45" customHeight="1">
      <c r="A22" s="30" t="s">
        <v>2189</v>
      </c>
      <c r="B22" s="31" t="s">
        <v>2190</v>
      </c>
      <c r="C22" s="31" t="s">
        <v>2107</v>
      </c>
      <c r="D22" s="31" t="s">
        <v>2191</v>
      </c>
    </row>
    <row r="23" spans="1:4" ht="45" customHeight="1">
      <c r="A23" s="32" t="s">
        <v>2192</v>
      </c>
      <c r="B23" s="33" t="s">
        <v>2193</v>
      </c>
      <c r="C23" s="33" t="s">
        <v>2107</v>
      </c>
      <c r="D23" s="33" t="s">
        <v>2194</v>
      </c>
    </row>
    <row r="24" spans="1:4" ht="45" customHeight="1">
      <c r="A24" s="30" t="s">
        <v>2195</v>
      </c>
      <c r="B24" s="31" t="s">
        <v>2196</v>
      </c>
      <c r="C24" s="31" t="s">
        <v>2020</v>
      </c>
      <c r="D24" s="31" t="s">
        <v>2197</v>
      </c>
    </row>
    <row r="26" spans="1:4" ht="24" customHeight="1">
      <c r="A26" s="60" t="s">
        <v>2198</v>
      </c>
      <c r="B26" s="56"/>
      <c r="C26" s="56"/>
      <c r="D26" s="56"/>
    </row>
    <row r="27" spans="1:4" ht="20.100000000000001" customHeight="1">
      <c r="A27" s="29" t="s">
        <v>2140</v>
      </c>
      <c r="B27" s="29" t="s">
        <v>2141</v>
      </c>
      <c r="C27" s="29" t="s">
        <v>2012</v>
      </c>
      <c r="D27" s="29" t="s">
        <v>2142</v>
      </c>
    </row>
    <row r="28" spans="1:4" ht="45" customHeight="1">
      <c r="A28" s="30" t="s">
        <v>2199</v>
      </c>
      <c r="B28" s="31" t="s">
        <v>2200</v>
      </c>
      <c r="C28" s="31" t="s">
        <v>2020</v>
      </c>
      <c r="D28" s="31" t="s">
        <v>2201</v>
      </c>
    </row>
    <row r="29" spans="1:4" ht="45" customHeight="1">
      <c r="A29" s="32" t="s">
        <v>2202</v>
      </c>
      <c r="B29" s="33" t="s">
        <v>2203</v>
      </c>
      <c r="C29" s="33" t="s">
        <v>2020</v>
      </c>
      <c r="D29" s="33" t="s">
        <v>2204</v>
      </c>
    </row>
    <row r="30" spans="1:4" ht="45" customHeight="1">
      <c r="A30" s="30" t="s">
        <v>2205</v>
      </c>
      <c r="B30" s="31" t="s">
        <v>2206</v>
      </c>
      <c r="C30" s="31" t="s">
        <v>2107</v>
      </c>
      <c r="D30" s="31" t="s">
        <v>2207</v>
      </c>
    </row>
    <row r="31" spans="1:4" ht="45" customHeight="1">
      <c r="A31" s="32" t="s">
        <v>2208</v>
      </c>
      <c r="B31" s="33" t="s">
        <v>2209</v>
      </c>
      <c r="C31" s="33" t="s">
        <v>2020</v>
      </c>
      <c r="D31" s="33" t="s">
        <v>2210</v>
      </c>
    </row>
    <row r="32" spans="1:4" ht="45" customHeight="1">
      <c r="A32" s="30" t="s">
        <v>2211</v>
      </c>
      <c r="B32" s="31" t="s">
        <v>2212</v>
      </c>
      <c r="C32" s="31" t="s">
        <v>2020</v>
      </c>
      <c r="D32" s="31" t="s">
        <v>2213</v>
      </c>
    </row>
    <row r="33" spans="1:4" ht="45" customHeight="1">
      <c r="A33" s="32" t="s">
        <v>2214</v>
      </c>
      <c r="B33" s="33" t="s">
        <v>2215</v>
      </c>
      <c r="C33" s="33" t="s">
        <v>2107</v>
      </c>
      <c r="D33" s="33" t="s">
        <v>2216</v>
      </c>
    </row>
    <row r="35" spans="1:4" ht="24" customHeight="1">
      <c r="A35" s="61" t="s">
        <v>2217</v>
      </c>
      <c r="B35" s="56"/>
      <c r="C35" s="56"/>
      <c r="D35" s="56"/>
    </row>
    <row r="36" spans="1:4" ht="20.100000000000001" customHeight="1">
      <c r="A36" s="29" t="s">
        <v>2140</v>
      </c>
      <c r="B36" s="29" t="s">
        <v>2141</v>
      </c>
      <c r="C36" s="29" t="s">
        <v>2218</v>
      </c>
      <c r="D36" s="29" t="s">
        <v>2142</v>
      </c>
    </row>
    <row r="37" spans="1:4" s="28" customFormat="1" ht="45" customHeight="1">
      <c r="A37" s="34" t="s">
        <v>2219</v>
      </c>
      <c r="B37" s="35" t="s">
        <v>2220</v>
      </c>
      <c r="C37" s="35" t="s">
        <v>2221</v>
      </c>
      <c r="D37" s="35" t="s">
        <v>2222</v>
      </c>
    </row>
    <row r="38" spans="1:4" s="28" customFormat="1" ht="45" customHeight="1">
      <c r="A38" s="34" t="s">
        <v>2223</v>
      </c>
      <c r="B38" s="35" t="s">
        <v>2224</v>
      </c>
      <c r="C38" s="35" t="s">
        <v>2225</v>
      </c>
      <c r="D38" s="35" t="s">
        <v>2226</v>
      </c>
    </row>
    <row r="39" spans="1:4" ht="45" customHeight="1">
      <c r="A39" s="32" t="s">
        <v>2227</v>
      </c>
      <c r="B39" s="33" t="s">
        <v>2228</v>
      </c>
      <c r="C39" s="33" t="s">
        <v>2229</v>
      </c>
      <c r="D39" s="33" t="s">
        <v>2230</v>
      </c>
    </row>
    <row r="40" spans="1:4" s="28" customFormat="1" ht="45" customHeight="1">
      <c r="A40" s="34" t="s">
        <v>2231</v>
      </c>
      <c r="B40" s="35" t="s">
        <v>2232</v>
      </c>
      <c r="C40" s="35" t="s">
        <v>2233</v>
      </c>
      <c r="D40" s="35" t="s">
        <v>2234</v>
      </c>
    </row>
    <row r="41" spans="1:4" ht="45" customHeight="1">
      <c r="A41" s="32" t="s">
        <v>2235</v>
      </c>
      <c r="B41" s="33" t="s">
        <v>2236</v>
      </c>
      <c r="C41" s="33" t="s">
        <v>2237</v>
      </c>
      <c r="D41" s="33" t="s">
        <v>2238</v>
      </c>
    </row>
    <row r="42" spans="1:4" ht="45" customHeight="1">
      <c r="A42" s="30" t="s">
        <v>2239</v>
      </c>
      <c r="B42" s="35" t="s">
        <v>2240</v>
      </c>
      <c r="C42" s="31" t="s">
        <v>2241</v>
      </c>
      <c r="D42" s="31" t="s">
        <v>2242</v>
      </c>
    </row>
    <row r="43" spans="1:4" s="28" customFormat="1" ht="45" customHeight="1">
      <c r="A43" s="34" t="s">
        <v>2243</v>
      </c>
      <c r="B43" s="35" t="s">
        <v>2244</v>
      </c>
      <c r="C43" s="35" t="s">
        <v>2245</v>
      </c>
      <c r="D43" s="35" t="s">
        <v>2246</v>
      </c>
    </row>
    <row r="44" spans="1:4" s="28" customFormat="1" ht="45" customHeight="1">
      <c r="A44" s="34" t="s">
        <v>2247</v>
      </c>
      <c r="B44" s="35" t="s">
        <v>2248</v>
      </c>
      <c r="C44" s="35" t="s">
        <v>2249</v>
      </c>
      <c r="D44" s="35" t="s">
        <v>2250</v>
      </c>
    </row>
  </sheetData>
  <mergeCells count="5">
    <mergeCell ref="A1:D1"/>
    <mergeCell ref="A2:D2"/>
    <mergeCell ref="A15:D15"/>
    <mergeCell ref="A26:D26"/>
    <mergeCell ref="A35:D35"/>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4:N271"/>
  <sheetViews>
    <sheetView topLeftCell="A73" workbookViewId="0">
      <selection activeCell="I73" sqref="I73"/>
    </sheetView>
  </sheetViews>
  <sheetFormatPr defaultColWidth="9.140625" defaultRowHeight="15"/>
  <cols>
    <col min="2" max="2" width="14.140625" customWidth="1"/>
    <col min="3" max="4" width="13.5703125"/>
    <col min="5" max="5" width="12.85546875"/>
    <col min="6" max="6" width="19" customWidth="1"/>
    <col min="7" max="7" width="22.28515625" customWidth="1"/>
    <col min="8" max="8" width="13.5703125"/>
    <col min="9" max="9" width="11.7109375"/>
    <col min="10" max="10" width="12.85546875"/>
    <col min="13" max="13" width="29.28515625"/>
    <col min="14" max="14" width="17.5703125"/>
  </cols>
  <sheetData>
    <row r="4" spans="1:14">
      <c r="A4" s="17"/>
      <c r="B4" s="17"/>
      <c r="C4" s="17"/>
    </row>
    <row r="5" spans="1:14" ht="15.75">
      <c r="A5" s="62" t="s">
        <v>2175</v>
      </c>
      <c r="B5" s="62"/>
      <c r="C5" s="62"/>
      <c r="D5" s="18"/>
      <c r="E5" s="18"/>
      <c r="F5" s="63" t="s">
        <v>2178</v>
      </c>
      <c r="G5" s="63"/>
      <c r="H5" s="63" t="s">
        <v>2181</v>
      </c>
      <c r="I5" s="63"/>
      <c r="J5" s="63"/>
      <c r="K5" s="63"/>
      <c r="M5" s="62" t="s">
        <v>2184</v>
      </c>
      <c r="N5" s="65"/>
    </row>
    <row r="6" spans="1:14" ht="15.75">
      <c r="A6" s="17"/>
      <c r="B6" s="17"/>
      <c r="C6" s="17"/>
      <c r="F6" s="19"/>
      <c r="G6" s="19"/>
      <c r="H6" s="19"/>
      <c r="M6" s="65"/>
      <c r="N6" s="65"/>
    </row>
    <row r="7" spans="1:14">
      <c r="F7" s="20"/>
      <c r="G7" s="20"/>
    </row>
    <row r="8" spans="1:14" ht="15.75">
      <c r="B8" s="19" t="s">
        <v>2251</v>
      </c>
      <c r="C8" t="s">
        <v>12</v>
      </c>
      <c r="F8" t="s">
        <v>16</v>
      </c>
      <c r="G8" t="s">
        <v>2252</v>
      </c>
      <c r="I8" t="s">
        <v>3</v>
      </c>
      <c r="J8" t="s">
        <v>2253</v>
      </c>
    </row>
    <row r="9" spans="1:14" ht="31.5">
      <c r="B9" s="18" t="s">
        <v>2254</v>
      </c>
      <c r="C9" s="6">
        <f>AVERAGE('✈ Flights (2)'!M2:M501)</f>
        <v>619.22447215354305</v>
      </c>
      <c r="F9" t="s">
        <v>28</v>
      </c>
      <c r="G9">
        <f>COUNTIF('✈ Flights (2)'!$R$2:$R$501,"On-Time")</f>
        <v>335</v>
      </c>
      <c r="I9" t="s">
        <v>20</v>
      </c>
      <c r="J9" s="6">
        <f>AVERAGEIF('✈ Flights (2)'!$C$2:$C$501,"Delta",'✈ Flights (2)'!T2:T501)</f>
        <v>24.779661016949198</v>
      </c>
      <c r="M9" t="s">
        <v>1457</v>
      </c>
      <c r="N9" t="s">
        <v>1460</v>
      </c>
    </row>
    <row r="10" spans="1:14" ht="31.5">
      <c r="B10" s="18" t="s">
        <v>2255</v>
      </c>
      <c r="C10" s="6">
        <f>MEDIAN('✈ Flights (2)'!M2:M501)</f>
        <v>590.54499999999996</v>
      </c>
      <c r="F10" t="s">
        <v>70</v>
      </c>
      <c r="G10">
        <f>COUNTIF('✈ Flights (2)'!$R$2:$R$501,"Delayed")</f>
        <v>139</v>
      </c>
      <c r="I10" t="s">
        <v>31</v>
      </c>
      <c r="J10" s="6">
        <f>AVERAGEIF('✈ Flights (2)'!$C$2:$C$501,"Southwest",'✈ Flights (2)'!T2:T501)</f>
        <v>32</v>
      </c>
      <c r="M10" t="s">
        <v>2256</v>
      </c>
      <c r="N10">
        <v>7</v>
      </c>
    </row>
    <row r="11" spans="1:14" ht="31.5">
      <c r="B11" s="18" t="s">
        <v>2257</v>
      </c>
      <c r="C11" s="6">
        <f>STDEV('✈ Flights (2)'!M2:M501)</f>
        <v>302.66384259579701</v>
      </c>
      <c r="F11" t="s">
        <v>149</v>
      </c>
      <c r="G11">
        <f>COUNTIF('✈ Flights (2)'!$R$2:$R$501,"Cancelled")</f>
        <v>26</v>
      </c>
      <c r="I11" t="s">
        <v>47</v>
      </c>
      <c r="J11" s="6">
        <f>AVERAGEIF('✈ Flights (2)'!$C$2:$C$501,"Alaska",'✈ Flights (2)'!T2:T501)</f>
        <v>25.7540983606557</v>
      </c>
      <c r="M11" t="s">
        <v>2258</v>
      </c>
      <c r="N11">
        <v>5</v>
      </c>
    </row>
    <row r="12" spans="1:14" ht="31.5">
      <c r="B12" s="18" t="s">
        <v>2259</v>
      </c>
      <c r="C12" s="6">
        <f>MIN('✈ Flights (2)'!M2:M501)</f>
        <v>86.84</v>
      </c>
      <c r="I12" t="s">
        <v>63</v>
      </c>
      <c r="J12" s="6">
        <f>AVERAGEIF('✈ Flights (2)'!$C$2:$C$501,"American",'✈ Flights (2)'!T2:T501)</f>
        <v>24.134328358209</v>
      </c>
      <c r="M12" t="s">
        <v>2260</v>
      </c>
      <c r="N12">
        <v>5</v>
      </c>
    </row>
    <row r="13" spans="1:14" ht="31.5">
      <c r="B13" s="18" t="s">
        <v>2261</v>
      </c>
      <c r="C13" s="6">
        <f>MAX('✈ Flights (2)'!M2:M501)</f>
        <v>1196.58</v>
      </c>
      <c r="I13" t="s">
        <v>73</v>
      </c>
      <c r="J13" s="6">
        <f>AVERAGEIF('✈ Flights (2)'!$C$2:$C$501,"Spirit",'✈ Flights (2)'!T2:T501)</f>
        <v>31.686567164179099</v>
      </c>
      <c r="M13" t="s">
        <v>2262</v>
      </c>
      <c r="N13">
        <v>5</v>
      </c>
    </row>
    <row r="14" spans="1:14" ht="23.1" customHeight="1">
      <c r="I14" t="s">
        <v>94</v>
      </c>
      <c r="J14" s="6">
        <f>AVERAGEIF('✈ Flights (2)'!$C$2:$C$501,"United",'✈ Flights (2)'!T2:T501)</f>
        <v>25.4444444444444</v>
      </c>
      <c r="M14" t="s">
        <v>2263</v>
      </c>
      <c r="N14">
        <v>5</v>
      </c>
    </row>
    <row r="15" spans="1:14" ht="21.95" customHeight="1">
      <c r="A15" s="62" t="s">
        <v>2187</v>
      </c>
      <c r="B15" s="62"/>
      <c r="C15" s="62"/>
      <c r="I15" t="s">
        <v>115</v>
      </c>
      <c r="J15" s="6">
        <f>AVERAGEIF('✈ Flights (2)'!$C$2:$C$501,"Frontier",'✈ Flights (2)'!T2:T501)</f>
        <v>18.8125</v>
      </c>
      <c r="M15" t="s">
        <v>2264</v>
      </c>
      <c r="N15">
        <v>5</v>
      </c>
    </row>
    <row r="16" spans="1:14" ht="26.1" customHeight="1">
      <c r="C16" s="5">
        <f>AVERAGE('✈ Flights (2)'!Q2:Q501)</f>
        <v>62.3267380454012</v>
      </c>
      <c r="I16" t="s">
        <v>192</v>
      </c>
      <c r="J16" s="6">
        <f>AVERAGEIF('✈ Flights (2)'!$C$2:$C$501,"JetBlue",'✈ Flights (2)'!T2:T501)</f>
        <v>17.779661016949198</v>
      </c>
      <c r="M16" t="s">
        <v>2265</v>
      </c>
      <c r="N16">
        <v>5</v>
      </c>
    </row>
    <row r="17" spans="1:14">
      <c r="M17" t="s">
        <v>2266</v>
      </c>
      <c r="N17">
        <v>4</v>
      </c>
    </row>
    <row r="18" spans="1:14">
      <c r="M18" t="s">
        <v>2267</v>
      </c>
      <c r="N18">
        <v>4</v>
      </c>
    </row>
    <row r="19" spans="1:14">
      <c r="A19" s="62" t="s">
        <v>2190</v>
      </c>
      <c r="B19" s="62"/>
      <c r="C19" s="62"/>
      <c r="M19" t="s">
        <v>2268</v>
      </c>
      <c r="N19">
        <v>4</v>
      </c>
    </row>
    <row r="20" spans="1:14">
      <c r="M20" t="s">
        <v>2269</v>
      </c>
      <c r="N20">
        <v>4</v>
      </c>
    </row>
    <row r="21" spans="1:14">
      <c r="A21" s="5"/>
      <c r="M21" t="s">
        <v>2270</v>
      </c>
      <c r="N21">
        <v>4</v>
      </c>
    </row>
    <row r="22" spans="1:14">
      <c r="M22" t="s">
        <v>2271</v>
      </c>
      <c r="N22">
        <v>4</v>
      </c>
    </row>
    <row r="23" spans="1:14">
      <c r="M23" t="s">
        <v>2272</v>
      </c>
      <c r="N23">
        <v>4</v>
      </c>
    </row>
    <row r="24" spans="1:14">
      <c r="B24" s="5" t="s">
        <v>3</v>
      </c>
      <c r="C24" s="5" t="s">
        <v>2273</v>
      </c>
      <c r="D24" s="5" t="s">
        <v>2274</v>
      </c>
      <c r="E24" s="5"/>
      <c r="M24" t="s">
        <v>2275</v>
      </c>
      <c r="N24">
        <v>4</v>
      </c>
    </row>
    <row r="25" spans="1:14">
      <c r="B25" t="s">
        <v>20</v>
      </c>
      <c r="C25" s="21">
        <f>SUMIF('💰 Revenue (2)'!$D$2:$D$502,B25,'💰 Revenue (2)'!$J$2:$J$502)</f>
        <v>3416073.64</v>
      </c>
      <c r="D25" s="22">
        <f>AVERAGEIF('💰 Revenue (2)'!$D$2:$D$502,B25,'💰 Revenue (2)'!$J$2:$J$502)</f>
        <v>57899.553220339003</v>
      </c>
      <c r="E25" s="22"/>
      <c r="M25" t="s">
        <v>2276</v>
      </c>
      <c r="N25">
        <v>4</v>
      </c>
    </row>
    <row r="26" spans="1:14">
      <c r="B26" t="s">
        <v>31</v>
      </c>
      <c r="C26" s="21">
        <f>SUMIF('💰 Revenue (2)'!$D$2:$D$502,B26,'💰 Revenue (2)'!$J$2:$J$502)</f>
        <v>4169184.78</v>
      </c>
      <c r="D26" s="22">
        <f>AVERAGEIF('💰 Revenue (2)'!$D$2:$D$502,B26,'💰 Revenue (2)'!$J$2:$J$502)</f>
        <v>60422.967826086897</v>
      </c>
      <c r="E26" s="22"/>
      <c r="M26" t="s">
        <v>2277</v>
      </c>
      <c r="N26">
        <v>4</v>
      </c>
    </row>
    <row r="27" spans="1:14">
      <c r="B27" t="s">
        <v>47</v>
      </c>
      <c r="C27" s="21">
        <f>SUMIF('💰 Revenue (2)'!$D$2:$D$502,B27,'💰 Revenue (2)'!$J$2:$J$502)</f>
        <v>3712098.02</v>
      </c>
      <c r="D27" s="22">
        <f>AVERAGEIF('💰 Revenue (2)'!$D$2:$D$502,B27,'💰 Revenue (2)'!$J$2:$J$502)</f>
        <v>60854.065901639296</v>
      </c>
      <c r="E27" s="22"/>
      <c r="F27" s="5">
        <v>6</v>
      </c>
      <c r="G27" s="5"/>
      <c r="M27" t="s">
        <v>2278</v>
      </c>
      <c r="N27">
        <v>4</v>
      </c>
    </row>
    <row r="28" spans="1:14">
      <c r="B28" t="s">
        <v>63</v>
      </c>
      <c r="C28" s="21">
        <f>SUMIF('💰 Revenue (2)'!$D$2:$D$502,B28,'💰 Revenue (2)'!$J$2:$J$502)</f>
        <v>3141979</v>
      </c>
      <c r="D28" s="22">
        <f>AVERAGEIF('💰 Revenue (2)'!$D$2:$D$502,B28,'💰 Revenue (2)'!$J$2:$J$502)</f>
        <v>46895.208955223898</v>
      </c>
      <c r="E28" s="22"/>
      <c r="G28" s="5">
        <f>AVERAGE('💰 Revenue (2)'!$F$2:$F$502)</f>
        <v>69.596996838557004</v>
      </c>
      <c r="M28" t="s">
        <v>2279</v>
      </c>
      <c r="N28">
        <v>4</v>
      </c>
    </row>
    <row r="29" spans="1:14">
      <c r="B29" t="s">
        <v>73</v>
      </c>
      <c r="C29" s="21">
        <f>SUMIF('💰 Revenue (2)'!$D$2:$D$502,B29,'💰 Revenue (2)'!$J$2:$J$502)</f>
        <v>4111871.52</v>
      </c>
      <c r="D29" s="22">
        <f>AVERAGEIF('💰 Revenue (2)'!$D$2:$D$502,B29,'💰 Revenue (2)'!$J$2:$J$502)</f>
        <v>61371.216716417897</v>
      </c>
      <c r="E29" s="22"/>
      <c r="M29" t="s">
        <v>2280</v>
      </c>
      <c r="N29">
        <v>4</v>
      </c>
    </row>
    <row r="30" spans="1:14">
      <c r="B30" t="s">
        <v>94</v>
      </c>
      <c r="C30" s="21">
        <f>SUMIF('💰 Revenue (2)'!$D$2:$D$502,B30,'💰 Revenue (2)'!$J$2:$J$502)</f>
        <v>3426879.11</v>
      </c>
      <c r="D30" s="22">
        <f>AVERAGEIF('💰 Revenue (2)'!$D$2:$D$502,B30,'💰 Revenue (2)'!$J$2:$J$502)</f>
        <v>63460.724259259303</v>
      </c>
      <c r="E30" s="22"/>
      <c r="M30" t="s">
        <v>2281</v>
      </c>
      <c r="N30">
        <v>4</v>
      </c>
    </row>
    <row r="31" spans="1:14" ht="15.75">
      <c r="B31" t="s">
        <v>115</v>
      </c>
      <c r="C31" s="21">
        <f>SUMIF('💰 Revenue (2)'!$D$2:$D$502,B31,'💰 Revenue (2)'!$J$2:$J$502)</f>
        <v>3299355.59</v>
      </c>
      <c r="D31" s="22">
        <f>AVERAGEIF('💰 Revenue (2)'!$D$2:$D$502,B31,'💰 Revenue (2)'!$J$2:$J$502)</f>
        <v>51552.431093749998</v>
      </c>
      <c r="E31" s="22"/>
      <c r="G31" s="23" t="s">
        <v>2196</v>
      </c>
      <c r="M31" t="s">
        <v>2282</v>
      </c>
      <c r="N31">
        <v>4</v>
      </c>
    </row>
    <row r="32" spans="1:14">
      <c r="B32" t="s">
        <v>192</v>
      </c>
      <c r="C32" s="21">
        <f>SUMIF('💰 Revenue (2)'!$D$2:$D$502,B32,'💰 Revenue (2)'!$J$2:$J$502)</f>
        <v>2910867.21</v>
      </c>
      <c r="D32" s="22">
        <f>AVERAGEIF('💰 Revenue (2)'!$D$2:$D$502,B32,'💰 Revenue (2)'!$J$2:$J$502)</f>
        <v>49336.732372881401</v>
      </c>
      <c r="E32" s="22"/>
      <c r="F32">
        <v>7</v>
      </c>
      <c r="G32" s="5" t="s">
        <v>2283</v>
      </c>
      <c r="M32" t="s">
        <v>2284</v>
      </c>
      <c r="N32">
        <v>3</v>
      </c>
    </row>
    <row r="33" spans="2:14">
      <c r="C33" s="21"/>
      <c r="G33" s="5" t="s">
        <v>2285</v>
      </c>
      <c r="M33" t="s">
        <v>2286</v>
      </c>
      <c r="N33">
        <v>3</v>
      </c>
    </row>
    <row r="34" spans="2:14">
      <c r="G34" s="5" t="s">
        <v>2287</v>
      </c>
      <c r="M34" t="s">
        <v>2288</v>
      </c>
      <c r="N34">
        <v>3</v>
      </c>
    </row>
    <row r="35" spans="2:14">
      <c r="B35" s="62" t="s">
        <v>2289</v>
      </c>
      <c r="C35" s="62"/>
      <c r="D35" s="62"/>
      <c r="E35" s="62"/>
      <c r="G35" s="5"/>
      <c r="M35" t="s">
        <v>2290</v>
      </c>
      <c r="N35">
        <v>3</v>
      </c>
    </row>
    <row r="36" spans="2:14">
      <c r="M36" t="s">
        <v>2291</v>
      </c>
      <c r="N36">
        <v>3</v>
      </c>
    </row>
    <row r="37" spans="2:14">
      <c r="B37" t="s">
        <v>13</v>
      </c>
      <c r="C37" t="s">
        <v>2292</v>
      </c>
      <c r="M37" t="s">
        <v>2293</v>
      </c>
      <c r="N37">
        <v>3</v>
      </c>
    </row>
    <row r="38" spans="2:14">
      <c r="B38" t="s">
        <v>60</v>
      </c>
      <c r="C38">
        <f>AVERAGEIF('✈ Flights (2)'!$N$2:$N$501,"Economy",'✈ Flights (2)'!$M$2:$M$501)</f>
        <v>586.99406028368799</v>
      </c>
      <c r="M38" t="s">
        <v>2294</v>
      </c>
      <c r="N38">
        <v>3</v>
      </c>
    </row>
    <row r="39" spans="2:14">
      <c r="B39" t="s">
        <v>44</v>
      </c>
      <c r="C39">
        <f>AVERAGEIF('✈ Flights (2)'!$N$2:$N$501,"Business",'✈ Flights (2)'!$M$2:$M$501)</f>
        <v>624.39862942066895</v>
      </c>
      <c r="M39" t="s">
        <v>2295</v>
      </c>
      <c r="N39">
        <v>3</v>
      </c>
    </row>
    <row r="40" spans="2:14">
      <c r="B40" t="s">
        <v>27</v>
      </c>
      <c r="C40">
        <f>AVERAGEIF('✈ Flights (2)'!$N$2:$N$501,"First Class",'✈ Flights (2)'!$M$2:$M$501)</f>
        <v>634.106501203991</v>
      </c>
      <c r="M40" t="s">
        <v>2296</v>
      </c>
      <c r="N40">
        <v>3</v>
      </c>
    </row>
    <row r="41" spans="2:14">
      <c r="M41" t="s">
        <v>2297</v>
      </c>
      <c r="N41">
        <v>3</v>
      </c>
    </row>
    <row r="42" spans="2:14">
      <c r="M42" t="s">
        <v>2298</v>
      </c>
      <c r="N42">
        <v>3</v>
      </c>
    </row>
    <row r="43" spans="2:14">
      <c r="B43" s="64" t="s">
        <v>2232</v>
      </c>
      <c r="C43" s="64"/>
      <c r="D43" s="64"/>
      <c r="M43" t="s">
        <v>2299</v>
      </c>
      <c r="N43">
        <v>3</v>
      </c>
    </row>
    <row r="44" spans="2:14">
      <c r="M44" t="s">
        <v>2300</v>
      </c>
      <c r="N44">
        <v>3</v>
      </c>
    </row>
    <row r="45" spans="2:14">
      <c r="B45" t="s">
        <v>3</v>
      </c>
      <c r="C45" t="s">
        <v>2301</v>
      </c>
      <c r="M45" t="s">
        <v>2302</v>
      </c>
      <c r="N45">
        <v>3</v>
      </c>
    </row>
    <row r="46" spans="2:14">
      <c r="B46" t="s">
        <v>94</v>
      </c>
      <c r="C46" s="24">
        <v>5204994.5633430202</v>
      </c>
      <c r="M46" t="s">
        <v>2303</v>
      </c>
      <c r="N46">
        <v>3</v>
      </c>
    </row>
    <row r="47" spans="2:14">
      <c r="B47" t="s">
        <v>63</v>
      </c>
      <c r="C47" s="24">
        <v>5403300.8071366297</v>
      </c>
      <c r="M47" t="s">
        <v>2304</v>
      </c>
      <c r="N47">
        <v>3</v>
      </c>
    </row>
    <row r="48" spans="2:14">
      <c r="B48" t="s">
        <v>47</v>
      </c>
      <c r="C48" s="24">
        <v>5660190.6780701801</v>
      </c>
      <c r="M48" t="s">
        <v>2305</v>
      </c>
      <c r="N48">
        <v>3</v>
      </c>
    </row>
    <row r="49" spans="2:14">
      <c r="B49" t="s">
        <v>73</v>
      </c>
      <c r="C49" s="24">
        <v>6084130.6482848804</v>
      </c>
      <c r="M49" t="s">
        <v>2306</v>
      </c>
      <c r="N49">
        <v>3</v>
      </c>
    </row>
    <row r="50" spans="2:14">
      <c r="B50" t="s">
        <v>31</v>
      </c>
      <c r="C50" s="24">
        <v>6470138.3600000003</v>
      </c>
      <c r="M50" t="s">
        <v>2307</v>
      </c>
      <c r="N50">
        <v>3</v>
      </c>
    </row>
    <row r="51" spans="2:14">
      <c r="M51" t="s">
        <v>2308</v>
      </c>
      <c r="N51">
        <v>3</v>
      </c>
    </row>
    <row r="52" spans="2:14">
      <c r="M52" t="s">
        <v>2309</v>
      </c>
      <c r="N52">
        <v>3</v>
      </c>
    </row>
    <row r="53" spans="2:14">
      <c r="B53" s="62" t="s">
        <v>17</v>
      </c>
      <c r="C53" s="62"/>
      <c r="M53" t="s">
        <v>2310</v>
      </c>
      <c r="N53">
        <v>3</v>
      </c>
    </row>
    <row r="54" spans="2:14">
      <c r="M54" t="s">
        <v>2311</v>
      </c>
      <c r="N54">
        <v>3</v>
      </c>
    </row>
    <row r="55" spans="2:14">
      <c r="B55" t="s">
        <v>2312</v>
      </c>
      <c r="C55" t="s">
        <v>2252</v>
      </c>
      <c r="M55" t="s">
        <v>2313</v>
      </c>
      <c r="N55">
        <v>3</v>
      </c>
    </row>
    <row r="56" spans="2:14">
      <c r="B56" s="25" t="s">
        <v>2314</v>
      </c>
      <c r="C56">
        <f>COUNTIFS('✈ Flights (2)'!$T$2:$T$501,0)</f>
        <v>367</v>
      </c>
      <c r="M56" t="s">
        <v>2315</v>
      </c>
      <c r="N56">
        <v>3</v>
      </c>
    </row>
    <row r="57" spans="2:14">
      <c r="B57" t="s">
        <v>2316</v>
      </c>
      <c r="C57">
        <f>COUNTIFS('✈ Flights (2)'!$T$2:$T$501,"&gt;0",'✈ Flights (2)'!$T$2:$T$501,"&lt;=30")</f>
        <v>15</v>
      </c>
      <c r="M57" t="s">
        <v>2317</v>
      </c>
      <c r="N57">
        <v>3</v>
      </c>
    </row>
    <row r="58" spans="2:14">
      <c r="B58" t="s">
        <v>2318</v>
      </c>
      <c r="C58">
        <f>COUNTIFS('✈ Flights (2)'!$T$2:$T$501,"&gt;30",'✈ Flights (2)'!$T$2:$T$501,"&lt;=60")</f>
        <v>27</v>
      </c>
      <c r="M58" t="s">
        <v>2319</v>
      </c>
      <c r="N58">
        <v>3</v>
      </c>
    </row>
    <row r="59" spans="2:14">
      <c r="B59" t="s">
        <v>2320</v>
      </c>
      <c r="C59">
        <f>COUNTIFS('✈ Flights (2)'!$T$2:$T$501,"&gt;60",'✈ Flights (2)'!$T$2:$T$501,"&lt;=90")</f>
        <v>23</v>
      </c>
      <c r="M59" t="s">
        <v>2321</v>
      </c>
      <c r="N59">
        <v>3</v>
      </c>
    </row>
    <row r="60" spans="2:14">
      <c r="B60" t="s">
        <v>2322</v>
      </c>
      <c r="C60">
        <f>COUNTIFS('✈ Flights (2)'!$T$2:$T$501,"&gt;90",'✈ Flights (2)'!$T$2:$T$501,"&lt;=120")</f>
        <v>23</v>
      </c>
      <c r="M60" t="s">
        <v>2323</v>
      </c>
      <c r="N60">
        <v>3</v>
      </c>
    </row>
    <row r="61" spans="2:14">
      <c r="B61" t="s">
        <v>2324</v>
      </c>
      <c r="C61">
        <f>COUNTIFS('✈ Flights (2)'!$T$2:$T$501,"&gt;120",'✈ Flights (2)'!$T$2:$T$501,"&lt;=150")</f>
        <v>21</v>
      </c>
      <c r="M61" t="s">
        <v>2325</v>
      </c>
      <c r="N61">
        <v>3</v>
      </c>
    </row>
    <row r="62" spans="2:14">
      <c r="B62" s="26" t="s">
        <v>2326</v>
      </c>
      <c r="C62">
        <f>COUNTIFS('✈ Flights (2)'!$T$2:$T$501,"&gt;150",'✈ Flights (2)'!$T$2:$T$501,"&lt;=180")</f>
        <v>24</v>
      </c>
      <c r="D62" s="26"/>
      <c r="E62" s="26"/>
      <c r="M62" t="s">
        <v>2327</v>
      </c>
      <c r="N62">
        <v>3</v>
      </c>
    </row>
    <row r="63" spans="2:14">
      <c r="M63" t="s">
        <v>2328</v>
      </c>
      <c r="N63">
        <v>3</v>
      </c>
    </row>
    <row r="64" spans="2:14">
      <c r="B64" s="64" t="s">
        <v>2329</v>
      </c>
      <c r="C64" s="64"/>
      <c r="D64" s="64"/>
      <c r="M64" t="s">
        <v>2330</v>
      </c>
      <c r="N64">
        <v>3</v>
      </c>
    </row>
    <row r="65" spans="2:14">
      <c r="M65" t="s">
        <v>2331</v>
      </c>
      <c r="N65">
        <v>3</v>
      </c>
    </row>
    <row r="66" spans="2:14">
      <c r="B66" t="s">
        <v>3</v>
      </c>
      <c r="C66" t="s">
        <v>2332</v>
      </c>
      <c r="M66" t="s">
        <v>2333</v>
      </c>
      <c r="N66">
        <v>3</v>
      </c>
    </row>
    <row r="67" spans="2:14">
      <c r="B67" t="s">
        <v>31</v>
      </c>
      <c r="C67">
        <f>AVERAGEIF('✈ Flights (2)'!$C$2:$C$501,"Southwest",'✈ Flights (2)'!$Q$2:$Q$501)</f>
        <v>66.331758914475998</v>
      </c>
      <c r="M67" t="s">
        <v>2334</v>
      </c>
      <c r="N67">
        <v>3</v>
      </c>
    </row>
    <row r="68" spans="2:14">
      <c r="B68" t="s">
        <v>47</v>
      </c>
      <c r="C68">
        <f>AVERAGEIF('✈ Flights (2)'!$C$2:$C$501,"Alaska",'✈ Flights (2)'!$Q$2:$Q$501)</f>
        <v>64.463336382171207</v>
      </c>
      <c r="M68" t="s">
        <v>2335</v>
      </c>
      <c r="N68">
        <v>3</v>
      </c>
    </row>
    <row r="69" spans="2:14">
      <c r="B69" t="s">
        <v>20</v>
      </c>
      <c r="C69">
        <f>AVERAGEIF('✈ Flights (2)'!$C$2:$C$501,"Delta",'✈ Flights (2)'!$Q$2:$Q$501)</f>
        <v>62.6785982827572</v>
      </c>
      <c r="M69" t="s">
        <v>2336</v>
      </c>
      <c r="N69">
        <v>3</v>
      </c>
    </row>
    <row r="70" spans="2:14">
      <c r="B70" t="s">
        <v>115</v>
      </c>
      <c r="C70">
        <f>AVERAGEIF('✈ Flights (2)'!$C$2:$C$501,"Frontier",'✈ Flights (2)'!$Q$2:$Q$501)</f>
        <v>62.0681507541629</v>
      </c>
      <c r="M70" t="s">
        <v>2337</v>
      </c>
      <c r="N70">
        <v>3</v>
      </c>
    </row>
    <row r="71" spans="2:14">
      <c r="B71" t="s">
        <v>63</v>
      </c>
      <c r="C71">
        <f>AVERAGEIF('✈ Flights (2)'!$C$2:$C$501,"American",'✈ Flights (2)'!$Q$2:$Q$501)</f>
        <v>61.675340287807302</v>
      </c>
      <c r="M71" t="s">
        <v>2338</v>
      </c>
      <c r="N71">
        <v>2</v>
      </c>
    </row>
    <row r="72" spans="2:14">
      <c r="B72" t="s">
        <v>94</v>
      </c>
      <c r="C72">
        <f>AVERAGEIF('✈ Flights (2)'!$C$2:$C$501,"United",'✈ Flights (2)'!$Q$2:$Q$501)</f>
        <v>61.6163376932479</v>
      </c>
      <c r="M72" t="s">
        <v>2339</v>
      </c>
      <c r="N72">
        <v>2</v>
      </c>
    </row>
    <row r="73" spans="2:14">
      <c r="B73" t="s">
        <v>73</v>
      </c>
      <c r="C73">
        <f>AVERAGEIF('✈ Flights (2)'!$C$2:$C$501,"Spirit",'✈ Flights (2)'!$Q$2:$Q$501)</f>
        <v>60.596170760131898</v>
      </c>
      <c r="M73" t="s">
        <v>2340</v>
      </c>
      <c r="N73">
        <v>2</v>
      </c>
    </row>
    <row r="74" spans="2:14">
      <c r="B74" t="s">
        <v>192</v>
      </c>
      <c r="C74">
        <f>AVERAGEIF('✈ Flights (2)'!$C$2:$C$501,"JetBlue",'✈ Flights (2)'!$Q$2:$Q$501)</f>
        <v>58.717656198185097</v>
      </c>
      <c r="M74" t="s">
        <v>2341</v>
      </c>
      <c r="N74">
        <v>2</v>
      </c>
    </row>
    <row r="75" spans="2:14">
      <c r="M75" t="s">
        <v>2342</v>
      </c>
      <c r="N75">
        <v>2</v>
      </c>
    </row>
    <row r="76" spans="2:14">
      <c r="M76" t="s">
        <v>2343</v>
      </c>
      <c r="N76">
        <v>2</v>
      </c>
    </row>
    <row r="77" spans="2:14">
      <c r="B77" s="64" t="s">
        <v>2344</v>
      </c>
      <c r="C77" s="64"/>
      <c r="D77" s="64"/>
      <c r="E77" s="64"/>
      <c r="G77" s="64" t="s">
        <v>2345</v>
      </c>
      <c r="H77" s="64"/>
      <c r="I77" s="64"/>
      <c r="M77" t="s">
        <v>2346</v>
      </c>
      <c r="N77">
        <v>2</v>
      </c>
    </row>
    <row r="78" spans="2:14">
      <c r="M78" t="s">
        <v>2347</v>
      </c>
      <c r="N78">
        <v>2</v>
      </c>
    </row>
    <row r="79" spans="2:14">
      <c r="B79" t="s">
        <v>1465</v>
      </c>
      <c r="C79" t="s">
        <v>1466</v>
      </c>
      <c r="D79" t="s">
        <v>1495</v>
      </c>
      <c r="E79" t="s">
        <v>1496</v>
      </c>
      <c r="G79" t="s">
        <v>1466</v>
      </c>
      <c r="H79" t="s">
        <v>1495</v>
      </c>
      <c r="I79" t="s">
        <v>1496</v>
      </c>
      <c r="M79" t="s">
        <v>2348</v>
      </c>
      <c r="N79">
        <v>2</v>
      </c>
    </row>
    <row r="80" spans="2:14">
      <c r="B80" t="s">
        <v>198</v>
      </c>
      <c r="C80" t="s">
        <v>1475</v>
      </c>
      <c r="D80" s="27">
        <f>SUMIF('💰 Revenue (2)'!$C$2:$C$501,B80,'💰 Revenue (2)'!$E$2:$E$501)</f>
        <v>3387371.0263550598</v>
      </c>
      <c r="E80" s="27">
        <f>SUMIF('💰 Revenue (2)'!$C$2:$C$501,B80,'💰 Revenue (2)'!$G$2:$G$501)</f>
        <v>116115.5</v>
      </c>
      <c r="G80" t="s">
        <v>1475</v>
      </c>
      <c r="H80" s="27">
        <v>3387371.0263550598</v>
      </c>
      <c r="I80" s="27">
        <v>116115.5</v>
      </c>
      <c r="M80" t="s">
        <v>2349</v>
      </c>
      <c r="N80">
        <v>2</v>
      </c>
    </row>
    <row r="81" spans="2:14">
      <c r="B81" t="s">
        <v>41</v>
      </c>
      <c r="C81" t="s">
        <v>1486</v>
      </c>
      <c r="D81" s="27">
        <f>SUMIF('💰 Revenue (2)'!$C$2:$C$501,B81,'💰 Revenue (2)'!$E$2:$E$501)</f>
        <v>2946509.17</v>
      </c>
      <c r="E81" s="27">
        <f>SUMIF('💰 Revenue (2)'!$C$2:$C$501,B81,'💰 Revenue (2)'!$G$2:$G$501)</f>
        <v>88849.48</v>
      </c>
      <c r="G81" t="s">
        <v>1486</v>
      </c>
      <c r="H81" s="27">
        <v>2946509.17</v>
      </c>
      <c r="I81" s="27">
        <v>88849.48</v>
      </c>
      <c r="M81" t="s">
        <v>2350</v>
      </c>
      <c r="N81">
        <v>2</v>
      </c>
    </row>
    <row r="82" spans="2:14">
      <c r="B82" t="s">
        <v>80</v>
      </c>
      <c r="C82" t="s">
        <v>1487</v>
      </c>
      <c r="D82" s="27">
        <f>SUMIF('💰 Revenue (2)'!$C$2:$C$501,B82,'💰 Revenue (2)'!$E$2:$E$501)</f>
        <v>2836290.68</v>
      </c>
      <c r="E82" s="27">
        <f>SUMIF('💰 Revenue (2)'!$C$2:$C$501,B82,'💰 Revenue (2)'!$G$2:$G$501)</f>
        <v>91300.14</v>
      </c>
      <c r="G82" t="s">
        <v>1487</v>
      </c>
      <c r="H82" s="27">
        <v>2836290.68</v>
      </c>
      <c r="I82" s="27">
        <v>91300.14</v>
      </c>
      <c r="M82" t="s">
        <v>2351</v>
      </c>
      <c r="N82">
        <v>2</v>
      </c>
    </row>
    <row r="83" spans="2:14">
      <c r="B83" t="s">
        <v>57</v>
      </c>
      <c r="C83" t="s">
        <v>1473</v>
      </c>
      <c r="D83" s="27">
        <f>SUMIF('💰 Revenue (2)'!$C$2:$C$501,B83,'💰 Revenue (2)'!$E$2:$E$501)</f>
        <v>2508592.42</v>
      </c>
      <c r="E83" s="27">
        <f>SUMIF('💰 Revenue (2)'!$C$2:$C$501,B83,'💰 Revenue (2)'!$G$2:$G$501)</f>
        <v>118911.55</v>
      </c>
      <c r="G83" t="s">
        <v>1473</v>
      </c>
      <c r="H83" s="27">
        <v>2508592.42</v>
      </c>
      <c r="I83" s="27">
        <v>118911.55</v>
      </c>
      <c r="M83" t="s">
        <v>2352</v>
      </c>
      <c r="N83">
        <v>2</v>
      </c>
    </row>
    <row r="84" spans="2:14">
      <c r="B84" t="s">
        <v>157</v>
      </c>
      <c r="C84" t="s">
        <v>1482</v>
      </c>
      <c r="D84" s="27">
        <f>SUMIF('💰 Revenue (2)'!$C$2:$C$501,B84,'💰 Revenue (2)'!$E$2:$E$501)</f>
        <v>2421244.6033430202</v>
      </c>
      <c r="E84" s="27">
        <f>SUMIF('💰 Revenue (2)'!$C$2:$C$501,B84,'💰 Revenue (2)'!$G$2:$G$501)</f>
        <v>112403.77</v>
      </c>
      <c r="G84" t="s">
        <v>1482</v>
      </c>
      <c r="H84" s="27">
        <v>2421244.6033430202</v>
      </c>
      <c r="I84" s="27">
        <v>112403.77</v>
      </c>
      <c r="M84" t="s">
        <v>2353</v>
      </c>
      <c r="N84">
        <v>2</v>
      </c>
    </row>
    <row r="85" spans="2:14">
      <c r="B85" t="s">
        <v>67</v>
      </c>
      <c r="C85" t="s">
        <v>1484</v>
      </c>
      <c r="D85" s="27">
        <f>SUMIF('💰 Revenue (2)'!$C$2:$C$501,B85,'💰 Revenue (2)'!$E$2:$E$501)</f>
        <v>2399596.9500000002</v>
      </c>
      <c r="E85" s="27">
        <f>SUMIF('💰 Revenue (2)'!$C$2:$C$501,B85,'💰 Revenue (2)'!$G$2:$G$501)</f>
        <v>101833.3</v>
      </c>
      <c r="G85" t="s">
        <v>1484</v>
      </c>
      <c r="H85" s="27">
        <v>2399596.9500000002</v>
      </c>
      <c r="I85" s="27">
        <v>101833.3</v>
      </c>
      <c r="M85" t="s">
        <v>2354</v>
      </c>
      <c r="N85">
        <v>2</v>
      </c>
    </row>
    <row r="86" spans="2:14">
      <c r="B86" t="s">
        <v>117</v>
      </c>
      <c r="C86" t="s">
        <v>1488</v>
      </c>
      <c r="D86" s="27">
        <f>SUMIF('💰 Revenue (2)'!$C$2:$C$501,B86,'💰 Revenue (2)'!$E$2:$E$501)</f>
        <v>2303107.14</v>
      </c>
      <c r="E86" s="27">
        <f>SUMIF('💰 Revenue (2)'!$C$2:$C$501,B86,'💰 Revenue (2)'!$G$2:$G$501)</f>
        <v>92751.41</v>
      </c>
      <c r="G86" t="s">
        <v>1488</v>
      </c>
      <c r="H86" s="27">
        <v>2303107.14</v>
      </c>
      <c r="I86" s="27">
        <v>92751.41</v>
      </c>
      <c r="M86" t="s">
        <v>2355</v>
      </c>
      <c r="N86">
        <v>2</v>
      </c>
    </row>
    <row r="87" spans="2:14">
      <c r="B87" t="s">
        <v>65</v>
      </c>
      <c r="C87" t="s">
        <v>1483</v>
      </c>
      <c r="D87" s="27">
        <f>SUMIF('💰 Revenue (2)'!$C$2:$C$501,B87,'💰 Revenue (2)'!$E$2:$E$501)</f>
        <v>2210055.6421366301</v>
      </c>
      <c r="E87" s="27">
        <f>SUMIF('💰 Revenue (2)'!$C$2:$C$501,B87,'💰 Revenue (2)'!$G$2:$G$501)</f>
        <v>117783.71</v>
      </c>
      <c r="G87" t="s">
        <v>1483</v>
      </c>
      <c r="H87" s="27">
        <v>2210055.6421366301</v>
      </c>
      <c r="I87" s="27">
        <v>117783.71</v>
      </c>
      <c r="M87" t="s">
        <v>2356</v>
      </c>
      <c r="N87">
        <v>2</v>
      </c>
    </row>
    <row r="88" spans="2:14">
      <c r="B88" t="s">
        <v>74</v>
      </c>
      <c r="C88" t="s">
        <v>1490</v>
      </c>
      <c r="D88" s="27">
        <f>SUMIF('💰 Revenue (2)'!$C$2:$C$501,B88,'💰 Revenue (2)'!$E$2:$E$501)</f>
        <v>2203296.52</v>
      </c>
      <c r="E88" s="27">
        <f>SUMIF('💰 Revenue (2)'!$C$2:$C$501,B88,'💰 Revenue (2)'!$G$2:$G$501)</f>
        <v>82667.12</v>
      </c>
      <c r="M88" t="s">
        <v>2357</v>
      </c>
      <c r="N88">
        <v>2</v>
      </c>
    </row>
    <row r="89" spans="2:14">
      <c r="B89" t="s">
        <v>49</v>
      </c>
      <c r="C89" t="s">
        <v>1491</v>
      </c>
      <c r="D89" s="27">
        <f>SUMIF('💰 Revenue (2)'!$C$2:$C$501,B89,'💰 Revenue (2)'!$E$2:$E$501)</f>
        <v>2184158.71</v>
      </c>
      <c r="E89" s="27">
        <f>SUMIF('💰 Revenue (2)'!$C$2:$C$501,B89,'💰 Revenue (2)'!$G$2:$G$501)</f>
        <v>140920.79</v>
      </c>
      <c r="M89" t="s">
        <v>2358</v>
      </c>
      <c r="N89">
        <v>2</v>
      </c>
    </row>
    <row r="90" spans="2:14">
      <c r="B90" t="s">
        <v>102</v>
      </c>
      <c r="C90" t="s">
        <v>1476</v>
      </c>
      <c r="D90" s="27">
        <f>SUMIF('💰 Revenue (2)'!$C$2:$C$501,B90,'💰 Revenue (2)'!$E$2:$E$501)</f>
        <v>2154679.3849999998</v>
      </c>
      <c r="E90" s="27">
        <f>SUMIF('💰 Revenue (2)'!$C$2:$C$501,B90,'💰 Revenue (2)'!$G$2:$G$501)</f>
        <v>123044.56</v>
      </c>
      <c r="M90" t="s">
        <v>2359</v>
      </c>
      <c r="N90">
        <v>2</v>
      </c>
    </row>
    <row r="91" spans="2:14">
      <c r="B91" t="s">
        <v>22</v>
      </c>
      <c r="C91" t="s">
        <v>1480</v>
      </c>
      <c r="D91" s="27">
        <f>SUMIF('💰 Revenue (2)'!$C$2:$C$501,B91,'💰 Revenue (2)'!$E$2:$E$501)</f>
        <v>2077219.8674999999</v>
      </c>
      <c r="E91" s="27">
        <f>SUMIF('💰 Revenue (2)'!$C$2:$C$501,B91,'💰 Revenue (2)'!$G$2:$G$501)</f>
        <v>101226.16</v>
      </c>
      <c r="M91" t="s">
        <v>2360</v>
      </c>
      <c r="N91">
        <v>2</v>
      </c>
    </row>
    <row r="92" spans="2:14">
      <c r="B92" t="s">
        <v>130</v>
      </c>
      <c r="C92" t="s">
        <v>1485</v>
      </c>
      <c r="D92" s="27">
        <f>SUMIF('💰 Revenue (2)'!$C$2:$C$501,B92,'💰 Revenue (2)'!$E$2:$E$501)</f>
        <v>2001775.6875</v>
      </c>
      <c r="E92" s="27">
        <f>SUMIF('💰 Revenue (2)'!$C$2:$C$501,B92,'💰 Revenue (2)'!$G$2:$G$501)</f>
        <v>124150.9</v>
      </c>
      <c r="M92" t="s">
        <v>2361</v>
      </c>
      <c r="N92">
        <v>2</v>
      </c>
    </row>
    <row r="93" spans="2:14">
      <c r="B93" t="s">
        <v>39</v>
      </c>
      <c r="C93" t="s">
        <v>1477</v>
      </c>
      <c r="D93" s="27">
        <f>SUMIF('💰 Revenue (2)'!$C$2:$C$501,B93,'💰 Revenue (2)'!$E$2:$E$501)</f>
        <v>1774603.97</v>
      </c>
      <c r="E93" s="27">
        <f>SUMIF('💰 Revenue (2)'!$C$2:$C$501,B93,'💰 Revenue (2)'!$G$2:$G$501)</f>
        <v>85351.05</v>
      </c>
      <c r="M93" t="s">
        <v>2362</v>
      </c>
      <c r="N93">
        <v>2</v>
      </c>
    </row>
    <row r="94" spans="2:14">
      <c r="B94" t="s">
        <v>175</v>
      </c>
      <c r="C94" t="s">
        <v>1471</v>
      </c>
      <c r="D94" s="27">
        <f>SUMIF('💰 Revenue (2)'!$C$2:$C$501,B94,'💰 Revenue (2)'!$E$2:$E$501)</f>
        <v>1774397.01</v>
      </c>
      <c r="E94" s="27">
        <f>SUMIF('💰 Revenue (2)'!$C$2:$C$501,B94,'💰 Revenue (2)'!$G$2:$G$501)</f>
        <v>97655.02</v>
      </c>
      <c r="M94" t="s">
        <v>2363</v>
      </c>
      <c r="N94">
        <v>2</v>
      </c>
    </row>
    <row r="95" spans="2:14">
      <c r="B95" t="s">
        <v>33</v>
      </c>
      <c r="C95" t="s">
        <v>1489</v>
      </c>
      <c r="D95" s="27">
        <f>SUMIF('💰 Revenue (2)'!$C$2:$C$501,B95,'💰 Revenue (2)'!$E$2:$E$501)</f>
        <v>1761505.04</v>
      </c>
      <c r="E95" s="27">
        <f>SUMIF('💰 Revenue (2)'!$C$2:$C$501,B95,'💰 Revenue (2)'!$G$2:$G$501)</f>
        <v>83613.210000000006</v>
      </c>
      <c r="M95" t="s">
        <v>2364</v>
      </c>
      <c r="N95">
        <v>2</v>
      </c>
    </row>
    <row r="96" spans="2:14">
      <c r="B96" t="s">
        <v>96</v>
      </c>
      <c r="C96" t="s">
        <v>1481</v>
      </c>
      <c r="D96" s="27">
        <f>SUMIF('💰 Revenue (2)'!$C$2:$C$501,B96,'💰 Revenue (2)'!$E$2:$E$501)</f>
        <v>1706215.425</v>
      </c>
      <c r="E96" s="27">
        <f>SUMIF('💰 Revenue (2)'!$C$2:$C$501,B96,'💰 Revenue (2)'!$G$2:$G$501)</f>
        <v>90757.7</v>
      </c>
      <c r="M96" t="s">
        <v>2365</v>
      </c>
      <c r="N96">
        <v>2</v>
      </c>
    </row>
    <row r="97" spans="2:14">
      <c r="B97" t="s">
        <v>55</v>
      </c>
      <c r="C97" t="s">
        <v>1474</v>
      </c>
      <c r="D97" s="27">
        <f>SUMIF('💰 Revenue (2)'!$C$2:$C$501,B97,'💰 Revenue (2)'!$E$2:$E$501)</f>
        <v>1636955.56</v>
      </c>
      <c r="E97" s="27">
        <f>SUMIF('💰 Revenue (2)'!$C$2:$C$501,B97,'💰 Revenue (2)'!$G$2:$G$501)</f>
        <v>85359.69</v>
      </c>
      <c r="M97" t="s">
        <v>2366</v>
      </c>
      <c r="N97">
        <v>2</v>
      </c>
    </row>
    <row r="98" spans="2:14">
      <c r="B98" t="s">
        <v>24</v>
      </c>
      <c r="C98" t="s">
        <v>1479</v>
      </c>
      <c r="D98" s="27">
        <f>SUMIF('💰 Revenue (2)'!$C$2:$C$501,B98,'💰 Revenue (2)'!$E$2:$E$501)</f>
        <v>1561724.3725000001</v>
      </c>
      <c r="E98" s="27">
        <f>SUMIF('💰 Revenue (2)'!$C$2:$C$501,B98,'💰 Revenue (2)'!$G$2:$G$501)</f>
        <v>94415.93</v>
      </c>
      <c r="M98" t="s">
        <v>2367</v>
      </c>
      <c r="N98">
        <v>2</v>
      </c>
    </row>
    <row r="99" spans="2:14">
      <c r="B99" t="s">
        <v>184</v>
      </c>
      <c r="C99" t="s">
        <v>1478</v>
      </c>
      <c r="D99" s="27">
        <f>SUMIF('💰 Revenue (2)'!$C$2:$C$501,B99,'💰 Revenue (2)'!$E$2:$E$501)</f>
        <v>1492093.2949999999</v>
      </c>
      <c r="E99" s="27">
        <f>SUMIF('💰 Revenue (2)'!$C$2:$C$501,B99,'💰 Revenue (2)'!$G$2:$G$501)</f>
        <v>56313.53</v>
      </c>
      <c r="M99" t="s">
        <v>2368</v>
      </c>
      <c r="N99">
        <v>2</v>
      </c>
    </row>
    <row r="100" spans="2:14">
      <c r="M100" t="s">
        <v>2369</v>
      </c>
      <c r="N100">
        <v>2</v>
      </c>
    </row>
    <row r="101" spans="2:14">
      <c r="M101" t="s">
        <v>2370</v>
      </c>
      <c r="N101">
        <v>2</v>
      </c>
    </row>
    <row r="102" spans="2:14">
      <c r="M102" t="s">
        <v>2371</v>
      </c>
      <c r="N102">
        <v>2</v>
      </c>
    </row>
    <row r="103" spans="2:14">
      <c r="M103" t="s">
        <v>2372</v>
      </c>
      <c r="N103">
        <v>2</v>
      </c>
    </row>
    <row r="104" spans="2:14">
      <c r="M104" t="s">
        <v>2373</v>
      </c>
      <c r="N104">
        <v>2</v>
      </c>
    </row>
    <row r="105" spans="2:14">
      <c r="M105" t="s">
        <v>2374</v>
      </c>
      <c r="N105">
        <v>2</v>
      </c>
    </row>
    <row r="106" spans="2:14">
      <c r="M106" t="s">
        <v>2375</v>
      </c>
      <c r="N106">
        <v>2</v>
      </c>
    </row>
    <row r="107" spans="2:14">
      <c r="M107" t="s">
        <v>2376</v>
      </c>
      <c r="N107">
        <v>2</v>
      </c>
    </row>
    <row r="108" spans="2:14">
      <c r="M108" t="s">
        <v>2377</v>
      </c>
      <c r="N108">
        <v>2</v>
      </c>
    </row>
    <row r="109" spans="2:14">
      <c r="M109" t="s">
        <v>2378</v>
      </c>
      <c r="N109">
        <v>2</v>
      </c>
    </row>
    <row r="110" spans="2:14">
      <c r="M110" t="s">
        <v>2379</v>
      </c>
      <c r="N110">
        <v>2</v>
      </c>
    </row>
    <row r="111" spans="2:14">
      <c r="M111" t="s">
        <v>2380</v>
      </c>
      <c r="N111">
        <v>2</v>
      </c>
    </row>
    <row r="112" spans="2:14">
      <c r="M112" t="s">
        <v>2381</v>
      </c>
      <c r="N112">
        <v>2</v>
      </c>
    </row>
    <row r="113" spans="13:14">
      <c r="M113" t="s">
        <v>2382</v>
      </c>
      <c r="N113">
        <v>2</v>
      </c>
    </row>
    <row r="114" spans="13:14">
      <c r="M114" t="s">
        <v>2383</v>
      </c>
      <c r="N114">
        <v>2</v>
      </c>
    </row>
    <row r="115" spans="13:14">
      <c r="M115" t="s">
        <v>2384</v>
      </c>
      <c r="N115">
        <v>2</v>
      </c>
    </row>
    <row r="116" spans="13:14">
      <c r="M116" t="s">
        <v>2385</v>
      </c>
      <c r="N116">
        <v>2</v>
      </c>
    </row>
    <row r="117" spans="13:14">
      <c r="M117" t="s">
        <v>2386</v>
      </c>
      <c r="N117">
        <v>2</v>
      </c>
    </row>
    <row r="118" spans="13:14">
      <c r="M118" t="s">
        <v>2387</v>
      </c>
      <c r="N118">
        <v>2</v>
      </c>
    </row>
    <row r="119" spans="13:14">
      <c r="M119" t="s">
        <v>2388</v>
      </c>
      <c r="N119">
        <v>2</v>
      </c>
    </row>
    <row r="120" spans="13:14">
      <c r="M120" t="s">
        <v>2389</v>
      </c>
      <c r="N120">
        <v>2</v>
      </c>
    </row>
    <row r="121" spans="13:14">
      <c r="M121" t="s">
        <v>2390</v>
      </c>
      <c r="N121">
        <v>2</v>
      </c>
    </row>
    <row r="122" spans="13:14">
      <c r="M122" t="s">
        <v>2391</v>
      </c>
      <c r="N122">
        <v>2</v>
      </c>
    </row>
    <row r="123" spans="13:14">
      <c r="M123" t="s">
        <v>2392</v>
      </c>
      <c r="N123">
        <v>2</v>
      </c>
    </row>
    <row r="124" spans="13:14">
      <c r="M124" t="s">
        <v>2393</v>
      </c>
      <c r="N124">
        <v>2</v>
      </c>
    </row>
    <row r="125" spans="13:14">
      <c r="M125" t="s">
        <v>2394</v>
      </c>
      <c r="N125">
        <v>2</v>
      </c>
    </row>
    <row r="126" spans="13:14">
      <c r="M126" t="s">
        <v>2395</v>
      </c>
      <c r="N126">
        <v>2</v>
      </c>
    </row>
    <row r="127" spans="13:14">
      <c r="M127" t="s">
        <v>2396</v>
      </c>
      <c r="N127">
        <v>2</v>
      </c>
    </row>
    <row r="128" spans="13:14">
      <c r="M128" t="s">
        <v>2397</v>
      </c>
      <c r="N128">
        <v>2</v>
      </c>
    </row>
    <row r="129" spans="13:14">
      <c r="M129" t="s">
        <v>2398</v>
      </c>
      <c r="N129">
        <v>2</v>
      </c>
    </row>
    <row r="130" spans="13:14">
      <c r="M130" t="s">
        <v>2399</v>
      </c>
      <c r="N130">
        <v>2</v>
      </c>
    </row>
    <row r="131" spans="13:14">
      <c r="M131" t="s">
        <v>2400</v>
      </c>
      <c r="N131">
        <v>2</v>
      </c>
    </row>
    <row r="132" spans="13:14">
      <c r="M132" t="s">
        <v>2401</v>
      </c>
      <c r="N132">
        <v>2</v>
      </c>
    </row>
    <row r="133" spans="13:14">
      <c r="M133" t="s">
        <v>2402</v>
      </c>
      <c r="N133">
        <v>2</v>
      </c>
    </row>
    <row r="134" spans="13:14">
      <c r="M134" t="s">
        <v>2403</v>
      </c>
      <c r="N134">
        <v>2</v>
      </c>
    </row>
    <row r="135" spans="13:14">
      <c r="M135" t="s">
        <v>2404</v>
      </c>
      <c r="N135">
        <v>2</v>
      </c>
    </row>
    <row r="136" spans="13:14">
      <c r="M136" t="s">
        <v>2405</v>
      </c>
      <c r="N136">
        <v>2</v>
      </c>
    </row>
    <row r="137" spans="13:14">
      <c r="M137" t="s">
        <v>2406</v>
      </c>
      <c r="N137">
        <v>2</v>
      </c>
    </row>
    <row r="138" spans="13:14">
      <c r="M138" t="s">
        <v>2407</v>
      </c>
      <c r="N138">
        <v>2</v>
      </c>
    </row>
    <row r="139" spans="13:14">
      <c r="M139" t="s">
        <v>2408</v>
      </c>
      <c r="N139">
        <v>2</v>
      </c>
    </row>
    <row r="140" spans="13:14">
      <c r="M140" t="s">
        <v>2409</v>
      </c>
      <c r="N140">
        <v>2</v>
      </c>
    </row>
    <row r="141" spans="13:14">
      <c r="M141" t="s">
        <v>2410</v>
      </c>
      <c r="N141">
        <v>2</v>
      </c>
    </row>
    <row r="142" spans="13:14">
      <c r="M142" t="s">
        <v>2411</v>
      </c>
      <c r="N142">
        <v>2</v>
      </c>
    </row>
    <row r="143" spans="13:14">
      <c r="M143" t="s">
        <v>2412</v>
      </c>
      <c r="N143">
        <v>2</v>
      </c>
    </row>
    <row r="144" spans="13:14">
      <c r="M144" t="s">
        <v>2413</v>
      </c>
      <c r="N144">
        <v>2</v>
      </c>
    </row>
    <row r="145" spans="13:14">
      <c r="M145" t="s">
        <v>2414</v>
      </c>
      <c r="N145">
        <v>2</v>
      </c>
    </row>
    <row r="146" spans="13:14">
      <c r="M146" t="s">
        <v>2415</v>
      </c>
      <c r="N146">
        <v>2</v>
      </c>
    </row>
    <row r="147" spans="13:14">
      <c r="M147" t="s">
        <v>2416</v>
      </c>
      <c r="N147">
        <v>2</v>
      </c>
    </row>
    <row r="148" spans="13:14">
      <c r="M148" t="s">
        <v>2417</v>
      </c>
      <c r="N148">
        <v>2</v>
      </c>
    </row>
    <row r="149" spans="13:14">
      <c r="M149" t="s">
        <v>2418</v>
      </c>
      <c r="N149">
        <v>2</v>
      </c>
    </row>
    <row r="150" spans="13:14">
      <c r="M150" t="s">
        <v>2419</v>
      </c>
      <c r="N150">
        <v>2</v>
      </c>
    </row>
    <row r="151" spans="13:14">
      <c r="M151" t="s">
        <v>2420</v>
      </c>
      <c r="N151">
        <v>2</v>
      </c>
    </row>
    <row r="152" spans="13:14">
      <c r="M152" t="s">
        <v>2421</v>
      </c>
      <c r="N152">
        <v>2</v>
      </c>
    </row>
    <row r="153" spans="13:14">
      <c r="M153" t="s">
        <v>2422</v>
      </c>
      <c r="N153">
        <v>2</v>
      </c>
    </row>
    <row r="154" spans="13:14">
      <c r="M154" t="s">
        <v>2423</v>
      </c>
      <c r="N154">
        <v>2</v>
      </c>
    </row>
    <row r="155" spans="13:14">
      <c r="M155" t="s">
        <v>2424</v>
      </c>
      <c r="N155">
        <v>2</v>
      </c>
    </row>
    <row r="156" spans="13:14">
      <c r="M156" t="s">
        <v>2425</v>
      </c>
      <c r="N156">
        <v>2</v>
      </c>
    </row>
    <row r="157" spans="13:14">
      <c r="M157" t="s">
        <v>2426</v>
      </c>
      <c r="N157">
        <v>1</v>
      </c>
    </row>
    <row r="158" spans="13:14">
      <c r="M158" t="s">
        <v>2427</v>
      </c>
      <c r="N158">
        <v>1</v>
      </c>
    </row>
    <row r="159" spans="13:14">
      <c r="M159" t="s">
        <v>2428</v>
      </c>
      <c r="N159">
        <v>1</v>
      </c>
    </row>
    <row r="160" spans="13:14">
      <c r="M160" t="s">
        <v>2429</v>
      </c>
      <c r="N160">
        <v>1</v>
      </c>
    </row>
    <row r="161" spans="13:14">
      <c r="M161" t="s">
        <v>2430</v>
      </c>
      <c r="N161">
        <v>1</v>
      </c>
    </row>
    <row r="162" spans="13:14">
      <c r="M162" t="s">
        <v>2431</v>
      </c>
      <c r="N162">
        <v>1</v>
      </c>
    </row>
    <row r="163" spans="13:14">
      <c r="M163" t="s">
        <v>2432</v>
      </c>
      <c r="N163">
        <v>1</v>
      </c>
    </row>
    <row r="164" spans="13:14">
      <c r="M164" t="s">
        <v>2433</v>
      </c>
      <c r="N164">
        <v>1</v>
      </c>
    </row>
    <row r="165" spans="13:14">
      <c r="M165" t="s">
        <v>2434</v>
      </c>
      <c r="N165">
        <v>1</v>
      </c>
    </row>
    <row r="166" spans="13:14">
      <c r="M166" t="s">
        <v>2435</v>
      </c>
      <c r="N166">
        <v>1</v>
      </c>
    </row>
    <row r="167" spans="13:14">
      <c r="M167" t="s">
        <v>2436</v>
      </c>
      <c r="N167">
        <v>1</v>
      </c>
    </row>
    <row r="168" spans="13:14">
      <c r="M168" t="s">
        <v>2437</v>
      </c>
      <c r="N168">
        <v>1</v>
      </c>
    </row>
    <row r="169" spans="13:14">
      <c r="M169" t="s">
        <v>2438</v>
      </c>
      <c r="N169">
        <v>1</v>
      </c>
    </row>
    <row r="170" spans="13:14">
      <c r="M170" t="s">
        <v>2439</v>
      </c>
      <c r="N170">
        <v>1</v>
      </c>
    </row>
    <row r="171" spans="13:14">
      <c r="M171" t="s">
        <v>2440</v>
      </c>
      <c r="N171">
        <v>1</v>
      </c>
    </row>
    <row r="172" spans="13:14">
      <c r="M172" t="s">
        <v>2441</v>
      </c>
      <c r="N172">
        <v>1</v>
      </c>
    </row>
    <row r="173" spans="13:14">
      <c r="M173" t="s">
        <v>2442</v>
      </c>
      <c r="N173">
        <v>1</v>
      </c>
    </row>
    <row r="174" spans="13:14">
      <c r="M174" t="s">
        <v>2443</v>
      </c>
      <c r="N174">
        <v>1</v>
      </c>
    </row>
    <row r="175" spans="13:14">
      <c r="M175" t="s">
        <v>2444</v>
      </c>
      <c r="N175">
        <v>1</v>
      </c>
    </row>
    <row r="176" spans="13:14">
      <c r="M176" t="s">
        <v>2445</v>
      </c>
      <c r="N176">
        <v>1</v>
      </c>
    </row>
    <row r="177" spans="13:14">
      <c r="M177" t="s">
        <v>2446</v>
      </c>
      <c r="N177">
        <v>1</v>
      </c>
    </row>
    <row r="178" spans="13:14">
      <c r="M178" t="s">
        <v>2447</v>
      </c>
      <c r="N178">
        <v>1</v>
      </c>
    </row>
    <row r="179" spans="13:14">
      <c r="M179" t="s">
        <v>2448</v>
      </c>
      <c r="N179">
        <v>1</v>
      </c>
    </row>
    <row r="180" spans="13:14">
      <c r="M180" t="s">
        <v>2449</v>
      </c>
      <c r="N180">
        <v>1</v>
      </c>
    </row>
    <row r="181" spans="13:14">
      <c r="M181" t="s">
        <v>2450</v>
      </c>
      <c r="N181">
        <v>1</v>
      </c>
    </row>
    <row r="182" spans="13:14">
      <c r="M182" t="s">
        <v>2451</v>
      </c>
      <c r="N182">
        <v>1</v>
      </c>
    </row>
    <row r="183" spans="13:14">
      <c r="M183" t="s">
        <v>2452</v>
      </c>
      <c r="N183">
        <v>1</v>
      </c>
    </row>
    <row r="184" spans="13:14">
      <c r="M184" t="s">
        <v>2453</v>
      </c>
      <c r="N184">
        <v>1</v>
      </c>
    </row>
    <row r="185" spans="13:14">
      <c r="M185" t="s">
        <v>2454</v>
      </c>
      <c r="N185">
        <v>1</v>
      </c>
    </row>
    <row r="186" spans="13:14">
      <c r="M186" t="s">
        <v>2455</v>
      </c>
      <c r="N186">
        <v>1</v>
      </c>
    </row>
    <row r="187" spans="13:14">
      <c r="M187" t="s">
        <v>2456</v>
      </c>
      <c r="N187">
        <v>1</v>
      </c>
    </row>
    <row r="188" spans="13:14">
      <c r="M188" t="s">
        <v>2457</v>
      </c>
      <c r="N188">
        <v>1</v>
      </c>
    </row>
    <row r="189" spans="13:14">
      <c r="M189" t="s">
        <v>2458</v>
      </c>
      <c r="N189">
        <v>1</v>
      </c>
    </row>
    <row r="190" spans="13:14">
      <c r="M190" t="s">
        <v>2459</v>
      </c>
      <c r="N190">
        <v>1</v>
      </c>
    </row>
    <row r="191" spans="13:14">
      <c r="M191" t="s">
        <v>2460</v>
      </c>
      <c r="N191">
        <v>1</v>
      </c>
    </row>
    <row r="192" spans="13:14">
      <c r="M192" t="s">
        <v>2461</v>
      </c>
      <c r="N192">
        <v>1</v>
      </c>
    </row>
    <row r="193" spans="13:14">
      <c r="M193" t="s">
        <v>2462</v>
      </c>
      <c r="N193">
        <v>1</v>
      </c>
    </row>
    <row r="194" spans="13:14">
      <c r="M194" t="s">
        <v>2463</v>
      </c>
      <c r="N194">
        <v>1</v>
      </c>
    </row>
    <row r="195" spans="13:14">
      <c r="M195" t="s">
        <v>2464</v>
      </c>
      <c r="N195">
        <v>1</v>
      </c>
    </row>
    <row r="196" spans="13:14">
      <c r="M196" t="s">
        <v>2465</v>
      </c>
      <c r="N196">
        <v>1</v>
      </c>
    </row>
    <row r="197" spans="13:14">
      <c r="M197" t="s">
        <v>2466</v>
      </c>
      <c r="N197">
        <v>1</v>
      </c>
    </row>
    <row r="198" spans="13:14">
      <c r="M198" t="s">
        <v>2467</v>
      </c>
      <c r="N198">
        <v>1</v>
      </c>
    </row>
    <row r="199" spans="13:14">
      <c r="M199" t="s">
        <v>2468</v>
      </c>
      <c r="N199">
        <v>1</v>
      </c>
    </row>
    <row r="200" spans="13:14">
      <c r="M200" t="s">
        <v>2469</v>
      </c>
      <c r="N200">
        <v>1</v>
      </c>
    </row>
    <row r="201" spans="13:14">
      <c r="M201" t="s">
        <v>2470</v>
      </c>
      <c r="N201">
        <v>1</v>
      </c>
    </row>
    <row r="202" spans="13:14">
      <c r="M202" t="s">
        <v>2471</v>
      </c>
      <c r="N202">
        <v>1</v>
      </c>
    </row>
    <row r="203" spans="13:14">
      <c r="M203" t="s">
        <v>2472</v>
      </c>
      <c r="N203">
        <v>1</v>
      </c>
    </row>
    <row r="204" spans="13:14">
      <c r="M204" t="s">
        <v>2473</v>
      </c>
      <c r="N204">
        <v>1</v>
      </c>
    </row>
    <row r="205" spans="13:14">
      <c r="M205" t="s">
        <v>2474</v>
      </c>
      <c r="N205">
        <v>1</v>
      </c>
    </row>
    <row r="206" spans="13:14">
      <c r="M206" t="s">
        <v>2475</v>
      </c>
      <c r="N206">
        <v>1</v>
      </c>
    </row>
    <row r="207" spans="13:14">
      <c r="M207" t="s">
        <v>2476</v>
      </c>
      <c r="N207">
        <v>1</v>
      </c>
    </row>
    <row r="208" spans="13:14">
      <c r="M208" t="s">
        <v>2477</v>
      </c>
      <c r="N208">
        <v>1</v>
      </c>
    </row>
    <row r="209" spans="13:14">
      <c r="M209" t="s">
        <v>2478</v>
      </c>
      <c r="N209">
        <v>1</v>
      </c>
    </row>
    <row r="210" spans="13:14">
      <c r="M210" t="s">
        <v>2479</v>
      </c>
      <c r="N210">
        <v>1</v>
      </c>
    </row>
    <row r="211" spans="13:14">
      <c r="M211" t="s">
        <v>2480</v>
      </c>
      <c r="N211">
        <v>1</v>
      </c>
    </row>
    <row r="212" spans="13:14">
      <c r="M212" t="s">
        <v>2481</v>
      </c>
      <c r="N212">
        <v>1</v>
      </c>
    </row>
    <row r="213" spans="13:14">
      <c r="M213" t="s">
        <v>2482</v>
      </c>
      <c r="N213">
        <v>1</v>
      </c>
    </row>
    <row r="214" spans="13:14">
      <c r="M214" t="s">
        <v>2483</v>
      </c>
      <c r="N214">
        <v>1</v>
      </c>
    </row>
    <row r="215" spans="13:14">
      <c r="M215" t="s">
        <v>2484</v>
      </c>
      <c r="N215">
        <v>1</v>
      </c>
    </row>
    <row r="216" spans="13:14">
      <c r="M216" t="s">
        <v>2485</v>
      </c>
      <c r="N216">
        <v>1</v>
      </c>
    </row>
    <row r="217" spans="13:14">
      <c r="M217" t="s">
        <v>2486</v>
      </c>
      <c r="N217">
        <v>1</v>
      </c>
    </row>
    <row r="218" spans="13:14">
      <c r="M218" t="s">
        <v>2487</v>
      </c>
      <c r="N218">
        <v>1</v>
      </c>
    </row>
    <row r="219" spans="13:14">
      <c r="M219" t="s">
        <v>2488</v>
      </c>
      <c r="N219">
        <v>1</v>
      </c>
    </row>
    <row r="220" spans="13:14">
      <c r="M220" t="s">
        <v>2489</v>
      </c>
      <c r="N220">
        <v>1</v>
      </c>
    </row>
    <row r="221" spans="13:14">
      <c r="M221" t="s">
        <v>2490</v>
      </c>
      <c r="N221">
        <v>1</v>
      </c>
    </row>
    <row r="222" spans="13:14">
      <c r="M222" t="s">
        <v>2491</v>
      </c>
      <c r="N222">
        <v>1</v>
      </c>
    </row>
    <row r="223" spans="13:14">
      <c r="M223" t="s">
        <v>2492</v>
      </c>
      <c r="N223">
        <v>1</v>
      </c>
    </row>
    <row r="224" spans="13:14">
      <c r="M224" t="s">
        <v>2493</v>
      </c>
      <c r="N224">
        <v>1</v>
      </c>
    </row>
    <row r="225" spans="13:14">
      <c r="M225" t="s">
        <v>2494</v>
      </c>
      <c r="N225">
        <v>1</v>
      </c>
    </row>
    <row r="226" spans="13:14">
      <c r="M226" t="s">
        <v>2495</v>
      </c>
      <c r="N226">
        <v>1</v>
      </c>
    </row>
    <row r="227" spans="13:14">
      <c r="M227" t="s">
        <v>2496</v>
      </c>
      <c r="N227">
        <v>1</v>
      </c>
    </row>
    <row r="228" spans="13:14">
      <c r="M228" t="s">
        <v>2497</v>
      </c>
      <c r="N228">
        <v>1</v>
      </c>
    </row>
    <row r="229" spans="13:14">
      <c r="M229" t="s">
        <v>2498</v>
      </c>
      <c r="N229">
        <v>1</v>
      </c>
    </row>
    <row r="230" spans="13:14">
      <c r="M230" t="s">
        <v>2499</v>
      </c>
      <c r="N230">
        <v>1</v>
      </c>
    </row>
    <row r="231" spans="13:14">
      <c r="M231" t="s">
        <v>2500</v>
      </c>
      <c r="N231">
        <v>1</v>
      </c>
    </row>
    <row r="232" spans="13:14">
      <c r="M232" t="s">
        <v>2501</v>
      </c>
      <c r="N232">
        <v>1</v>
      </c>
    </row>
    <row r="233" spans="13:14">
      <c r="M233" t="s">
        <v>2502</v>
      </c>
      <c r="N233">
        <v>1</v>
      </c>
    </row>
    <row r="234" spans="13:14">
      <c r="M234" t="s">
        <v>2503</v>
      </c>
      <c r="N234">
        <v>1</v>
      </c>
    </row>
    <row r="235" spans="13:14">
      <c r="M235" t="s">
        <v>2504</v>
      </c>
      <c r="N235">
        <v>1</v>
      </c>
    </row>
    <row r="236" spans="13:14">
      <c r="M236" t="s">
        <v>2505</v>
      </c>
      <c r="N236">
        <v>1</v>
      </c>
    </row>
    <row r="237" spans="13:14">
      <c r="M237" t="s">
        <v>2506</v>
      </c>
      <c r="N237">
        <v>1</v>
      </c>
    </row>
    <row r="238" spans="13:14">
      <c r="M238" t="s">
        <v>2507</v>
      </c>
      <c r="N238">
        <v>1</v>
      </c>
    </row>
    <row r="239" spans="13:14">
      <c r="M239" t="s">
        <v>2508</v>
      </c>
      <c r="N239">
        <v>1</v>
      </c>
    </row>
    <row r="240" spans="13:14">
      <c r="M240" t="s">
        <v>2509</v>
      </c>
      <c r="N240">
        <v>1</v>
      </c>
    </row>
    <row r="241" spans="13:14">
      <c r="M241" t="s">
        <v>2510</v>
      </c>
      <c r="N241">
        <v>1</v>
      </c>
    </row>
    <row r="242" spans="13:14">
      <c r="M242" t="s">
        <v>2511</v>
      </c>
      <c r="N242">
        <v>1</v>
      </c>
    </row>
    <row r="243" spans="13:14">
      <c r="M243" t="s">
        <v>2512</v>
      </c>
      <c r="N243">
        <v>1</v>
      </c>
    </row>
    <row r="244" spans="13:14">
      <c r="M244" t="s">
        <v>2513</v>
      </c>
      <c r="N244">
        <v>1</v>
      </c>
    </row>
    <row r="245" spans="13:14">
      <c r="M245" t="s">
        <v>2514</v>
      </c>
      <c r="N245">
        <v>1</v>
      </c>
    </row>
    <row r="246" spans="13:14">
      <c r="M246" t="s">
        <v>2515</v>
      </c>
      <c r="N246">
        <v>1</v>
      </c>
    </row>
    <row r="247" spans="13:14">
      <c r="M247" t="s">
        <v>2516</v>
      </c>
      <c r="N247">
        <v>1</v>
      </c>
    </row>
    <row r="248" spans="13:14">
      <c r="M248" t="s">
        <v>2517</v>
      </c>
      <c r="N248">
        <v>1</v>
      </c>
    </row>
    <row r="249" spans="13:14">
      <c r="M249" t="s">
        <v>2518</v>
      </c>
      <c r="N249">
        <v>1</v>
      </c>
    </row>
    <row r="250" spans="13:14">
      <c r="M250" t="s">
        <v>2519</v>
      </c>
      <c r="N250">
        <v>1</v>
      </c>
    </row>
    <row r="251" spans="13:14">
      <c r="M251" t="s">
        <v>2520</v>
      </c>
      <c r="N251">
        <v>1</v>
      </c>
    </row>
    <row r="252" spans="13:14">
      <c r="M252" t="s">
        <v>2521</v>
      </c>
      <c r="N252">
        <v>1</v>
      </c>
    </row>
    <row r="253" spans="13:14">
      <c r="M253" t="s">
        <v>2522</v>
      </c>
      <c r="N253">
        <v>1</v>
      </c>
    </row>
    <row r="254" spans="13:14">
      <c r="M254" t="s">
        <v>2523</v>
      </c>
      <c r="N254">
        <v>1</v>
      </c>
    </row>
    <row r="255" spans="13:14">
      <c r="M255" t="s">
        <v>2524</v>
      </c>
      <c r="N255">
        <v>1</v>
      </c>
    </row>
    <row r="256" spans="13:14">
      <c r="M256" t="s">
        <v>2525</v>
      </c>
      <c r="N256">
        <v>1</v>
      </c>
    </row>
    <row r="257" spans="13:14">
      <c r="M257" t="s">
        <v>2526</v>
      </c>
      <c r="N257">
        <v>1</v>
      </c>
    </row>
    <row r="258" spans="13:14">
      <c r="M258" t="s">
        <v>2527</v>
      </c>
      <c r="N258">
        <v>1</v>
      </c>
    </row>
    <row r="259" spans="13:14">
      <c r="M259" t="s">
        <v>2528</v>
      </c>
      <c r="N259">
        <v>1</v>
      </c>
    </row>
    <row r="260" spans="13:14">
      <c r="M260" t="s">
        <v>2529</v>
      </c>
      <c r="N260">
        <v>1</v>
      </c>
    </row>
    <row r="261" spans="13:14">
      <c r="M261" t="s">
        <v>2530</v>
      </c>
      <c r="N261">
        <v>1</v>
      </c>
    </row>
    <row r="262" spans="13:14">
      <c r="M262" t="s">
        <v>2531</v>
      </c>
      <c r="N262">
        <v>1</v>
      </c>
    </row>
    <row r="263" spans="13:14">
      <c r="M263" t="s">
        <v>2532</v>
      </c>
      <c r="N263">
        <v>1</v>
      </c>
    </row>
    <row r="264" spans="13:14">
      <c r="M264" t="s">
        <v>2533</v>
      </c>
      <c r="N264">
        <v>1</v>
      </c>
    </row>
    <row r="265" spans="13:14">
      <c r="M265" t="s">
        <v>2534</v>
      </c>
      <c r="N265">
        <v>1</v>
      </c>
    </row>
    <row r="266" spans="13:14">
      <c r="M266" t="s">
        <v>2535</v>
      </c>
      <c r="N266">
        <v>1</v>
      </c>
    </row>
    <row r="267" spans="13:14">
      <c r="M267" t="s">
        <v>2536</v>
      </c>
      <c r="N267">
        <v>1</v>
      </c>
    </row>
    <row r="268" spans="13:14">
      <c r="M268" t="s">
        <v>2537</v>
      </c>
      <c r="N268">
        <v>1</v>
      </c>
    </row>
    <row r="269" spans="13:14">
      <c r="M269" t="s">
        <v>2538</v>
      </c>
      <c r="N269">
        <v>1</v>
      </c>
    </row>
    <row r="270" spans="13:14">
      <c r="M270" t="s">
        <v>2539</v>
      </c>
      <c r="N270">
        <v>1</v>
      </c>
    </row>
    <row r="271" spans="13:14">
      <c r="M271" t="s">
        <v>1461</v>
      </c>
      <c r="N271">
        <v>500</v>
      </c>
    </row>
  </sheetData>
  <mergeCells count="12">
    <mergeCell ref="G77:I77"/>
    <mergeCell ref="M5:N6"/>
    <mergeCell ref="B35:E35"/>
    <mergeCell ref="B43:D43"/>
    <mergeCell ref="B53:C53"/>
    <mergeCell ref="B64:D64"/>
    <mergeCell ref="B77:E77"/>
    <mergeCell ref="A5:C5"/>
    <mergeCell ref="F5:G5"/>
    <mergeCell ref="H5:K5"/>
    <mergeCell ref="A15:C15"/>
    <mergeCell ref="A19:C19"/>
  </mergeCells>
  <pageMargins left="0.75" right="0.75" top="1" bottom="1" header="0.5" footer="0.5"/>
  <drawing r:id="rId2"/>
  <tableParts count="10">
    <tablePart r:id="rId3"/>
    <tablePart r:id="rId4"/>
    <tablePart r:id="rId5"/>
    <tablePart r:id="rId6"/>
    <tablePart r:id="rId7"/>
    <tablePart r:id="rId8"/>
    <tablePart r:id="rId9"/>
    <tablePart r:id="rId10"/>
    <tablePart r:id="rId11"/>
    <tablePart r:id="rId1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H143"/>
  <sheetViews>
    <sheetView topLeftCell="A16" workbookViewId="0">
      <selection activeCell="F89" sqref="F89:G94"/>
    </sheetView>
  </sheetViews>
  <sheetFormatPr defaultColWidth="9.140625" defaultRowHeight="15"/>
  <cols>
    <col min="2" max="2" width="15.7109375"/>
    <col min="3" max="3" width="17.5703125"/>
    <col min="4" max="4" width="8.85546875"/>
    <col min="5" max="5" width="9.28515625"/>
    <col min="6" max="6" width="12.140625"/>
    <col min="7" max="7" width="22.140625"/>
  </cols>
  <sheetData>
    <row r="2" spans="2:8">
      <c r="B2" s="64" t="s">
        <v>2200</v>
      </c>
      <c r="C2" s="64"/>
      <c r="D2" s="64"/>
      <c r="E2" s="64"/>
      <c r="F2" s="64"/>
    </row>
    <row r="4" spans="2:8">
      <c r="H4" s="5"/>
    </row>
    <row r="5" spans="2:8">
      <c r="B5" t="s">
        <v>1460</v>
      </c>
      <c r="C5" t="s">
        <v>16</v>
      </c>
    </row>
    <row r="6" spans="2:8">
      <c r="B6" t="s">
        <v>3</v>
      </c>
      <c r="C6" t="s">
        <v>149</v>
      </c>
      <c r="D6" t="s">
        <v>70</v>
      </c>
      <c r="E6" t="s">
        <v>28</v>
      </c>
    </row>
    <row r="7" spans="2:8">
      <c r="B7" t="s">
        <v>47</v>
      </c>
      <c r="C7">
        <v>5</v>
      </c>
      <c r="D7">
        <v>15</v>
      </c>
      <c r="E7">
        <v>41</v>
      </c>
    </row>
    <row r="8" spans="2:8">
      <c r="B8" t="s">
        <v>63</v>
      </c>
      <c r="C8">
        <v>6</v>
      </c>
      <c r="D8">
        <v>17</v>
      </c>
      <c r="E8">
        <v>44</v>
      </c>
    </row>
    <row r="9" spans="2:8">
      <c r="B9" t="s">
        <v>20</v>
      </c>
      <c r="C9">
        <v>3</v>
      </c>
      <c r="D9">
        <v>17</v>
      </c>
      <c r="E9">
        <v>39</v>
      </c>
    </row>
    <row r="10" spans="2:8">
      <c r="B10" t="s">
        <v>115</v>
      </c>
      <c r="C10">
        <v>3</v>
      </c>
      <c r="D10">
        <v>16</v>
      </c>
      <c r="E10">
        <v>45</v>
      </c>
    </row>
    <row r="11" spans="2:8">
      <c r="B11" t="s">
        <v>1462</v>
      </c>
      <c r="C11">
        <v>1</v>
      </c>
      <c r="D11">
        <v>14</v>
      </c>
      <c r="E11">
        <v>44</v>
      </c>
    </row>
    <row r="12" spans="2:8">
      <c r="B12" t="s">
        <v>31</v>
      </c>
      <c r="C12">
        <v>3</v>
      </c>
      <c r="D12">
        <v>22</v>
      </c>
      <c r="E12">
        <v>44</v>
      </c>
    </row>
    <row r="13" spans="2:8">
      <c r="B13" t="s">
        <v>73</v>
      </c>
      <c r="C13">
        <v>2</v>
      </c>
      <c r="D13">
        <v>22</v>
      </c>
      <c r="E13">
        <v>43</v>
      </c>
    </row>
    <row r="14" spans="2:8">
      <c r="B14" t="s">
        <v>94</v>
      </c>
      <c r="C14">
        <v>3</v>
      </c>
      <c r="D14">
        <v>16</v>
      </c>
      <c r="E14">
        <v>35</v>
      </c>
    </row>
    <row r="19" spans="2:6">
      <c r="B19" s="62" t="s">
        <v>2203</v>
      </c>
      <c r="C19" s="62"/>
      <c r="D19" s="62"/>
      <c r="E19" s="62"/>
    </row>
    <row r="22" spans="2:6">
      <c r="B22" t="s">
        <v>2540</v>
      </c>
      <c r="C22" t="s">
        <v>13</v>
      </c>
    </row>
    <row r="23" spans="2:6">
      <c r="B23" t="s">
        <v>3</v>
      </c>
      <c r="C23" t="s">
        <v>44</v>
      </c>
      <c r="D23" t="s">
        <v>60</v>
      </c>
      <c r="E23" t="s">
        <v>27</v>
      </c>
      <c r="F23" t="s">
        <v>1463</v>
      </c>
    </row>
    <row r="24" spans="2:6">
      <c r="B24" t="s">
        <v>47</v>
      </c>
      <c r="C24" s="6">
        <v>588.105416666667</v>
      </c>
      <c r="D24" s="6">
        <v>651.57500000000005</v>
      </c>
      <c r="E24" s="6">
        <v>698.95376023391805</v>
      </c>
      <c r="F24" s="6">
        <v>778.62666666666701</v>
      </c>
    </row>
    <row r="25" spans="2:6">
      <c r="B25" t="s">
        <v>63</v>
      </c>
      <c r="C25" s="6">
        <v>541.48441514396404</v>
      </c>
      <c r="D25" s="6">
        <v>592.35500000000002</v>
      </c>
      <c r="E25" s="6">
        <v>592.22576923076895</v>
      </c>
      <c r="F25" s="6">
        <v>637.64800000000002</v>
      </c>
    </row>
    <row r="26" spans="2:6">
      <c r="B26" t="s">
        <v>20</v>
      </c>
      <c r="C26" s="6">
        <v>727.19394736842105</v>
      </c>
      <c r="D26" s="6">
        <v>620.11133333333305</v>
      </c>
      <c r="E26" s="6">
        <v>563.63543478260897</v>
      </c>
      <c r="F26" s="6">
        <v>650.44500000000005</v>
      </c>
    </row>
    <row r="27" spans="2:6">
      <c r="B27" t="s">
        <v>115</v>
      </c>
      <c r="C27" s="6">
        <v>494.50312500000001</v>
      </c>
      <c r="D27" s="6">
        <v>528.23923913043495</v>
      </c>
      <c r="E27" s="6">
        <v>592.70799999999997</v>
      </c>
      <c r="F27" s="6">
        <v>765.79</v>
      </c>
    </row>
    <row r="28" spans="2:6">
      <c r="B28" t="s">
        <v>1462</v>
      </c>
      <c r="C28" s="6">
        <v>506.38749999999999</v>
      </c>
      <c r="D28" s="6">
        <v>481.76388888888903</v>
      </c>
      <c r="E28" s="6">
        <v>706.03130434782599</v>
      </c>
      <c r="F28" s="6">
        <v>345.13499999999999</v>
      </c>
    </row>
    <row r="29" spans="2:6">
      <c r="B29" t="s">
        <v>31</v>
      </c>
      <c r="C29" s="6">
        <v>705.82045454545505</v>
      </c>
      <c r="D29" s="6">
        <v>612.63660000000004</v>
      </c>
      <c r="E29" s="6">
        <v>624.73874999999998</v>
      </c>
      <c r="F29" s="6">
        <v>797.84500000000003</v>
      </c>
    </row>
    <row r="30" spans="2:6">
      <c r="B30" t="s">
        <v>73</v>
      </c>
      <c r="C30" s="6">
        <v>702.97251557309005</v>
      </c>
      <c r="D30" s="6">
        <v>617.23210526315802</v>
      </c>
      <c r="E30" s="6">
        <v>608.42705882352902</v>
      </c>
      <c r="F30" s="6">
        <v>665.20333333333303</v>
      </c>
    </row>
    <row r="31" spans="2:6">
      <c r="B31" t="s">
        <v>94</v>
      </c>
      <c r="C31" s="6">
        <v>685.12830094859203</v>
      </c>
      <c r="D31" s="6">
        <v>632.71166666666704</v>
      </c>
      <c r="E31" s="6">
        <v>691.74428571428598</v>
      </c>
      <c r="F31" s="6">
        <v>826.11500000000001</v>
      </c>
    </row>
    <row r="41" spans="2:6">
      <c r="B41" s="62" t="s">
        <v>2209</v>
      </c>
      <c r="C41" s="62"/>
      <c r="D41" s="62"/>
      <c r="E41" s="62"/>
      <c r="F41" s="62"/>
    </row>
    <row r="42" spans="2:6">
      <c r="B42" s="62"/>
      <c r="C42" s="62"/>
      <c r="D42" s="62"/>
      <c r="E42" s="62"/>
      <c r="F42" s="62"/>
    </row>
    <row r="46" spans="2:6">
      <c r="B46" t="s">
        <v>1459</v>
      </c>
      <c r="C46" t="s">
        <v>1460</v>
      </c>
    </row>
    <row r="47" spans="2:6">
      <c r="B47" t="s">
        <v>2541</v>
      </c>
      <c r="C47">
        <v>12</v>
      </c>
    </row>
    <row r="48" spans="2:6">
      <c r="B48" t="s">
        <v>2542</v>
      </c>
      <c r="C48">
        <v>11</v>
      </c>
    </row>
    <row r="49" spans="2:3">
      <c r="B49" t="s">
        <v>2543</v>
      </c>
      <c r="C49">
        <v>17</v>
      </c>
    </row>
    <row r="50" spans="2:3">
      <c r="B50" t="s">
        <v>2544</v>
      </c>
      <c r="C50">
        <v>17</v>
      </c>
    </row>
    <row r="51" spans="2:3">
      <c r="B51" t="s">
        <v>2545</v>
      </c>
      <c r="C51">
        <v>11</v>
      </c>
    </row>
    <row r="52" spans="2:3">
      <c r="B52" t="s">
        <v>2546</v>
      </c>
      <c r="C52">
        <v>18</v>
      </c>
    </row>
    <row r="53" spans="2:3">
      <c r="B53" t="s">
        <v>2547</v>
      </c>
      <c r="C53">
        <v>21</v>
      </c>
    </row>
    <row r="54" spans="2:3">
      <c r="B54" t="s">
        <v>2548</v>
      </c>
      <c r="C54">
        <v>14</v>
      </c>
    </row>
    <row r="55" spans="2:3">
      <c r="B55" t="s">
        <v>2549</v>
      </c>
      <c r="C55">
        <v>14</v>
      </c>
    </row>
    <row r="56" spans="2:3">
      <c r="B56" t="s">
        <v>2550</v>
      </c>
      <c r="C56">
        <v>18</v>
      </c>
    </row>
    <row r="57" spans="2:3">
      <c r="B57" t="s">
        <v>2551</v>
      </c>
      <c r="C57">
        <v>15</v>
      </c>
    </row>
    <row r="58" spans="2:3">
      <c r="B58" t="s">
        <v>2552</v>
      </c>
      <c r="C58">
        <v>12</v>
      </c>
    </row>
    <row r="59" spans="2:3">
      <c r="B59" t="s">
        <v>2553</v>
      </c>
      <c r="C59">
        <v>11</v>
      </c>
    </row>
    <row r="60" spans="2:3">
      <c r="B60" t="s">
        <v>2554</v>
      </c>
      <c r="C60">
        <v>9</v>
      </c>
    </row>
    <row r="61" spans="2:3">
      <c r="B61" t="s">
        <v>2555</v>
      </c>
      <c r="C61">
        <v>15</v>
      </c>
    </row>
    <row r="62" spans="2:3">
      <c r="B62" t="s">
        <v>2556</v>
      </c>
      <c r="C62">
        <v>7</v>
      </c>
    </row>
    <row r="63" spans="2:3">
      <c r="B63" t="s">
        <v>2557</v>
      </c>
      <c r="C63">
        <v>19</v>
      </c>
    </row>
    <row r="64" spans="2:3">
      <c r="B64" t="s">
        <v>2558</v>
      </c>
      <c r="C64">
        <v>12</v>
      </c>
    </row>
    <row r="65" spans="2:3">
      <c r="B65" t="s">
        <v>2559</v>
      </c>
      <c r="C65">
        <v>13</v>
      </c>
    </row>
    <row r="66" spans="2:3">
      <c r="B66" t="s">
        <v>2560</v>
      </c>
      <c r="C66">
        <v>10</v>
      </c>
    </row>
    <row r="67" spans="2:3">
      <c r="B67" t="s">
        <v>2561</v>
      </c>
      <c r="C67">
        <v>12</v>
      </c>
    </row>
    <row r="68" spans="2:3">
      <c r="B68" t="s">
        <v>2562</v>
      </c>
      <c r="C68">
        <v>14</v>
      </c>
    </row>
    <row r="69" spans="2:3">
      <c r="B69" t="s">
        <v>2563</v>
      </c>
      <c r="C69">
        <v>16</v>
      </c>
    </row>
    <row r="70" spans="2:3">
      <c r="B70" t="s">
        <v>2564</v>
      </c>
      <c r="C70">
        <v>13</v>
      </c>
    </row>
    <row r="71" spans="2:3">
      <c r="B71" t="s">
        <v>2565</v>
      </c>
      <c r="C71">
        <v>16</v>
      </c>
    </row>
    <row r="72" spans="2:3">
      <c r="B72" t="s">
        <v>2566</v>
      </c>
      <c r="C72">
        <v>15</v>
      </c>
    </row>
    <row r="73" spans="2:3">
      <c r="B73" t="s">
        <v>2567</v>
      </c>
      <c r="C73">
        <v>15</v>
      </c>
    </row>
    <row r="74" spans="2:3">
      <c r="B74" t="s">
        <v>2568</v>
      </c>
      <c r="C74">
        <v>9</v>
      </c>
    </row>
    <row r="75" spans="2:3">
      <c r="B75" t="s">
        <v>2569</v>
      </c>
      <c r="C75">
        <v>21</v>
      </c>
    </row>
    <row r="76" spans="2:3">
      <c r="B76" t="s">
        <v>2570</v>
      </c>
      <c r="C76">
        <v>15</v>
      </c>
    </row>
    <row r="77" spans="2:3">
      <c r="B77" t="s">
        <v>2571</v>
      </c>
      <c r="C77">
        <v>13</v>
      </c>
    </row>
    <row r="78" spans="2:3">
      <c r="B78" t="s">
        <v>2572</v>
      </c>
      <c r="C78">
        <v>14</v>
      </c>
    </row>
    <row r="79" spans="2:3">
      <c r="B79" t="s">
        <v>2573</v>
      </c>
      <c r="C79">
        <v>12</v>
      </c>
    </row>
    <row r="80" spans="2:3">
      <c r="B80" t="s">
        <v>2574</v>
      </c>
      <c r="C80">
        <v>10</v>
      </c>
    </row>
    <row r="81" spans="2:7">
      <c r="B81" t="s">
        <v>2575</v>
      </c>
      <c r="C81">
        <v>13</v>
      </c>
    </row>
    <row r="82" spans="2:7">
      <c r="B82" t="s">
        <v>2576</v>
      </c>
      <c r="C82">
        <v>16</v>
      </c>
    </row>
    <row r="86" spans="2:7">
      <c r="C86" s="64" t="s">
        <v>2206</v>
      </c>
      <c r="D86" s="64"/>
      <c r="E86" s="64"/>
    </row>
    <row r="88" spans="2:7">
      <c r="B88" s="7"/>
      <c r="C88" s="8"/>
      <c r="D88" s="9"/>
    </row>
    <row r="89" spans="2:7">
      <c r="B89" s="10"/>
      <c r="C89" s="11"/>
      <c r="D89" s="12"/>
      <c r="F89" t="s">
        <v>3</v>
      </c>
      <c r="G89" t="s">
        <v>2301</v>
      </c>
    </row>
    <row r="90" spans="2:7">
      <c r="B90" s="10"/>
      <c r="C90" s="11"/>
      <c r="D90" s="12"/>
      <c r="F90" t="s">
        <v>31</v>
      </c>
      <c r="G90">
        <v>6470138.3600000003</v>
      </c>
    </row>
    <row r="91" spans="2:7">
      <c r="B91" s="10"/>
      <c r="C91" s="11"/>
      <c r="D91" s="12"/>
      <c r="F91" t="s">
        <v>73</v>
      </c>
      <c r="G91">
        <v>6084130.6482848804</v>
      </c>
    </row>
    <row r="92" spans="2:7">
      <c r="B92" s="10"/>
      <c r="C92" s="11"/>
      <c r="D92" s="12"/>
      <c r="F92" t="s">
        <v>47</v>
      </c>
      <c r="G92">
        <v>5660190.6780701801</v>
      </c>
    </row>
    <row r="93" spans="2:7">
      <c r="B93" s="10"/>
      <c r="C93" s="11"/>
      <c r="D93" s="12"/>
      <c r="F93" t="s">
        <v>63</v>
      </c>
      <c r="G93">
        <v>5403300.8071366297</v>
      </c>
    </row>
    <row r="94" spans="2:7">
      <c r="B94" s="10"/>
      <c r="C94" s="11"/>
      <c r="D94" s="12"/>
      <c r="F94" t="s">
        <v>94</v>
      </c>
      <c r="G94">
        <v>5204994.5633430202</v>
      </c>
    </row>
    <row r="95" spans="2:7">
      <c r="B95" s="10"/>
      <c r="C95" s="11"/>
      <c r="D95" s="12"/>
      <c r="F95" t="s">
        <v>20</v>
      </c>
      <c r="G95">
        <v>5187451.585</v>
      </c>
    </row>
    <row r="96" spans="2:7">
      <c r="B96" s="10"/>
      <c r="C96" s="11"/>
      <c r="D96" s="12"/>
      <c r="F96" t="s">
        <v>115</v>
      </c>
      <c r="G96">
        <v>4942929.8925000001</v>
      </c>
    </row>
    <row r="97" spans="2:7">
      <c r="B97" s="10"/>
      <c r="C97" s="11"/>
      <c r="D97" s="12"/>
      <c r="F97" t="s">
        <v>1462</v>
      </c>
      <c r="G97">
        <v>4388255.9400000004</v>
      </c>
    </row>
    <row r="98" spans="2:7">
      <c r="B98" s="10"/>
      <c r="C98" s="11"/>
      <c r="D98" s="12"/>
      <c r="F98" t="s">
        <v>1461</v>
      </c>
      <c r="G98">
        <v>43341392.474334702</v>
      </c>
    </row>
    <row r="99" spans="2:7">
      <c r="B99" s="10"/>
      <c r="C99" s="11"/>
      <c r="D99" s="12"/>
    </row>
    <row r="100" spans="2:7">
      <c r="B100" s="10"/>
      <c r="C100" s="11"/>
      <c r="D100" s="12"/>
    </row>
    <row r="101" spans="2:7">
      <c r="B101" s="10"/>
      <c r="C101" s="11"/>
      <c r="D101" s="12"/>
    </row>
    <row r="102" spans="2:7">
      <c r="B102" s="10"/>
      <c r="C102" s="11"/>
      <c r="D102" s="12"/>
    </row>
    <row r="103" spans="2:7">
      <c r="B103" s="10"/>
      <c r="C103" s="11"/>
      <c r="D103" s="12"/>
    </row>
    <row r="104" spans="2:7">
      <c r="B104" s="10"/>
      <c r="C104" s="11"/>
      <c r="D104" s="12"/>
    </row>
    <row r="105" spans="2:7">
      <c r="B105" s="13"/>
      <c r="C105" s="14"/>
      <c r="D105" s="15"/>
    </row>
    <row r="108" spans="2:7">
      <c r="B108" s="64" t="s">
        <v>2212</v>
      </c>
      <c r="C108" s="64"/>
      <c r="D108" s="64"/>
    </row>
    <row r="109" spans="2:7">
      <c r="B109" s="64"/>
      <c r="C109" s="64"/>
      <c r="D109" s="64"/>
    </row>
    <row r="113" spans="2:3">
      <c r="B113" t="s">
        <v>4</v>
      </c>
      <c r="C113" t="s">
        <v>2577</v>
      </c>
    </row>
    <row r="114" spans="2:3">
      <c r="B114" t="s">
        <v>64</v>
      </c>
      <c r="C114" s="6">
        <v>45.535714285714299</v>
      </c>
    </row>
    <row r="115" spans="2:3">
      <c r="B115" t="s">
        <v>23</v>
      </c>
      <c r="C115" s="6">
        <v>43.5</v>
      </c>
    </row>
    <row r="116" spans="2:3">
      <c r="B116" t="s">
        <v>101</v>
      </c>
      <c r="C116" s="6">
        <v>42.5833333333333</v>
      </c>
    </row>
    <row r="117" spans="2:3">
      <c r="B117" t="s">
        <v>54</v>
      </c>
      <c r="C117" s="6">
        <v>36.285714285714299</v>
      </c>
    </row>
    <row r="118" spans="2:3">
      <c r="B118" t="s">
        <v>79</v>
      </c>
      <c r="C118" s="6">
        <v>29.7916666666667</v>
      </c>
    </row>
    <row r="119" spans="2:3">
      <c r="B119" t="s">
        <v>95</v>
      </c>
      <c r="C119" s="6">
        <v>29.681818181818201</v>
      </c>
    </row>
    <row r="120" spans="2:3">
      <c r="B120" t="s">
        <v>116</v>
      </c>
      <c r="C120" s="6">
        <v>28.238095238095202</v>
      </c>
    </row>
    <row r="121" spans="2:3">
      <c r="B121" t="s">
        <v>183</v>
      </c>
      <c r="C121" s="6">
        <v>25.0625</v>
      </c>
    </row>
    <row r="122" spans="2:3">
      <c r="B122" t="s">
        <v>56</v>
      </c>
      <c r="C122" s="6">
        <v>24.0625</v>
      </c>
    </row>
    <row r="123" spans="2:3">
      <c r="B123" t="s">
        <v>32</v>
      </c>
      <c r="C123" s="6">
        <v>22.3913043478261</v>
      </c>
    </row>
    <row r="124" spans="2:3">
      <c r="B124" t="s">
        <v>38</v>
      </c>
      <c r="C124" s="6">
        <v>22.1428571428571</v>
      </c>
    </row>
    <row r="125" spans="2:3">
      <c r="B125" t="s">
        <v>174</v>
      </c>
      <c r="C125" s="6">
        <v>21.269230769230798</v>
      </c>
    </row>
    <row r="126" spans="2:3">
      <c r="B126" t="s">
        <v>66</v>
      </c>
      <c r="C126" s="6">
        <v>18.2222222222222</v>
      </c>
    </row>
    <row r="127" spans="2:3">
      <c r="B127" t="s">
        <v>48</v>
      </c>
      <c r="C127" s="6">
        <v>17.266666666666701</v>
      </c>
    </row>
    <row r="128" spans="2:3">
      <c r="B128" t="s">
        <v>156</v>
      </c>
      <c r="C128" s="6">
        <v>16.72</v>
      </c>
    </row>
    <row r="129" spans="2:4">
      <c r="B129" t="s">
        <v>21</v>
      </c>
      <c r="C129" s="6">
        <v>15.692307692307701</v>
      </c>
    </row>
    <row r="130" spans="2:4">
      <c r="B130" t="s">
        <v>197</v>
      </c>
      <c r="C130" s="6">
        <v>14.7575757575758</v>
      </c>
    </row>
    <row r="131" spans="2:4">
      <c r="B131" t="s">
        <v>40</v>
      </c>
      <c r="C131" s="6">
        <v>13.7407407407407</v>
      </c>
    </row>
    <row r="132" spans="2:4">
      <c r="B132" t="s">
        <v>129</v>
      </c>
      <c r="C132" s="6">
        <v>11.692307692307701</v>
      </c>
    </row>
    <row r="133" spans="2:4">
      <c r="B133" t="s">
        <v>1461</v>
      </c>
      <c r="C133">
        <v>25.216000000000001</v>
      </c>
    </row>
    <row r="136" spans="2:4">
      <c r="B136" s="64" t="s">
        <v>2215</v>
      </c>
      <c r="C136" s="64"/>
      <c r="D136" s="64"/>
    </row>
    <row r="138" spans="2:4">
      <c r="B138" t="s">
        <v>1500</v>
      </c>
      <c r="C138" t="s">
        <v>2578</v>
      </c>
    </row>
    <row r="139" spans="2:4">
      <c r="B139" t="s">
        <v>1504</v>
      </c>
      <c r="C139" s="16">
        <v>8269124.9800000004</v>
      </c>
    </row>
    <row r="140" spans="2:4">
      <c r="B140" t="s">
        <v>1511</v>
      </c>
      <c r="C140" s="16">
        <v>7420488.9100000001</v>
      </c>
    </row>
    <row r="141" spans="2:4">
      <c r="B141" t="s">
        <v>1502</v>
      </c>
      <c r="C141" s="16">
        <v>6640078.9299999997</v>
      </c>
    </row>
    <row r="142" spans="2:4">
      <c r="B142" t="s">
        <v>1509</v>
      </c>
      <c r="C142" s="16">
        <v>5858616.0499999998</v>
      </c>
    </row>
    <row r="143" spans="2:4">
      <c r="B143" t="s">
        <v>1461</v>
      </c>
      <c r="C143">
        <v>28188308.870000001</v>
      </c>
    </row>
  </sheetData>
  <mergeCells count="6">
    <mergeCell ref="B2:F2"/>
    <mergeCell ref="B19:E19"/>
    <mergeCell ref="C86:E86"/>
    <mergeCell ref="B136:D136"/>
    <mergeCell ref="B41:F42"/>
    <mergeCell ref="B108:D109"/>
  </mergeCells>
  <pageMargins left="0.75" right="0.75" top="1" bottom="1" header="0.5" footer="0.5"/>
  <drawing r:id="rId8"/>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J139"/>
  <sheetViews>
    <sheetView topLeftCell="A118" workbookViewId="0">
      <selection activeCell="K158" sqref="K158"/>
    </sheetView>
  </sheetViews>
  <sheetFormatPr defaultColWidth="9.140625" defaultRowHeight="15"/>
  <sheetData>
    <row r="2" spans="2:6">
      <c r="B2" s="62" t="s">
        <v>2579</v>
      </c>
      <c r="C2" s="62"/>
      <c r="D2" s="62"/>
      <c r="E2" s="62"/>
    </row>
    <row r="3" spans="2:6">
      <c r="B3" s="62"/>
      <c r="C3" s="62"/>
      <c r="D3" s="62"/>
      <c r="E3" s="62"/>
      <c r="F3" s="5"/>
    </row>
    <row r="43" spans="3:8">
      <c r="C43" s="64" t="s">
        <v>2580</v>
      </c>
      <c r="D43" s="64"/>
      <c r="E43" s="64"/>
      <c r="F43" s="64"/>
      <c r="G43" s="64"/>
      <c r="H43" s="64"/>
    </row>
    <row r="65" spans="3:7">
      <c r="C65" s="64" t="s">
        <v>2232</v>
      </c>
      <c r="D65" s="64"/>
      <c r="E65" s="64"/>
      <c r="F65" s="64"/>
      <c r="G65" s="64"/>
    </row>
    <row r="84" spans="4:7">
      <c r="D84" s="66" t="s">
        <v>2236</v>
      </c>
      <c r="E84" s="64"/>
      <c r="F84" s="64"/>
      <c r="G84" s="64"/>
    </row>
    <row r="121" spans="4:10">
      <c r="D121" s="67" t="s">
        <v>2581</v>
      </c>
      <c r="E121" s="62"/>
      <c r="F121" s="62"/>
      <c r="G121" s="62"/>
      <c r="H121" s="62"/>
      <c r="I121" s="62"/>
      <c r="J121" s="62"/>
    </row>
    <row r="139" spans="3:9">
      <c r="C139" s="64" t="s">
        <v>2345</v>
      </c>
      <c r="D139" s="64"/>
      <c r="E139" s="64"/>
      <c r="F139" s="64"/>
      <c r="G139" s="64"/>
      <c r="H139" s="64"/>
      <c r="I139" s="64"/>
    </row>
  </sheetData>
  <mergeCells count="6">
    <mergeCell ref="B2:E3"/>
    <mergeCell ref="C43:H43"/>
    <mergeCell ref="C65:G65"/>
    <mergeCell ref="D84:G84"/>
    <mergeCell ref="D121:J121"/>
    <mergeCell ref="C139:I139"/>
  </mergeCells>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6:Q8"/>
  <sheetViews>
    <sheetView showGridLines="0" showRowColHeaders="0" tabSelected="1" zoomScale="70" zoomScaleNormal="70" workbookViewId="0">
      <selection activeCell="AB6" sqref="AB6"/>
    </sheetView>
  </sheetViews>
  <sheetFormatPr defaultColWidth="9.140625" defaultRowHeight="15"/>
  <cols>
    <col min="7" max="7" width="10.5703125"/>
    <col min="11" max="11" width="12.85546875"/>
  </cols>
  <sheetData>
    <row r="6" spans="4:17" ht="28.5">
      <c r="D6" s="1" t="s">
        <v>2582</v>
      </c>
      <c r="E6" s="1"/>
      <c r="F6" s="2"/>
      <c r="G6" s="68" t="s">
        <v>1495</v>
      </c>
      <c r="H6" s="68"/>
      <c r="I6" s="68"/>
      <c r="K6" s="3" t="s">
        <v>2583</v>
      </c>
      <c r="L6" s="3"/>
      <c r="M6" s="3"/>
      <c r="N6" s="4"/>
      <c r="O6" s="69" t="s">
        <v>2584</v>
      </c>
      <c r="P6" s="69"/>
      <c r="Q6" s="69"/>
    </row>
    <row r="7" spans="4:17">
      <c r="D7" s="70">
        <f>COUNTA('✈ Flights (2)'!$A$2:A$501)</f>
        <v>500</v>
      </c>
      <c r="E7" s="70"/>
      <c r="G7" s="71">
        <f>SUM('💰 Revenue (2)'!$E$2:$E$5)</f>
        <v>436269.86</v>
      </c>
      <c r="H7" s="71"/>
      <c r="I7" s="71"/>
      <c r="K7" s="72">
        <f>AVERAGE('✈ Flights (2)'!$Q$2:$Q$501)</f>
        <v>62.3267380454012</v>
      </c>
      <c r="L7" s="72"/>
      <c r="O7" s="73">
        <f>AVERAGE('✈ Flights (2)'!$T$2:$T$501)</f>
        <v>25.216000000000001</v>
      </c>
      <c r="P7" s="73"/>
    </row>
    <row r="8" spans="4:17">
      <c r="D8" s="70"/>
      <c r="E8" s="70"/>
      <c r="G8" s="71"/>
      <c r="H8" s="71"/>
      <c r="I8" s="71"/>
      <c r="K8" s="72"/>
      <c r="L8" s="72"/>
      <c r="O8" s="73"/>
      <c r="P8" s="73"/>
    </row>
  </sheetData>
  <mergeCells count="6">
    <mergeCell ref="G6:I6"/>
    <mergeCell ref="O6:Q6"/>
    <mergeCell ref="D7:E8"/>
    <mergeCell ref="G7:I8"/>
    <mergeCell ref="K7:L8"/>
    <mergeCell ref="O7:P8"/>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 Flights</vt:lpstr>
      <vt:lpstr>✈ Flights (2)</vt:lpstr>
      <vt:lpstr>🏢 Airports</vt:lpstr>
      <vt:lpstr>💰 Revenue</vt:lpstr>
      <vt:lpstr>💰 Revenue (2)</vt:lpstr>
      <vt:lpstr>📖 Data Dictionary</vt:lpstr>
      <vt:lpstr>📝 Tasks</vt:lpstr>
      <vt:lpstr>Stat Analysis</vt:lpstr>
      <vt:lpstr>Pivot Tables</vt:lpstr>
      <vt:lpstr>Visulization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Christian Ngene</cp:lastModifiedBy>
  <dcterms:created xsi:type="dcterms:W3CDTF">2026-03-02T15:16:00Z</dcterms:created>
  <dcterms:modified xsi:type="dcterms:W3CDTF">2026-03-09T13:07:13Z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D67D1E86CE6249068086C6BB1F9687EF_13</vt:lpwstr>
  </property>
  <property fmtid="{D5CDD505-2E9C-101B-9397-08002B2CF9AE}" pid="3" name="KSOProductBuildVer">
    <vt:lpwstr>1033-12.1.0.25242</vt:lpwstr>
  </property>
  <property fmtid="{D5CDD505-2E9C-101B-9397-08002B2CF9AE}" pid="4" name="CalculationRule">
    <vt:i4>0</vt:i4>
  </property>
</Properties>
</file>